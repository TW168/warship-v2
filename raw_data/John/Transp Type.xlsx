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000-Chenjohn_Documents\A03-Monthly Report-Traffic &amp; Admin\Monthly-03-NJ-Transp Type-IP Organic\"/>
    </mc:Choice>
  </mc:AlternateContent>
  <xr:revisionPtr revIDLastSave="0" documentId="8_{31F1E22B-50BA-41AD-8B7F-581D94348102}" xr6:coauthVersionLast="36" xr6:coauthVersionMax="36" xr10:uidLastSave="{00000000-0000-0000-0000-000000000000}"/>
  <bookViews>
    <workbookView xWindow="0" yWindow="0" windowWidth="19200" windowHeight="8143" tabRatio="478" xr2:uid="{00000000-000D-0000-FFFF-FFFF00000000}"/>
  </bookViews>
  <sheets>
    <sheet name="AM" sheetId="2" r:id="rId1"/>
    <sheet name="WP" sheetId="4" r:id="rId2"/>
    <sheet name="IBS " sheetId="17" r:id="rId3"/>
    <sheet name="IQSH01E" sheetId="18" r:id="rId4"/>
  </sheets>
  <externalReferences>
    <externalReference r:id="rId5"/>
  </externalReferences>
  <definedNames>
    <definedName name="_xlnm.Print_Area" localSheetId="0">AM!$A$1:$EV$49</definedName>
    <definedName name="_xlnm.Print_Area" localSheetId="2">'IBS '!$A$1:$EV$71</definedName>
    <definedName name="_xlnm.Print_Area" localSheetId="1">WP!$A$1:$EV$49</definedName>
  </definedNames>
  <calcPr calcId="191029"/>
</workbook>
</file>

<file path=xl/calcChain.xml><?xml version="1.0" encoding="utf-8"?>
<calcChain xmlns="http://schemas.openxmlformats.org/spreadsheetml/2006/main">
  <c r="EU71" i="2" l="1"/>
  <c r="EU70" i="2"/>
  <c r="EU69" i="2"/>
  <c r="EU68" i="2"/>
  <c r="EV68" i="2" s="1"/>
  <c r="EU67" i="2"/>
  <c r="EV67" i="2" s="1"/>
  <c r="EU66" i="2"/>
  <c r="EV66" i="2" s="1"/>
  <c r="EV65" i="2"/>
  <c r="EU65" i="2"/>
  <c r="EU64" i="2"/>
  <c r="EV64" i="2" s="1"/>
  <c r="EU63" i="2"/>
  <c r="EV63" i="2" s="1"/>
  <c r="EU62" i="2"/>
  <c r="EV62" i="2" s="1"/>
  <c r="EV61" i="2"/>
  <c r="EU61" i="2"/>
  <c r="EU60" i="2"/>
  <c r="EU59" i="2"/>
  <c r="EU58" i="2"/>
  <c r="EV57" i="2"/>
  <c r="EU57" i="2"/>
  <c r="EU56" i="2"/>
  <c r="EV56" i="2" s="1"/>
  <c r="EU55" i="2"/>
  <c r="EV55" i="2" s="1"/>
  <c r="EU54" i="2"/>
  <c r="EV54" i="2" s="1"/>
  <c r="EV53" i="2"/>
  <c r="EU53" i="2"/>
  <c r="EU52" i="2"/>
  <c r="EV52" i="2" s="1"/>
  <c r="EU51" i="2"/>
  <c r="EV51" i="2" s="1"/>
  <c r="EU50" i="2"/>
  <c r="EV50" i="2" s="1"/>
  <c r="EU49" i="2"/>
  <c r="EU48" i="2"/>
  <c r="EU47" i="2"/>
  <c r="EV46" i="2"/>
  <c r="EU46" i="2"/>
  <c r="EU45" i="2"/>
  <c r="EV45" i="2" s="1"/>
  <c r="EU44" i="2"/>
  <c r="EV44" i="2" s="1"/>
  <c r="EU43" i="2"/>
  <c r="EV43" i="2" s="1"/>
  <c r="EV42" i="2"/>
  <c r="EU42" i="2"/>
  <c r="EU41" i="2"/>
  <c r="EV41" i="2" s="1"/>
  <c r="EU40" i="2"/>
  <c r="EV40" i="2" s="1"/>
  <c r="EU39" i="2"/>
  <c r="EV39" i="2" s="1"/>
  <c r="EU38" i="2"/>
  <c r="EU37" i="2"/>
  <c r="EU36" i="2"/>
  <c r="EU35" i="2"/>
  <c r="EV35" i="2" s="1"/>
  <c r="EV34" i="2"/>
  <c r="EU34" i="2"/>
  <c r="EU33" i="2"/>
  <c r="EV33" i="2" s="1"/>
  <c r="EU32" i="2"/>
  <c r="EV32" i="2" s="1"/>
  <c r="EU31" i="2"/>
  <c r="EV31" i="2" s="1"/>
  <c r="EV30" i="2"/>
  <c r="EU30" i="2"/>
  <c r="EU29" i="2"/>
  <c r="EV29" i="2" s="1"/>
  <c r="EU28" i="2"/>
  <c r="EV28" i="2" s="1"/>
  <c r="EU27" i="2"/>
  <c r="EU26" i="2"/>
  <c r="EU25" i="2"/>
  <c r="EU24" i="2"/>
  <c r="EV24" i="2" s="1"/>
  <c r="EV23" i="2"/>
  <c r="EU23" i="2"/>
  <c r="EU22" i="2"/>
  <c r="EV22" i="2" s="1"/>
  <c r="EU21" i="2"/>
  <c r="EV21" i="2" s="1"/>
  <c r="EU20" i="2"/>
  <c r="EV20" i="2" s="1"/>
  <c r="EV19" i="2"/>
  <c r="EU19" i="2"/>
  <c r="EU18" i="2"/>
  <c r="EV18" i="2" s="1"/>
  <c r="EU17" i="2"/>
  <c r="EV17" i="2" s="1"/>
  <c r="EU16" i="2"/>
  <c r="EU15" i="2"/>
  <c r="EU14" i="2"/>
  <c r="EU13" i="2"/>
  <c r="EV13" i="2" s="1"/>
  <c r="EU12" i="2"/>
  <c r="EV12" i="2" s="1"/>
  <c r="EV11" i="2"/>
  <c r="EU11" i="2"/>
  <c r="EU10" i="2"/>
  <c r="EV10" i="2" s="1"/>
  <c r="EU9" i="2"/>
  <c r="EV9" i="2" s="1"/>
  <c r="EU8" i="2"/>
  <c r="EV8" i="2" s="1"/>
  <c r="EV7" i="2"/>
  <c r="EU7" i="2"/>
  <c r="EU6" i="2"/>
  <c r="EV6" i="2" s="1"/>
  <c r="EU71" i="4"/>
  <c r="EU70" i="4"/>
  <c r="EU69" i="4"/>
  <c r="EU68" i="4"/>
  <c r="EV68" i="4" s="1"/>
  <c r="EV67" i="4"/>
  <c r="EU67" i="4"/>
  <c r="EU66" i="4"/>
  <c r="EV66" i="4" s="1"/>
  <c r="EV65" i="4"/>
  <c r="EU65" i="4"/>
  <c r="EU64" i="4"/>
  <c r="EV64" i="4" s="1"/>
  <c r="EV63" i="4"/>
  <c r="EU63" i="4"/>
  <c r="EU62" i="4"/>
  <c r="EV62" i="4" s="1"/>
  <c r="EV61" i="4"/>
  <c r="EU61" i="4"/>
  <c r="EU60" i="4"/>
  <c r="EU59" i="4"/>
  <c r="EU58" i="4"/>
  <c r="EU57" i="4"/>
  <c r="EV57" i="4" s="1"/>
  <c r="EU56" i="4"/>
  <c r="EV56" i="4" s="1"/>
  <c r="EU55" i="4"/>
  <c r="EV55" i="4" s="1"/>
  <c r="EU54" i="4"/>
  <c r="EV54" i="4" s="1"/>
  <c r="EU53" i="4"/>
  <c r="EV53" i="4" s="1"/>
  <c r="EU52" i="4"/>
  <c r="EV52" i="4" s="1"/>
  <c r="EU51" i="4"/>
  <c r="EV51" i="4" s="1"/>
  <c r="EU50" i="4"/>
  <c r="EV50" i="4" s="1"/>
  <c r="EU49" i="4"/>
  <c r="EU48" i="4"/>
  <c r="EU47" i="4"/>
  <c r="EV46" i="4"/>
  <c r="EU46" i="4"/>
  <c r="EU45" i="4"/>
  <c r="EV45" i="4" s="1"/>
  <c r="EV44" i="4"/>
  <c r="EU44" i="4"/>
  <c r="EU43" i="4"/>
  <c r="EV43" i="4" s="1"/>
  <c r="EV42" i="4"/>
  <c r="EU42" i="4"/>
  <c r="EU41" i="4"/>
  <c r="EV41" i="4" s="1"/>
  <c r="EV40" i="4"/>
  <c r="EU40" i="4"/>
  <c r="EU39" i="4"/>
  <c r="EV39" i="4" s="1"/>
  <c r="EU38" i="4"/>
  <c r="EU37" i="4"/>
  <c r="EU36" i="4"/>
  <c r="EU35" i="4"/>
  <c r="EV32" i="4" s="1"/>
  <c r="EU34" i="4"/>
  <c r="EV34" i="4" s="1"/>
  <c r="EU33" i="4"/>
  <c r="EV33" i="4" s="1"/>
  <c r="EU32" i="4"/>
  <c r="EU31" i="4"/>
  <c r="EV31" i="4" s="1"/>
  <c r="EU30" i="4"/>
  <c r="EV30" i="4" s="1"/>
  <c r="EU29" i="4"/>
  <c r="EV29" i="4" s="1"/>
  <c r="EU28" i="4"/>
  <c r="EU27" i="4"/>
  <c r="EU26" i="4"/>
  <c r="EU25" i="4"/>
  <c r="EU24" i="4"/>
  <c r="EV17" i="4" s="1"/>
  <c r="EV23" i="4"/>
  <c r="EU23" i="4"/>
  <c r="EU22" i="4"/>
  <c r="EV22" i="4" s="1"/>
  <c r="EU21" i="4"/>
  <c r="EU20" i="4"/>
  <c r="EV20" i="4" s="1"/>
  <c r="EV19" i="4"/>
  <c r="EU19" i="4"/>
  <c r="EU18" i="4"/>
  <c r="EV18" i="4" s="1"/>
  <c r="EU17" i="4"/>
  <c r="EU16" i="4"/>
  <c r="EU15" i="4"/>
  <c r="EU14" i="4"/>
  <c r="EU13" i="4"/>
  <c r="EV13" i="4" s="1"/>
  <c r="EU12" i="4"/>
  <c r="EV12" i="4" s="1"/>
  <c r="EU11" i="4"/>
  <c r="EV11" i="4" s="1"/>
  <c r="EU10" i="4"/>
  <c r="EV10" i="4" s="1"/>
  <c r="EU9" i="4"/>
  <c r="EV9" i="4" s="1"/>
  <c r="EU8" i="4"/>
  <c r="EV8" i="4" s="1"/>
  <c r="EU7" i="4"/>
  <c r="EV7" i="4" s="1"/>
  <c r="EU6" i="4"/>
  <c r="EV6" i="4" s="1"/>
  <c r="EU109" i="17"/>
  <c r="EU108" i="17"/>
  <c r="EU107" i="17"/>
  <c r="EU106" i="17"/>
  <c r="EV106" i="17" s="1"/>
  <c r="EU105" i="17"/>
  <c r="EV105" i="17" s="1"/>
  <c r="EU104" i="17"/>
  <c r="EV104" i="17" s="1"/>
  <c r="EU103" i="17"/>
  <c r="EV103" i="17" s="1"/>
  <c r="EU102" i="17"/>
  <c r="EV102" i="17" s="1"/>
  <c r="EU101" i="17"/>
  <c r="EV101" i="17" s="1"/>
  <c r="EU100" i="17"/>
  <c r="EV100" i="17" s="1"/>
  <c r="EU99" i="17"/>
  <c r="EV99" i="17" s="1"/>
  <c r="EU98" i="17"/>
  <c r="EU97" i="17"/>
  <c r="EU96" i="17"/>
  <c r="EV95" i="17"/>
  <c r="EU95" i="17"/>
  <c r="EU94" i="17"/>
  <c r="EV94" i="17" s="1"/>
  <c r="EV93" i="17"/>
  <c r="EU93" i="17"/>
  <c r="EU92" i="17"/>
  <c r="EV92" i="17" s="1"/>
  <c r="EV91" i="17"/>
  <c r="EU91" i="17"/>
  <c r="EU90" i="17"/>
  <c r="EV90" i="17" s="1"/>
  <c r="EV89" i="17"/>
  <c r="EU89" i="17"/>
  <c r="EU88" i="17"/>
  <c r="EV88" i="17" s="1"/>
  <c r="EU82" i="17"/>
  <c r="EU115" i="17" s="1"/>
  <c r="EU75" i="17"/>
  <c r="EU71" i="17"/>
  <c r="EU87" i="17" s="1"/>
  <c r="EU120" i="17" s="1"/>
  <c r="EU70" i="17"/>
  <c r="EU86" i="17" s="1"/>
  <c r="EU119" i="17" s="1"/>
  <c r="EU69" i="17"/>
  <c r="EU85" i="17" s="1"/>
  <c r="EU118" i="17" s="1"/>
  <c r="EU68" i="17"/>
  <c r="EV68" i="17" s="1"/>
  <c r="EU67" i="17"/>
  <c r="EV67" i="17" s="1"/>
  <c r="EU66" i="17"/>
  <c r="EV66" i="17" s="1"/>
  <c r="EU65" i="17"/>
  <c r="EU81" i="17" s="1"/>
  <c r="EU64" i="17"/>
  <c r="EV64" i="17" s="1"/>
  <c r="EU63" i="17"/>
  <c r="EV63" i="17" s="1"/>
  <c r="EU62" i="17"/>
  <c r="EV62" i="17" s="1"/>
  <c r="EU61" i="17"/>
  <c r="EU77" i="17" s="1"/>
  <c r="EU60" i="17"/>
  <c r="EU59" i="17"/>
  <c r="EU58" i="17"/>
  <c r="EU57" i="17"/>
  <c r="EV57" i="17" s="1"/>
  <c r="EU56" i="17"/>
  <c r="EV56" i="17" s="1"/>
  <c r="EU55" i="17"/>
  <c r="EV55" i="17" s="1"/>
  <c r="EU54" i="17"/>
  <c r="EV54" i="17" s="1"/>
  <c r="EU53" i="17"/>
  <c r="EU52" i="17"/>
  <c r="EV52" i="17" s="1"/>
  <c r="EU51" i="17"/>
  <c r="EU50" i="17"/>
  <c r="EV50" i="17" s="1"/>
  <c r="EU49" i="17"/>
  <c r="EU48" i="17"/>
  <c r="EU47" i="17"/>
  <c r="EU46" i="17"/>
  <c r="EV46" i="17" s="1"/>
  <c r="EU45" i="17"/>
  <c r="EV45" i="17" s="1"/>
  <c r="EU44" i="17"/>
  <c r="EV44" i="17" s="1"/>
  <c r="EU43" i="17"/>
  <c r="EV43" i="17" s="1"/>
  <c r="EU42" i="17"/>
  <c r="EV42" i="17" s="1"/>
  <c r="EU41" i="17"/>
  <c r="EU40" i="17"/>
  <c r="EU39" i="17"/>
  <c r="EV39" i="17" s="1"/>
  <c r="EU38" i="17"/>
  <c r="EU37" i="17"/>
  <c r="EU36" i="17"/>
  <c r="EU35" i="17"/>
  <c r="EV31" i="17" s="1"/>
  <c r="EU34" i="17"/>
  <c r="EU33" i="17"/>
  <c r="EV33" i="17" s="1"/>
  <c r="EU32" i="17"/>
  <c r="EU31" i="17"/>
  <c r="EU30" i="17"/>
  <c r="EU29" i="17"/>
  <c r="EU28" i="17"/>
  <c r="EU27" i="17"/>
  <c r="EU26" i="17"/>
  <c r="EU25" i="17"/>
  <c r="EU24" i="17"/>
  <c r="EV24" i="17" s="1"/>
  <c r="EU23" i="17"/>
  <c r="EV23" i="17" s="1"/>
  <c r="EU22" i="17"/>
  <c r="EV22" i="17" s="1"/>
  <c r="EU21" i="17"/>
  <c r="EU20" i="17"/>
  <c r="EU19" i="17"/>
  <c r="EV19" i="17" s="1"/>
  <c r="EU18" i="17"/>
  <c r="EV18" i="17" s="1"/>
  <c r="EU17" i="17"/>
  <c r="EV17" i="17" s="1"/>
  <c r="EU16" i="17"/>
  <c r="EU15" i="17"/>
  <c r="EU14" i="17"/>
  <c r="EU13" i="17"/>
  <c r="EV13" i="17" s="1"/>
  <c r="EU12" i="17"/>
  <c r="EV12" i="17" s="1"/>
  <c r="EU11" i="17"/>
  <c r="EV11" i="17" s="1"/>
  <c r="EV10" i="17"/>
  <c r="EU10" i="17"/>
  <c r="EU9" i="17"/>
  <c r="EV9" i="17" s="1"/>
  <c r="EV8" i="17"/>
  <c r="EU8" i="17"/>
  <c r="EU7" i="17"/>
  <c r="EV7" i="17" s="1"/>
  <c r="EV6" i="17"/>
  <c r="EU6" i="17"/>
  <c r="EV24" i="4" l="1"/>
  <c r="EV21" i="4"/>
  <c r="EV35" i="4"/>
  <c r="EV28" i="4"/>
  <c r="EV29" i="17"/>
  <c r="EV30" i="17"/>
  <c r="EV35" i="17"/>
  <c r="EV51" i="17"/>
  <c r="EU78" i="17"/>
  <c r="EU111" i="17" s="1"/>
  <c r="EV32" i="17"/>
  <c r="EU79" i="17"/>
  <c r="EU112" i="17" s="1"/>
  <c r="EV53" i="17"/>
  <c r="EV20" i="17"/>
  <c r="EV28" i="17"/>
  <c r="EV40" i="17"/>
  <c r="EU83" i="17"/>
  <c r="EU116" i="17" s="1"/>
  <c r="EV21" i="17"/>
  <c r="EV34" i="17"/>
  <c r="EV41" i="17"/>
  <c r="EU114" i="17"/>
  <c r="EU110" i="17"/>
  <c r="EV77" i="17"/>
  <c r="EV61" i="17"/>
  <c r="EV65" i="17"/>
  <c r="EU80" i="17"/>
  <c r="EU84" i="17"/>
  <c r="EV82" i="17"/>
  <c r="EV79" i="17" l="1"/>
  <c r="EU113" i="17"/>
  <c r="EV80" i="17"/>
  <c r="EV81" i="17"/>
  <c r="EU117" i="17"/>
  <c r="EV84" i="17"/>
  <c r="EV83" i="17"/>
  <c r="EV114" i="17"/>
  <c r="EV78" i="17"/>
  <c r="EV117" i="17" l="1"/>
  <c r="EV112" i="17"/>
  <c r="EV116" i="17"/>
  <c r="EV115" i="17"/>
  <c r="EV111" i="17"/>
  <c r="EV113" i="17"/>
  <c r="EV110" i="17"/>
  <c r="ES4" i="4" l="1"/>
  <c r="ES4" i="17" l="1"/>
  <c r="EY28" i="17" l="1"/>
  <c r="EY6" i="2"/>
  <c r="EY8" i="2"/>
  <c r="EY9" i="2"/>
  <c r="EY10" i="2"/>
  <c r="EY11" i="2"/>
  <c r="EY12" i="2"/>
  <c r="EY13" i="2"/>
  <c r="EY14" i="2"/>
  <c r="EY15" i="2"/>
  <c r="EY16" i="2"/>
  <c r="EY17" i="2"/>
  <c r="EY19" i="2"/>
  <c r="EY20" i="2"/>
  <c r="EY21" i="2"/>
  <c r="EY22" i="2"/>
  <c r="EY23" i="2"/>
  <c r="EY24" i="2"/>
  <c r="EY25" i="2"/>
  <c r="EY26" i="2"/>
  <c r="EY27" i="2"/>
  <c r="EY28" i="2"/>
  <c r="EY30" i="2"/>
  <c r="EY31" i="2"/>
  <c r="EY32" i="2"/>
  <c r="EY33" i="2"/>
  <c r="EY34" i="2"/>
  <c r="EY35" i="2"/>
  <c r="EY36" i="2"/>
  <c r="EY37" i="2"/>
  <c r="EY38" i="2"/>
  <c r="EY6" i="17"/>
  <c r="EY8" i="17"/>
  <c r="EY9" i="17"/>
  <c r="EY10" i="17"/>
  <c r="EY11" i="17"/>
  <c r="EY12" i="17"/>
  <c r="EY13" i="17"/>
  <c r="EY14" i="17"/>
  <c r="EY15" i="17"/>
  <c r="EY16" i="17"/>
  <c r="EY17" i="17"/>
  <c r="EY19" i="17"/>
  <c r="EY20" i="17"/>
  <c r="EY21" i="17"/>
  <c r="EY22" i="17"/>
  <c r="EY23" i="17"/>
  <c r="EY24" i="17"/>
  <c r="EY25" i="17"/>
  <c r="EY26" i="17"/>
  <c r="EY27" i="17"/>
  <c r="EY30" i="17"/>
  <c r="EY31" i="17"/>
  <c r="EY32" i="17"/>
  <c r="EY33" i="17"/>
  <c r="EY34" i="17"/>
  <c r="EY35" i="17"/>
  <c r="EY36" i="17"/>
  <c r="EY37" i="17"/>
  <c r="EY38" i="17"/>
  <c r="EY39" i="17"/>
  <c r="EY41" i="17"/>
  <c r="EY42" i="17"/>
  <c r="EY43" i="17"/>
  <c r="EY44" i="17"/>
  <c r="EY45" i="17"/>
  <c r="EY46" i="17"/>
  <c r="EY47" i="17"/>
  <c r="EY48" i="17"/>
  <c r="EY49" i="17"/>
  <c r="EY50" i="17"/>
  <c r="EY52" i="17"/>
  <c r="EY53" i="17"/>
  <c r="EY54" i="17"/>
  <c r="EY55" i="17"/>
  <c r="EY56" i="17"/>
  <c r="EY57" i="17"/>
  <c r="EY58" i="17"/>
  <c r="EY59" i="17"/>
  <c r="EY60" i="17"/>
  <c r="FA6" i="4"/>
  <c r="FA8" i="4"/>
  <c r="FA9" i="4"/>
  <c r="FA10" i="4"/>
  <c r="FA11" i="4"/>
  <c r="FA12" i="4"/>
  <c r="FA13" i="4"/>
  <c r="EY14" i="4"/>
  <c r="FA14" i="4"/>
  <c r="EY15" i="4"/>
  <c r="FA15" i="4"/>
  <c r="EY16" i="4"/>
  <c r="FA16" i="4"/>
  <c r="EY25" i="4"/>
  <c r="EY26" i="4"/>
  <c r="EY27" i="4"/>
  <c r="EY36" i="4"/>
  <c r="EY37" i="4"/>
  <c r="EY38" i="4"/>
  <c r="EY35" i="4"/>
  <c r="EY13" i="4"/>
  <c r="EY30" i="4"/>
  <c r="EY20" i="4"/>
  <c r="EY22" i="4"/>
  <c r="EY31" i="4"/>
  <c r="EY34" i="4"/>
  <c r="EY12" i="4"/>
  <c r="EY21" i="4"/>
  <c r="EY8" i="4"/>
  <c r="EY11" i="4"/>
  <c r="EY9" i="4"/>
  <c r="EY10" i="4"/>
  <c r="EY23" i="4"/>
  <c r="EY24" i="4"/>
  <c r="EY17" i="4"/>
  <c r="EY6" i="4"/>
  <c r="EY32" i="4"/>
  <c r="EY28" i="4"/>
  <c r="EY33" i="4"/>
  <c r="EY19" i="4"/>
  <c r="ES19" i="4" l="1"/>
  <c r="ES22" i="4"/>
  <c r="ES20" i="4"/>
  <c r="ES21" i="4"/>
  <c r="ES25" i="4"/>
  <c r="ES33" i="4"/>
  <c r="ES26" i="4"/>
  <c r="ES28" i="4"/>
  <c r="ES30" i="4"/>
  <c r="ES32" i="4"/>
  <c r="ES17" i="4"/>
  <c r="ES34" i="4"/>
  <c r="ES37" i="4"/>
  <c r="ES23" i="4"/>
  <c r="ES31" i="4"/>
  <c r="ES36" i="4"/>
  <c r="ES34" i="17"/>
  <c r="ES33" i="17"/>
  <c r="ES23" i="17"/>
  <c r="ES14" i="17"/>
  <c r="ES6" i="17"/>
  <c r="ES32" i="17"/>
  <c r="ES22" i="17"/>
  <c r="ES52" i="17"/>
  <c r="ES50" i="17"/>
  <c r="ES48" i="17"/>
  <c r="ES21" i="17"/>
  <c r="ES12" i="17"/>
  <c r="ES43" i="17"/>
  <c r="ES59" i="17"/>
  <c r="ES41" i="17"/>
  <c r="ES56" i="17"/>
  <c r="ES47" i="17"/>
  <c r="ES30" i="17"/>
  <c r="ES20" i="17"/>
  <c r="ES11" i="17"/>
  <c r="ES15" i="17"/>
  <c r="ES31" i="17"/>
  <c r="ES55" i="17"/>
  <c r="ES37" i="17"/>
  <c r="ES19" i="17"/>
  <c r="ES10" i="17"/>
  <c r="ES42" i="17"/>
  <c r="ES39" i="17"/>
  <c r="ES54" i="17"/>
  <c r="ES45" i="17"/>
  <c r="ES36" i="17"/>
  <c r="ES26" i="17"/>
  <c r="ES17" i="17"/>
  <c r="ES9" i="17"/>
  <c r="ES58" i="17"/>
  <c r="ES53" i="17"/>
  <c r="ES44" i="17"/>
  <c r="ES25" i="17"/>
  <c r="ES8" i="17"/>
  <c r="ES28" i="17"/>
  <c r="ES12" i="2"/>
  <c r="ES34" i="2"/>
  <c r="ES15" i="2"/>
  <c r="ES23" i="2"/>
  <c r="ES31" i="2"/>
  <c r="ES30" i="2"/>
  <c r="ES37" i="2"/>
  <c r="ES20" i="2"/>
  <c r="ES11" i="2"/>
  <c r="ES10" i="2"/>
  <c r="ES25" i="2"/>
  <c r="ES33" i="2"/>
  <c r="ES32" i="2"/>
  <c r="ES22" i="2"/>
  <c r="ES21" i="2"/>
  <c r="ES28" i="2"/>
  <c r="ES36" i="2"/>
  <c r="ES19" i="2"/>
  <c r="ES26" i="2"/>
  <c r="ES17" i="2"/>
  <c r="ES9" i="2"/>
  <c r="ES8" i="2"/>
  <c r="ES6" i="2"/>
  <c r="ES14" i="2"/>
  <c r="EY49" i="2"/>
  <c r="EY49" i="4"/>
  <c r="FB6" i="4"/>
  <c r="FB14" i="4"/>
  <c r="EY71" i="17"/>
  <c r="FB8" i="4"/>
  <c r="FB15" i="4"/>
  <c r="EY40" i="17"/>
  <c r="FB16" i="4"/>
  <c r="FB13" i="4"/>
  <c r="FB10" i="4"/>
  <c r="EY29" i="4"/>
  <c r="FB9" i="4"/>
  <c r="EY51" i="17"/>
  <c r="EY7" i="17"/>
  <c r="EY18" i="17"/>
  <c r="EY29" i="17"/>
  <c r="EY7" i="4"/>
  <c r="EY18" i="4"/>
  <c r="FB12" i="4"/>
  <c r="EY18" i="2"/>
  <c r="EY7" i="2"/>
  <c r="FB11" i="4"/>
  <c r="FA7" i="4"/>
  <c r="EY29" i="2"/>
  <c r="ES15" i="4" l="1"/>
  <c r="ES48" i="4" s="1"/>
  <c r="ES11" i="4"/>
  <c r="ES44" i="4" s="1"/>
  <c r="ES8" i="4"/>
  <c r="ES41" i="4" s="1"/>
  <c r="ES9" i="4"/>
  <c r="ES42" i="4" s="1"/>
  <c r="ES29" i="4"/>
  <c r="ES35" i="4" s="1"/>
  <c r="ES38" i="4" s="1"/>
  <c r="ES18" i="4"/>
  <c r="ES24" i="4" s="1"/>
  <c r="ES27" i="4" s="1"/>
  <c r="ES10" i="4"/>
  <c r="ES43" i="4" s="1"/>
  <c r="ES6" i="4"/>
  <c r="ES39" i="4" s="1"/>
  <c r="ES14" i="4"/>
  <c r="ES47" i="4" s="1"/>
  <c r="ES12" i="4"/>
  <c r="ES45" i="4" s="1"/>
  <c r="ES48" i="2"/>
  <c r="ES39" i="2"/>
  <c r="ES7" i="2"/>
  <c r="ES13" i="2" s="1"/>
  <c r="ES66" i="17"/>
  <c r="ES70" i="17"/>
  <c r="ES61" i="17"/>
  <c r="ES69" i="17"/>
  <c r="ES64" i="17"/>
  <c r="ES65" i="17"/>
  <c r="ES43" i="2"/>
  <c r="ES41" i="2"/>
  <c r="ES47" i="2"/>
  <c r="ES45" i="2"/>
  <c r="ES63" i="17"/>
  <c r="ES42" i="2"/>
  <c r="ES44" i="2"/>
  <c r="ES67" i="17"/>
  <c r="ES29" i="17"/>
  <c r="ES35" i="17" s="1"/>
  <c r="ET33" i="17" s="1"/>
  <c r="ES40" i="17"/>
  <c r="ES46" i="17" s="1"/>
  <c r="ES7" i="17"/>
  <c r="ES13" i="17" s="1"/>
  <c r="ET7" i="17" s="1"/>
  <c r="ES18" i="17"/>
  <c r="ES24" i="17" s="1"/>
  <c r="ES27" i="17" s="1"/>
  <c r="ES51" i="17"/>
  <c r="ES57" i="17" s="1"/>
  <c r="ES60" i="17" s="1"/>
  <c r="ES18" i="2"/>
  <c r="ES24" i="2" s="1"/>
  <c r="ES29" i="2"/>
  <c r="ES35" i="2" s="1"/>
  <c r="ET28" i="2" s="1"/>
  <c r="EY50" i="2"/>
  <c r="EZ27" i="17"/>
  <c r="EZ49" i="17"/>
  <c r="EZ60" i="17"/>
  <c r="EZ16" i="17"/>
  <c r="EZ38" i="17"/>
  <c r="FB7" i="4"/>
  <c r="ET30" i="4" l="1"/>
  <c r="ES7" i="4"/>
  <c r="ES40" i="4" s="1"/>
  <c r="ES46" i="4" s="1"/>
  <c r="ES49" i="4" s="1"/>
  <c r="ET34" i="4"/>
  <c r="ES16" i="2"/>
  <c r="ET12" i="2"/>
  <c r="ET13" i="2"/>
  <c r="ET6" i="2"/>
  <c r="ES40" i="2"/>
  <c r="ET7" i="2"/>
  <c r="ET32" i="2"/>
  <c r="ET28" i="17"/>
  <c r="ET8" i="2"/>
  <c r="ET30" i="17"/>
  <c r="ES38" i="2"/>
  <c r="ET22" i="17"/>
  <c r="ET21" i="17"/>
  <c r="ET29" i="2"/>
  <c r="ET18" i="17"/>
  <c r="ET34" i="2"/>
  <c r="ET17" i="17"/>
  <c r="ET10" i="2"/>
  <c r="ES38" i="17"/>
  <c r="ET33" i="2"/>
  <c r="ET30" i="2"/>
  <c r="ET11" i="2"/>
  <c r="ET23" i="17"/>
  <c r="ET9" i="2"/>
  <c r="ET31" i="2"/>
  <c r="ET35" i="2"/>
  <c r="ET20" i="17"/>
  <c r="ET19" i="17"/>
  <c r="ET35" i="17"/>
  <c r="ET31" i="17"/>
  <c r="ET24" i="17"/>
  <c r="ET32" i="17"/>
  <c r="ET29" i="17"/>
  <c r="ES62" i="17"/>
  <c r="ES68" i="17" s="1"/>
  <c r="ET62" i="17" s="1"/>
  <c r="ET34" i="17"/>
  <c r="ET31" i="4"/>
  <c r="ET33" i="4"/>
  <c r="ET35" i="4"/>
  <c r="ET28" i="4"/>
  <c r="ET29" i="4"/>
  <c r="ET32" i="4"/>
  <c r="ES49" i="17"/>
  <c r="ET46" i="17"/>
  <c r="ET45" i="17"/>
  <c r="ET42" i="17"/>
  <c r="ET43" i="17"/>
  <c r="ET41" i="17"/>
  <c r="ET39" i="17"/>
  <c r="ET44" i="17"/>
  <c r="ES16" i="17"/>
  <c r="ET13" i="17"/>
  <c r="ET11" i="17"/>
  <c r="ET10" i="17"/>
  <c r="ET6" i="17"/>
  <c r="ET8" i="17"/>
  <c r="ET12" i="17"/>
  <c r="ET9" i="17"/>
  <c r="ET40" i="17"/>
  <c r="ET24" i="4"/>
  <c r="ET19" i="4"/>
  <c r="ET22" i="4"/>
  <c r="ET23" i="4"/>
  <c r="ET21" i="4"/>
  <c r="ET17" i="4"/>
  <c r="ET20" i="4"/>
  <c r="ET18" i="4"/>
  <c r="ES27" i="2"/>
  <c r="ET24" i="2"/>
  <c r="ET23" i="2"/>
  <c r="ET22" i="2"/>
  <c r="ET20" i="2"/>
  <c r="ET21" i="2"/>
  <c r="ET19" i="2"/>
  <c r="ET17" i="2"/>
  <c r="ET18" i="2"/>
  <c r="ES46" i="2"/>
  <c r="ES13" i="4" l="1"/>
  <c r="ES16" i="4" s="1"/>
  <c r="ET45" i="4"/>
  <c r="ET39" i="4"/>
  <c r="ET68" i="17"/>
  <c r="ES71" i="17"/>
  <c r="ET63" i="17"/>
  <c r="ET66" i="17"/>
  <c r="ET65" i="17"/>
  <c r="ET64" i="17"/>
  <c r="ET67" i="17"/>
  <c r="ET61" i="17"/>
  <c r="ET44" i="4"/>
  <c r="ET46" i="4"/>
  <c r="ET43" i="4"/>
  <c r="ET41" i="4"/>
  <c r="ET42" i="4"/>
  <c r="ET40" i="4"/>
  <c r="ET46" i="2"/>
  <c r="ES49" i="2"/>
  <c r="EZ49" i="2" s="1"/>
  <c r="ET39" i="2"/>
  <c r="ET42" i="2"/>
  <c r="ET44" i="2"/>
  <c r="ET43" i="2"/>
  <c r="ET45" i="2"/>
  <c r="ET41" i="2"/>
  <c r="ET40" i="2"/>
  <c r="ET12" i="4" l="1"/>
  <c r="ET11" i="4"/>
  <c r="ET13" i="4"/>
  <c r="ET6" i="4"/>
  <c r="ET9" i="4"/>
  <c r="ET8" i="4"/>
  <c r="ET7" i="4"/>
  <c r="ET10" i="4"/>
  <c r="EY50" i="4"/>
  <c r="EZ49" i="4"/>
  <c r="EY52" i="2"/>
  <c r="EY53" i="2" s="1"/>
  <c r="EZ71" i="17"/>
  <c r="EY72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I-Fen Chen</author>
  </authors>
  <commentList>
    <comment ref="A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I-Fen Chen: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rFont val="Arial"/>
            <family val="2"/>
          </rPr>
          <t>Watch out Heading format while Printing!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chenjohn</author>
  </authors>
  <commentList>
    <comment ref="C2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E29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G29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I29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K29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M29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O29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Q29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S29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U29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W29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Y29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AA29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AC29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AE29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AG29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AI29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AK29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AM29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AO29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AQ29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AS2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AU29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AW29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AY29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BA29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BC29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BE29" authorId="0" shapeId="0" xr:uid="{C3F93575-3B4B-4825-84C0-9F6AEDDBE6DA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BG29" authorId="0" shapeId="0" xr:uid="{F0DDCFA7-F5CB-4313-8F74-26AF0A547C4F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BI29" authorId="0" shapeId="0" xr:uid="{77C33809-4565-4F63-AFA7-9AC79D66B685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BK29" authorId="0" shapeId="0" xr:uid="{71D8AEF6-5835-4CA2-AC49-CF9D343E529E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BM29" authorId="0" shapeId="0" xr:uid="{679301CB-499D-4B75-8CC8-D72CD9D48143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BO29" authorId="0" shapeId="0" xr:uid="{F652D3AC-D414-4696-B484-0CC6FDA17AB5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BQ29" authorId="0" shapeId="0" xr:uid="{5566C761-A990-414C-A0A2-2E07E38B2B5F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BS29" authorId="0" shapeId="0" xr:uid="{F2B91636-DBF3-4600-9B57-3304B905E22E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BU29" authorId="0" shapeId="0" xr:uid="{3B394792-CCAE-4AF0-84E9-9A28AF82BE5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BW29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BY29" authorId="0" shapeId="0" xr:uid="{296046CE-F48D-45C0-A9C2-92ADCDB81531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CA29" authorId="0" shapeId="0" xr:uid="{999A5A25-4428-4B5C-84D8-4A46D1A57CFB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CC29" authorId="0" shapeId="0" xr:uid="{C52E48BA-7EFD-4700-BA7D-E47808F31AAE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CE29" authorId="0" shapeId="0" xr:uid="{B2EFF046-0DBE-43AC-BA37-B23A79EED9BD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CG29" authorId="0" shapeId="0" xr:uid="{FD91D275-CDA8-4221-BBA9-4F50EC79190E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CI29" authorId="0" shapeId="0" xr:uid="{620059EF-DD8E-40FF-8B7D-22AB91D7DD31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CK29" authorId="0" shapeId="0" xr:uid="{D7034032-BE27-426C-BD49-028892BB59C8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CM29" authorId="0" shapeId="0" xr:uid="{DFF12A1D-B786-469B-A45C-92F5D4DBF3E4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CO29" authorId="0" shapeId="0" xr:uid="{F9D2DCA2-672E-43E3-96B4-4E0023D6E53B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CQ29" authorId="0" shapeId="0" xr:uid="{E923663B-D761-4D40-91F2-0D246F2714C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CS29" authorId="0" shapeId="0" xr:uid="{108029C5-A774-4335-9984-CE5427BABDD7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CU29" authorId="0" shapeId="0" xr:uid="{FA7C6EE3-0324-42A9-8D62-216DF3CAD0F9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CW29" authorId="0" shapeId="0" xr:uid="{3E1A5CE2-901F-4D41-B13D-9F0B281D069D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CY29" authorId="0" shapeId="0" xr:uid="{2CE67A0E-907B-41AA-AB32-1EACF551C00E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DA29" authorId="0" shapeId="0" xr:uid="{AA170A50-739C-4C26-9124-66871E2A18AD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DC29" authorId="0" shapeId="0" xr:uid="{C8A3BDE8-BA98-4C8D-9A4A-6C6F71BBF2A3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DE29" authorId="0" shapeId="0" xr:uid="{C2EB266E-D3F9-48ED-B701-2CA9636E54B6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DG29" authorId="0" shapeId="0" xr:uid="{9F71A7E4-80D8-4E25-83F6-AD5CA61FC919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DI29" authorId="0" shapeId="0" xr:uid="{14809DE5-75D7-438E-81D2-9C43F0399419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DK29" authorId="0" shapeId="0" xr:uid="{F778E73A-A1FC-495D-983F-8D7816E0E002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DM29" authorId="0" shapeId="0" xr:uid="{85FABE11-CD5A-4685-B046-0C9704520CDC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DO29" authorId="0" shapeId="0" xr:uid="{94AD6476-C9A2-49B7-8EB6-6B0FC7CF3936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DQ29" authorId="0" shapeId="0" xr:uid="{EC23E023-05C6-4A8D-B580-2E422B8BE3A5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DS29" authorId="0" shapeId="0" xr:uid="{1F5D49F0-9A8B-4FA1-A768-4BB239238F69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DU29" authorId="0" shapeId="0" xr:uid="{A118AD07-AED2-4A0E-BD0E-3C8AFF53943E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DW29" authorId="0" shapeId="0" xr:uid="{0092AF5D-0D06-4B6C-AD62-B8628AE29D46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DY29" authorId="0" shapeId="0" xr:uid="{38471BB8-FD32-4E13-9D32-6305F8F364B0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EA29" authorId="0" shapeId="0" xr:uid="{1CF2D33C-5F36-430B-A986-CDBB473DEECB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EC29" authorId="0" shapeId="0" xr:uid="{2D80A8B0-99E5-4AFE-ABFD-A32B4CBA5EA1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EE29" authorId="0" shapeId="0" xr:uid="{C399CC68-00E1-4852-B9F4-B83D70B21F14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EG29" authorId="0" shapeId="0" xr:uid="{7FBD37FF-6C65-4C54-9130-D458CC88EC0D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EI29" authorId="0" shapeId="0" xr:uid="{B93DF2D8-53D2-4233-8ADF-ABA17BE3C7EA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EK29" authorId="0" shapeId="0" xr:uid="{B42A176C-C53C-4071-B1A3-A973F0ED0206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EM29" authorId="0" shapeId="0" xr:uid="{25153083-4198-4276-8560-1B6461280776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EO29" authorId="0" shapeId="0" xr:uid="{76538722-EEA6-4766-A740-233F47476B46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EQ29" authorId="0" shapeId="0" xr:uid="{E929F953-EEBA-47C7-A9EA-0A74E05FDBEE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  <comment ref="ES29" authorId="0" shapeId="0" xr:uid="{C24AE268-7717-4486-8D3C-3231CBDDCF91}">
      <text>
        <r>
          <rPr>
            <b/>
            <sz val="9"/>
            <color indexed="81"/>
            <rFont val="Tahoma"/>
            <family val="2"/>
          </rPr>
          <t>chenjohn:</t>
        </r>
        <r>
          <rPr>
            <sz val="9"/>
            <color indexed="81"/>
            <rFont val="Tahoma"/>
            <family val="2"/>
          </rPr>
          <t xml:space="preserve">
removal of +40027+39782</t>
        </r>
      </text>
    </comment>
  </commentList>
</comments>
</file>

<file path=xl/sharedStrings.xml><?xml version="1.0" encoding="utf-8"?>
<sst xmlns="http://schemas.openxmlformats.org/spreadsheetml/2006/main" count="1795" uniqueCount="247">
  <si>
    <t>AMB  OS</t>
  </si>
  <si>
    <t>AMD  OS</t>
  </si>
  <si>
    <t>AMW  OS</t>
  </si>
  <si>
    <t>WPH  OS</t>
  </si>
  <si>
    <t>WPV  OS</t>
  </si>
  <si>
    <t>AMB C</t>
  </si>
  <si>
    <t>AMD C</t>
  </si>
  <si>
    <t>AMW C</t>
  </si>
  <si>
    <t>BSG C</t>
  </si>
  <si>
    <t>BSL C</t>
  </si>
  <si>
    <t>BSP C</t>
  </si>
  <si>
    <t>BSS C</t>
  </si>
  <si>
    <t>BST C</t>
  </si>
  <si>
    <t>WPH C</t>
  </si>
  <si>
    <t>WPS C</t>
  </si>
  <si>
    <t>WPV C</t>
  </si>
  <si>
    <t>AMB F</t>
  </si>
  <si>
    <t>AMD F</t>
  </si>
  <si>
    <t>AMW F</t>
  </si>
  <si>
    <t>BSL F</t>
  </si>
  <si>
    <t>BST F</t>
  </si>
  <si>
    <t>WPH F</t>
  </si>
  <si>
    <t>WPS F</t>
  </si>
  <si>
    <t>WPX F</t>
  </si>
  <si>
    <t>AMBE</t>
  </si>
  <si>
    <t>BSGE</t>
  </si>
  <si>
    <t>AMBI</t>
  </si>
  <si>
    <t>AMDI</t>
  </si>
  <si>
    <t>BSLI</t>
  </si>
  <si>
    <t>BSSI</t>
  </si>
  <si>
    <t>BSTI</t>
  </si>
  <si>
    <t>WPHI</t>
  </si>
  <si>
    <t>WPVI</t>
  </si>
  <si>
    <t>AMB L</t>
  </si>
  <si>
    <t>AMD L</t>
  </si>
  <si>
    <t>AMW L</t>
  </si>
  <si>
    <t>BSL L</t>
  </si>
  <si>
    <t>BSP L</t>
  </si>
  <si>
    <t>BSS L</t>
  </si>
  <si>
    <t>BST L</t>
  </si>
  <si>
    <t>WPH L</t>
  </si>
  <si>
    <t>WPS L</t>
  </si>
  <si>
    <t>WPV L</t>
  </si>
  <si>
    <t>WPX L</t>
  </si>
  <si>
    <t>AMB T</t>
  </si>
  <si>
    <t>AMD T</t>
  </si>
  <si>
    <t>AMW T</t>
  </si>
  <si>
    <t>BSG T</t>
  </si>
  <si>
    <t>BSL T</t>
  </si>
  <si>
    <t>BSP T</t>
  </si>
  <si>
    <t>BSS T</t>
  </si>
  <si>
    <t>BST T</t>
  </si>
  <si>
    <t>WPH T</t>
  </si>
  <si>
    <t>WPS T</t>
  </si>
  <si>
    <t>WPV T</t>
  </si>
  <si>
    <t>WPX T</t>
  </si>
  <si>
    <t>AMDE</t>
  </si>
  <si>
    <t>AMWE</t>
  </si>
  <si>
    <t>AMWI</t>
  </si>
  <si>
    <t>WPX  OS</t>
  </si>
  <si>
    <t>WPX C</t>
  </si>
  <si>
    <t>WPXI</t>
  </si>
  <si>
    <t>WPV F</t>
  </si>
  <si>
    <t>WPS  OS</t>
  </si>
  <si>
    <t>WPSI</t>
  </si>
  <si>
    <t>BSP F</t>
  </si>
  <si>
    <t>BSPI</t>
  </si>
  <si>
    <t>BSS F</t>
  </si>
  <si>
    <t>BSGI</t>
  </si>
  <si>
    <t>BSG L</t>
  </si>
  <si>
    <t>BSG F</t>
  </si>
  <si>
    <t>Wharehouse</t>
  </si>
  <si>
    <t>1. FTL - FULL TRUCK LOAD, LTL - LESS THAN TRUCK LOAD, CPU - CUSTOMER PICK UP</t>
  </si>
  <si>
    <t>SW</t>
  </si>
  <si>
    <t>XF</t>
  </si>
  <si>
    <t>PCR</t>
  </si>
  <si>
    <t>Type</t>
  </si>
  <si>
    <t>Weight</t>
  </si>
  <si>
    <t>%</t>
  </si>
  <si>
    <t>FTL</t>
  </si>
  <si>
    <t>LTL</t>
  </si>
  <si>
    <t>Export</t>
  </si>
  <si>
    <t>Sample</t>
  </si>
  <si>
    <t>Prepaid Total</t>
  </si>
  <si>
    <t>Grand Total</t>
  </si>
  <si>
    <t>BOPP</t>
  </si>
  <si>
    <t>PROFILE</t>
  </si>
  <si>
    <t>PVC</t>
  </si>
  <si>
    <t>CPU (Lolita)</t>
  </si>
  <si>
    <t>Intermodal</t>
  </si>
  <si>
    <t xml:space="preserve">NOTE : </t>
  </si>
  <si>
    <t>Product</t>
  </si>
  <si>
    <t>TOTAL</t>
  </si>
  <si>
    <t>2. The shipping weight is based on AS400 Key-in information including Lolita, Outside Warehouses, and Reconsigned shipments.</t>
  </si>
  <si>
    <t>Transportation</t>
  </si>
  <si>
    <t>CT</t>
  </si>
  <si>
    <t>T-Shirt</t>
  </si>
  <si>
    <t>Produce</t>
  </si>
  <si>
    <t>ITCL</t>
  </si>
  <si>
    <t>CTCL</t>
  </si>
  <si>
    <t>3. The total shipping weight did not subtract the return and reconsign shipment(s).</t>
  </si>
  <si>
    <t xml:space="preserve"> Weight </t>
  </si>
  <si>
    <t>Reconsignment</t>
  </si>
  <si>
    <t>BST  OS</t>
  </si>
  <si>
    <t>BSS  OS</t>
  </si>
  <si>
    <t>N/A</t>
  </si>
  <si>
    <t xml:space="preserve"> </t>
  </si>
  <si>
    <t>Railcar</t>
  </si>
  <si>
    <t>BSL  OS</t>
  </si>
  <si>
    <t>WPHR</t>
  </si>
  <si>
    <t>WPHE</t>
  </si>
  <si>
    <t>AMD  RC</t>
  </si>
  <si>
    <t>WPV  RC</t>
  </si>
  <si>
    <t>All Others</t>
  </si>
  <si>
    <t>AMB  RC</t>
  </si>
  <si>
    <t>AMBR</t>
  </si>
  <si>
    <t>AMW  RC</t>
  </si>
  <si>
    <t>2 spaces</t>
  </si>
  <si>
    <t>1 space</t>
  </si>
  <si>
    <t>AMWR</t>
  </si>
  <si>
    <t>AMDR</t>
  </si>
  <si>
    <t>WPH  RC</t>
  </si>
  <si>
    <t>WPS  RC</t>
  </si>
  <si>
    <t>no</t>
  </si>
  <si>
    <t>WPVE</t>
  </si>
  <si>
    <t>WPVR</t>
  </si>
  <si>
    <t>WPXR</t>
  </si>
  <si>
    <t>WPXE</t>
  </si>
  <si>
    <t>H+S</t>
  </si>
  <si>
    <t>WPSE</t>
  </si>
  <si>
    <t>WPSR</t>
  </si>
  <si>
    <t>WPX  RC</t>
  </si>
  <si>
    <t>BSTE</t>
  </si>
  <si>
    <t>BSTR</t>
  </si>
  <si>
    <t>BST  RC</t>
  </si>
  <si>
    <t>BSP  RC</t>
  </si>
  <si>
    <t>BSPE</t>
  </si>
  <si>
    <t>BSPR</t>
  </si>
  <si>
    <t>BSP  OS</t>
  </si>
  <si>
    <t>BSS  RC</t>
  </si>
  <si>
    <t>BSSR</t>
  </si>
  <si>
    <t>BSSE</t>
  </si>
  <si>
    <t>BSL  RC</t>
  </si>
  <si>
    <t>BSG  RC</t>
  </si>
  <si>
    <t>BSG  OS</t>
  </si>
  <si>
    <t>BSGR</t>
  </si>
  <si>
    <t>BSLR</t>
  </si>
  <si>
    <t>BSLE</t>
  </si>
  <si>
    <t>&lt;--sub-total</t>
  </si>
  <si>
    <t>TRANSPORTATION TYPE FOR SHIPPING VOLUME   (IBS)</t>
  </si>
  <si>
    <t>TRANSPORTATION TYPE FOR SHIPPING VOLUME  (AMTOPP)</t>
  </si>
  <si>
    <t>TRANSPORTATION TYPE FOR SHIPPING VOLUME  (WORLD-PAK)</t>
  </si>
  <si>
    <t>BS</t>
  </si>
  <si>
    <t>AM</t>
  </si>
  <si>
    <t>WP</t>
  </si>
  <si>
    <t>IP</t>
  </si>
  <si>
    <t>Space</t>
  </si>
  <si>
    <t>with sample</t>
  </si>
  <si>
    <t>AMY C</t>
  </si>
  <si>
    <t>AMY T</t>
  </si>
  <si>
    <t>20/01</t>
  </si>
  <si>
    <t>20/02</t>
  </si>
  <si>
    <t>20/03</t>
  </si>
  <si>
    <t>20/04</t>
  </si>
  <si>
    <t>20/05</t>
  </si>
  <si>
    <t>20/06</t>
  </si>
  <si>
    <t>BSY C</t>
  </si>
  <si>
    <t>BSY T</t>
  </si>
  <si>
    <t>20/07</t>
  </si>
  <si>
    <t>20/08</t>
  </si>
  <si>
    <t>20/09</t>
  </si>
  <si>
    <t>20/10</t>
  </si>
  <si>
    <t>20/11</t>
  </si>
  <si>
    <t>20/12</t>
  </si>
  <si>
    <t>21/01</t>
  </si>
  <si>
    <t>21/02</t>
  </si>
  <si>
    <t>21/03</t>
  </si>
  <si>
    <t>21/04</t>
  </si>
  <si>
    <t>21/05</t>
  </si>
  <si>
    <t>_x001A_</t>
  </si>
  <si>
    <t>21/06</t>
  </si>
  <si>
    <t>21/07</t>
  </si>
  <si>
    <t>AM1 C</t>
  </si>
  <si>
    <t>AM1 T</t>
  </si>
  <si>
    <t>21/08</t>
  </si>
  <si>
    <t>21/09</t>
  </si>
  <si>
    <t>21/10</t>
  </si>
  <si>
    <t>21/11</t>
  </si>
  <si>
    <t>AMS T</t>
  </si>
  <si>
    <t>21/12</t>
  </si>
  <si>
    <t>22/01</t>
  </si>
  <si>
    <t>22/02</t>
  </si>
  <si>
    <t>22/03</t>
  </si>
  <si>
    <t>22/04</t>
  </si>
  <si>
    <t>22/05</t>
  </si>
  <si>
    <t>22/06</t>
  </si>
  <si>
    <t>22/07</t>
  </si>
  <si>
    <t>22/08</t>
  </si>
  <si>
    <t>22/09</t>
  </si>
  <si>
    <t>22/10</t>
  </si>
  <si>
    <t>22/11</t>
  </si>
  <si>
    <t>22/12</t>
  </si>
  <si>
    <t>23/01</t>
  </si>
  <si>
    <t>23/02</t>
  </si>
  <si>
    <t>23/03</t>
  </si>
  <si>
    <t>23/04</t>
  </si>
  <si>
    <t>23/05</t>
  </si>
  <si>
    <t>23/06</t>
  </si>
  <si>
    <t>23/07</t>
  </si>
  <si>
    <t>23/08</t>
  </si>
  <si>
    <t>23/09</t>
  </si>
  <si>
    <t>23/10</t>
  </si>
  <si>
    <t>23/11</t>
  </si>
  <si>
    <t>23/12</t>
  </si>
  <si>
    <t>24/01</t>
  </si>
  <si>
    <t>24/02</t>
  </si>
  <si>
    <t>24/03</t>
  </si>
  <si>
    <t>24/04</t>
  </si>
  <si>
    <t>24/05</t>
  </si>
  <si>
    <t>24/06</t>
  </si>
  <si>
    <t>24/07</t>
  </si>
  <si>
    <t>24/08</t>
  </si>
  <si>
    <t>24/09</t>
  </si>
  <si>
    <t>24/10</t>
  </si>
  <si>
    <t>24/11</t>
  </si>
  <si>
    <t>24/12</t>
  </si>
  <si>
    <t>AMI T</t>
  </si>
  <si>
    <t>25/01</t>
  </si>
  <si>
    <t>25/02</t>
  </si>
  <si>
    <t>25/03</t>
  </si>
  <si>
    <t>25/04</t>
  </si>
  <si>
    <t>25/05</t>
  </si>
  <si>
    <t>25/06</t>
  </si>
  <si>
    <t>25/07</t>
  </si>
  <si>
    <t>25/08</t>
  </si>
  <si>
    <t>25/09</t>
  </si>
  <si>
    <t>25/10</t>
  </si>
  <si>
    <t>25/11</t>
  </si>
  <si>
    <t>25/12</t>
  </si>
  <si>
    <t>26/01</t>
  </si>
  <si>
    <t>BS6  OS</t>
  </si>
  <si>
    <t>BS6 C</t>
  </si>
  <si>
    <t>BS6 L</t>
  </si>
  <si>
    <t>BS6 T</t>
  </si>
  <si>
    <t>26/02</t>
  </si>
  <si>
    <t xml:space="preserve"> 2026 YTD-Avg </t>
  </si>
  <si>
    <t># of Mons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</si>
</sst>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mm/dd/yy"/>
    <numFmt numFmtId="167" formatCode="_(* #,##0.000000_);_(* \(#,##0.000000\);_(* &quot;-&quot;??_);_(@_)"/>
    <numFmt numFmtId="168" formatCode="_-&quot;$&quot;* #,##0_-;\-&quot;$&quot;* #,##0_-;_-&quot;$&quot;* &quot;-&quot;_-;_-@_-"/>
    <numFmt numFmtId="169" formatCode="_(* #,##0.000000000_);_(* \(#,##0.000000000\);_(* &quot;-&quot;??_);_(@_)"/>
    <numFmt numFmtId="170" formatCode="_(* #,##0.000000000000000_);_(* \(#,##0.000000000000000\);_(* &quot;-&quot;??_);_(@_)"/>
  </numFmts>
  <fonts count="42" x14ac:knownFonts="1">
    <font>
      <sz val="10"/>
      <name val="Arial"/>
    </font>
    <font>
      <sz val="10"/>
      <name val="Arial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b/>
      <sz val="8"/>
      <name val="MS Sans Serif"/>
      <family val="2"/>
    </font>
    <font>
      <sz val="8"/>
      <name val="Wingdings"/>
      <charset val="2"/>
    </font>
    <font>
      <sz val="8"/>
      <name val="Helv"/>
    </font>
    <font>
      <sz val="8"/>
      <name val="MS Sans Serif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color indexed="8"/>
      <name val="Times New Roman"/>
      <family val="1"/>
    </font>
    <font>
      <b/>
      <sz val="8"/>
      <name val="Times New Roman"/>
      <family val="1"/>
    </font>
    <font>
      <b/>
      <sz val="10"/>
      <color indexed="10"/>
      <name val="Arial"/>
      <family val="2"/>
    </font>
    <font>
      <b/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10"/>
      <color indexed="12"/>
      <name val="Times New Roman"/>
      <family val="1"/>
    </font>
    <font>
      <sz val="10"/>
      <color indexed="10"/>
      <name val="Times New Roman"/>
      <family val="1"/>
    </font>
    <font>
      <sz val="10"/>
      <color indexed="16"/>
      <name val="Times New Roman"/>
      <family val="1"/>
    </font>
    <font>
      <b/>
      <sz val="10"/>
      <color indexed="16"/>
      <name val="Times New Roman"/>
      <family val="1"/>
    </font>
    <font>
      <sz val="10"/>
      <color indexed="17"/>
      <name val="Times New Roman"/>
      <family val="1"/>
    </font>
    <font>
      <b/>
      <sz val="10"/>
      <color indexed="17"/>
      <name val="Times New Roman"/>
      <family val="1"/>
    </font>
    <font>
      <sz val="10"/>
      <color indexed="10"/>
      <name val="Arial"/>
      <family val="2"/>
    </font>
    <font>
      <b/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Times New Roman"/>
      <family val="1"/>
    </font>
    <font>
      <sz val="10"/>
      <color rgb="FF0000FF"/>
      <name val="Times New Roman"/>
      <family val="1"/>
    </font>
    <font>
      <b/>
      <u/>
      <sz val="14"/>
      <color indexed="12"/>
      <name val="Arial"/>
      <family val="2"/>
    </font>
    <font>
      <b/>
      <u/>
      <sz val="14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2">
    <xf numFmtId="0" fontId="0" fillId="0" borderId="0"/>
    <xf numFmtId="0" fontId="7" fillId="0" borderId="0">
      <alignment horizontal="center" wrapText="1"/>
      <protection locked="0"/>
    </xf>
    <xf numFmtId="167" fontId="1" fillId="0" borderId="0" applyFill="0" applyBorder="0" applyAlignment="0"/>
    <xf numFmtId="43" fontId="1" fillId="0" borderId="0" applyFont="0" applyFill="0" applyBorder="0" applyAlignment="0" applyProtection="0"/>
    <xf numFmtId="0" fontId="8" fillId="0" borderId="0" applyNumberFormat="0" applyAlignment="0">
      <alignment horizontal="left"/>
    </xf>
    <xf numFmtId="0" fontId="9" fillId="0" borderId="0" applyNumberFormat="0" applyAlignment="0">
      <alignment horizontal="left"/>
    </xf>
    <xf numFmtId="38" fontId="10" fillId="2" borderId="0" applyNumberFormat="0" applyBorder="0" applyAlignment="0" applyProtection="0"/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0" fontId="12" fillId="0" borderId="3">
      <alignment horizontal="center"/>
    </xf>
    <xf numFmtId="0" fontId="12" fillId="0" borderId="0">
      <alignment horizontal="center"/>
    </xf>
    <xf numFmtId="10" fontId="10" fillId="3" borderId="4" applyNumberFormat="0" applyBorder="0" applyAlignment="0" applyProtection="0"/>
    <xf numFmtId="168" fontId="1" fillId="0" borderId="0"/>
    <xf numFmtId="0" fontId="1" fillId="0" borderId="0"/>
    <xf numFmtId="14" fontId="7" fillId="0" borderId="0">
      <alignment horizontal="center" wrapText="1"/>
      <protection locked="0"/>
    </xf>
    <xf numFmtId="9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13" fillId="4" borderId="0" applyNumberFormat="0" applyFont="0" applyBorder="0" applyAlignment="0">
      <alignment horizontal="center"/>
    </xf>
    <xf numFmtId="166" fontId="14" fillId="0" borderId="0" applyNumberFormat="0" applyFill="0" applyBorder="0" applyAlignment="0" applyProtection="0">
      <alignment horizontal="left"/>
    </xf>
    <xf numFmtId="0" fontId="13" fillId="1" borderId="2" applyNumberFormat="0" applyFont="0" applyAlignment="0">
      <alignment horizontal="center"/>
    </xf>
    <xf numFmtId="0" fontId="15" fillId="0" borderId="0" applyNumberFormat="0" applyFill="0" applyBorder="0" applyAlignment="0">
      <alignment horizontal="center"/>
    </xf>
    <xf numFmtId="40" fontId="16" fillId="0" borderId="0" applyBorder="0">
      <alignment horizontal="right"/>
    </xf>
  </cellStyleXfs>
  <cellXfs count="274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164" fontId="3" fillId="0" borderId="4" xfId="3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164" fontId="3" fillId="0" borderId="6" xfId="3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0" xfId="13" applyFont="1" applyAlignment="1">
      <alignment vertical="center"/>
    </xf>
    <xf numFmtId="0" fontId="2" fillId="0" borderId="0" xfId="13" applyFont="1" applyAlignment="1">
      <alignment vertical="center"/>
    </xf>
    <xf numFmtId="0" fontId="3" fillId="0" borderId="5" xfId="13" applyFont="1" applyBorder="1" applyAlignment="1">
      <alignment vertical="center"/>
    </xf>
    <xf numFmtId="0" fontId="5" fillId="0" borderId="5" xfId="13" applyFont="1" applyBorder="1" applyAlignment="1">
      <alignment horizontal="center" vertical="center"/>
    </xf>
    <xf numFmtId="0" fontId="3" fillId="0" borderId="7" xfId="13" applyFont="1" applyBorder="1" applyAlignment="1">
      <alignment vertical="center"/>
    </xf>
    <xf numFmtId="0" fontId="6" fillId="0" borderId="0" xfId="13" applyFont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64" fontId="3" fillId="0" borderId="10" xfId="3" applyNumberFormat="1" applyFont="1" applyBorder="1" applyAlignment="1">
      <alignment vertical="center"/>
    </xf>
    <xf numFmtId="164" fontId="3" fillId="0" borderId="11" xfId="3" applyNumberFormat="1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164" fontId="3" fillId="0" borderId="13" xfId="3" applyNumberFormat="1" applyFont="1" applyBorder="1" applyAlignment="1">
      <alignment vertical="center"/>
    </xf>
    <xf numFmtId="165" fontId="3" fillId="0" borderId="0" xfId="15" applyNumberFormat="1" applyFont="1" applyBorder="1" applyAlignment="1">
      <alignment vertical="center"/>
    </xf>
    <xf numFmtId="165" fontId="3" fillId="0" borderId="12" xfId="15" applyNumberFormat="1" applyFont="1" applyBorder="1" applyAlignment="1">
      <alignment vertical="center"/>
    </xf>
    <xf numFmtId="165" fontId="3" fillId="0" borderId="8" xfId="15" applyNumberFormat="1" applyFont="1" applyBorder="1" applyAlignment="1">
      <alignment vertical="center"/>
    </xf>
    <xf numFmtId="165" fontId="3" fillId="0" borderId="9" xfId="15" applyNumberFormat="1" applyFont="1" applyBorder="1" applyAlignment="1">
      <alignment vertical="center"/>
    </xf>
    <xf numFmtId="165" fontId="3" fillId="0" borderId="0" xfId="15" applyNumberFormat="1" applyFont="1" applyAlignment="1">
      <alignment vertical="center"/>
    </xf>
    <xf numFmtId="165" fontId="3" fillId="0" borderId="14" xfId="15" applyNumberFormat="1" applyFont="1" applyBorder="1" applyAlignment="1">
      <alignment horizontal="center" vertical="center"/>
    </xf>
    <xf numFmtId="165" fontId="3" fillId="0" borderId="8" xfId="15" applyNumberFormat="1" applyFont="1" applyBorder="1" applyAlignment="1">
      <alignment horizontal="center" vertical="center"/>
    </xf>
    <xf numFmtId="165" fontId="3" fillId="0" borderId="9" xfId="15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13" applyFont="1" applyAlignment="1">
      <alignment horizontal="right" vertical="center"/>
    </xf>
    <xf numFmtId="165" fontId="21" fillId="0" borderId="0" xfId="15" applyNumberFormat="1" applyFont="1" applyAlignment="1">
      <alignment horizontal="right" vertical="center"/>
    </xf>
    <xf numFmtId="164" fontId="23" fillId="0" borderId="0" xfId="3" applyNumberFormat="1" applyFont="1" applyBorder="1" applyAlignment="1">
      <alignment vertical="center"/>
    </xf>
    <xf numFmtId="164" fontId="20" fillId="0" borderId="0" xfId="3" applyNumberFormat="1" applyFont="1" applyBorder="1" applyAlignment="1">
      <alignment vertical="center"/>
    </xf>
    <xf numFmtId="0" fontId="22" fillId="0" borderId="0" xfId="0" applyFont="1" applyAlignment="1">
      <alignment vertical="center"/>
    </xf>
    <xf numFmtId="0" fontId="20" fillId="0" borderId="7" xfId="0" applyFont="1" applyBorder="1" applyAlignment="1">
      <alignment vertical="center"/>
    </xf>
    <xf numFmtId="164" fontId="20" fillId="0" borderId="3" xfId="3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0" fontId="5" fillId="0" borderId="7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0" xfId="13" applyFont="1" applyAlignment="1">
      <alignment vertical="center"/>
    </xf>
    <xf numFmtId="0" fontId="22" fillId="0" borderId="0" xfId="13" applyFont="1" applyAlignment="1">
      <alignment vertical="center"/>
    </xf>
    <xf numFmtId="164" fontId="5" fillId="0" borderId="3" xfId="13" applyNumberFormat="1" applyFont="1" applyBorder="1" applyAlignment="1">
      <alignment vertical="center"/>
    </xf>
    <xf numFmtId="0" fontId="5" fillId="0" borderId="7" xfId="13" applyFont="1" applyBorder="1" applyAlignment="1">
      <alignment vertical="center"/>
    </xf>
    <xf numFmtId="164" fontId="20" fillId="0" borderId="3" xfId="13" applyNumberFormat="1" applyFont="1" applyBorder="1" applyAlignment="1">
      <alignment vertical="center"/>
    </xf>
    <xf numFmtId="0" fontId="24" fillId="0" borderId="15" xfId="0" applyFont="1" applyBorder="1" applyAlignment="1">
      <alignment vertical="center"/>
    </xf>
    <xf numFmtId="0" fontId="24" fillId="0" borderId="0" xfId="0" applyFont="1" applyBorder="1" applyAlignment="1">
      <alignment vertical="center"/>
    </xf>
    <xf numFmtId="0" fontId="3" fillId="0" borderId="0" xfId="13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13" xfId="3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0" fillId="0" borderId="16" xfId="0" applyFont="1" applyBorder="1" applyAlignment="1">
      <alignment vertical="center"/>
    </xf>
    <xf numFmtId="165" fontId="21" fillId="0" borderId="0" xfId="15" applyNumberFormat="1" applyFont="1" applyBorder="1" applyAlignment="1">
      <alignment horizontal="right" vertical="center"/>
    </xf>
    <xf numFmtId="164" fontId="3" fillId="0" borderId="10" xfId="3" applyNumberFormat="1" applyFont="1" applyFill="1" applyBorder="1" applyAlignment="1">
      <alignment vertical="center"/>
    </xf>
    <xf numFmtId="165" fontId="3" fillId="0" borderId="3" xfId="15" applyNumberFormat="1" applyFont="1" applyBorder="1" applyAlignment="1">
      <alignment vertical="center"/>
    </xf>
    <xf numFmtId="165" fontId="3" fillId="0" borderId="0" xfId="15" applyNumberFormat="1" applyFont="1" applyBorder="1" applyAlignment="1">
      <alignment horizontal="center" vertical="center"/>
    </xf>
    <xf numFmtId="0" fontId="24" fillId="0" borderId="17" xfId="13" applyFont="1" applyBorder="1" applyAlignment="1">
      <alignment horizontal="center" vertical="center"/>
    </xf>
    <xf numFmtId="0" fontId="24" fillId="0" borderId="18" xfId="13" applyFont="1" applyBorder="1" applyAlignment="1">
      <alignment horizontal="center" vertical="center"/>
    </xf>
    <xf numFmtId="0" fontId="27" fillId="0" borderId="7" xfId="13" applyFont="1" applyBorder="1" applyAlignment="1">
      <alignment vertical="center"/>
    </xf>
    <xf numFmtId="0" fontId="24" fillId="0" borderId="19" xfId="13" applyFont="1" applyBorder="1" applyAlignment="1">
      <alignment horizontal="center" vertical="center"/>
    </xf>
    <xf numFmtId="0" fontId="27" fillId="0" borderId="5" xfId="13" applyFont="1" applyBorder="1" applyAlignment="1">
      <alignment vertical="center"/>
    </xf>
    <xf numFmtId="0" fontId="24" fillId="0" borderId="12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5" xfId="13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8" fillId="0" borderId="5" xfId="13" applyFont="1" applyBorder="1" applyAlignment="1">
      <alignment vertical="center"/>
    </xf>
    <xf numFmtId="0" fontId="29" fillId="0" borderId="8" xfId="0" applyFont="1" applyBorder="1" applyAlignment="1">
      <alignment horizontal="center" vertical="center"/>
    </xf>
    <xf numFmtId="0" fontId="29" fillId="0" borderId="5" xfId="13" applyFont="1" applyBorder="1" applyAlignment="1">
      <alignment horizontal="center" vertical="center"/>
    </xf>
    <xf numFmtId="0" fontId="29" fillId="0" borderId="9" xfId="0" quotePrefix="1" applyFont="1" applyBorder="1" applyAlignment="1">
      <alignment horizontal="center" vertical="center"/>
    </xf>
    <xf numFmtId="0" fontId="28" fillId="0" borderId="7" xfId="13" applyFont="1" applyBorder="1" applyAlignment="1">
      <alignment vertical="center"/>
    </xf>
    <xf numFmtId="0" fontId="29" fillId="0" borderId="9" xfId="0" applyFont="1" applyBorder="1" applyAlignment="1">
      <alignment horizontal="center" vertical="center"/>
    </xf>
    <xf numFmtId="0" fontId="30" fillId="0" borderId="5" xfId="13" applyFont="1" applyBorder="1" applyAlignment="1">
      <alignment vertical="center"/>
    </xf>
    <xf numFmtId="0" fontId="31" fillId="0" borderId="8" xfId="0" applyFont="1" applyBorder="1" applyAlignment="1">
      <alignment horizontal="center" vertical="center"/>
    </xf>
    <xf numFmtId="0" fontId="31" fillId="0" borderId="5" xfId="13" applyFont="1" applyBorder="1" applyAlignment="1">
      <alignment horizontal="center" vertical="center"/>
    </xf>
    <xf numFmtId="0" fontId="31" fillId="0" borderId="9" xfId="0" quotePrefix="1" applyFont="1" applyBorder="1" applyAlignment="1">
      <alignment horizontal="center" vertical="center"/>
    </xf>
    <xf numFmtId="0" fontId="30" fillId="0" borderId="7" xfId="13" applyFont="1" applyBorder="1" applyAlignment="1">
      <alignment vertical="center"/>
    </xf>
    <xf numFmtId="0" fontId="31" fillId="0" borderId="9" xfId="0" applyFont="1" applyBorder="1" applyAlignment="1">
      <alignment horizontal="center" vertical="center"/>
    </xf>
    <xf numFmtId="0" fontId="26" fillId="0" borderId="5" xfId="13" applyFont="1" applyBorder="1" applyAlignment="1">
      <alignment vertical="center"/>
    </xf>
    <xf numFmtId="0" fontId="25" fillId="0" borderId="8" xfId="0" applyFont="1" applyBorder="1" applyAlignment="1">
      <alignment horizontal="center" vertical="center"/>
    </xf>
    <xf numFmtId="0" fontId="25" fillId="0" borderId="5" xfId="13" applyFont="1" applyBorder="1" applyAlignment="1">
      <alignment horizontal="center" vertical="center"/>
    </xf>
    <xf numFmtId="0" fontId="25" fillId="0" borderId="5" xfId="13" applyFont="1" applyBorder="1" applyAlignment="1">
      <alignment vertical="center"/>
    </xf>
    <xf numFmtId="0" fontId="25" fillId="0" borderId="9" xfId="0" quotePrefix="1" applyFont="1" applyBorder="1" applyAlignment="1">
      <alignment horizontal="center" vertical="center"/>
    </xf>
    <xf numFmtId="0" fontId="26" fillId="0" borderId="7" xfId="13" applyFont="1" applyBorder="1" applyAlignment="1">
      <alignment vertical="center"/>
    </xf>
    <xf numFmtId="0" fontId="25" fillId="0" borderId="9" xfId="0" applyFont="1" applyBorder="1" applyAlignment="1">
      <alignment horizontal="center" vertical="center"/>
    </xf>
    <xf numFmtId="10" fontId="3" fillId="0" borderId="8" xfId="15" applyNumberFormat="1" applyFont="1" applyBorder="1" applyAlignment="1">
      <alignment vertical="center"/>
    </xf>
    <xf numFmtId="10" fontId="3" fillId="0" borderId="12" xfId="15" applyNumberFormat="1" applyFont="1" applyBorder="1" applyAlignment="1">
      <alignment vertical="center"/>
    </xf>
    <xf numFmtId="10" fontId="3" fillId="0" borderId="9" xfId="15" applyNumberFormat="1" applyFont="1" applyBorder="1" applyAlignment="1">
      <alignment vertical="center"/>
    </xf>
    <xf numFmtId="9" fontId="3" fillId="0" borderId="9" xfId="15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13" applyFont="1" applyBorder="1" applyAlignment="1">
      <alignment vertical="center"/>
    </xf>
    <xf numFmtId="10" fontId="3" fillId="0" borderId="8" xfId="15" applyNumberFormat="1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164" fontId="20" fillId="5" borderId="20" xfId="3" applyNumberFormat="1" applyFont="1" applyFill="1" applyBorder="1" applyAlignment="1">
      <alignment vertical="center"/>
    </xf>
    <xf numFmtId="0" fontId="5" fillId="5" borderId="0" xfId="0" applyFont="1" applyFill="1" applyBorder="1" applyAlignment="1">
      <alignment vertical="center"/>
    </xf>
    <xf numFmtId="164" fontId="20" fillId="5" borderId="0" xfId="3" applyNumberFormat="1" applyFont="1" applyFill="1" applyBorder="1" applyAlignment="1">
      <alignment vertical="center"/>
    </xf>
    <xf numFmtId="0" fontId="5" fillId="5" borderId="15" xfId="0" applyFont="1" applyFill="1" applyBorder="1" applyAlignment="1">
      <alignment vertical="center"/>
    </xf>
    <xf numFmtId="0" fontId="36" fillId="0" borderId="0" xfId="0" applyFont="1" applyBorder="1"/>
    <xf numFmtId="43" fontId="36" fillId="0" borderId="0" xfId="3" applyFont="1" applyBorder="1"/>
    <xf numFmtId="0" fontId="36" fillId="0" borderId="0" xfId="0" applyFont="1"/>
    <xf numFmtId="43" fontId="36" fillId="0" borderId="0" xfId="0" applyNumberFormat="1" applyFont="1" applyBorder="1"/>
    <xf numFmtId="43" fontId="36" fillId="0" borderId="0" xfId="0" applyNumberFormat="1" applyFont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165" fontId="3" fillId="0" borderId="0" xfId="15" applyNumberFormat="1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164" fontId="5" fillId="0" borderId="21" xfId="3" quotePrefix="1" applyNumberFormat="1" applyFont="1" applyFill="1" applyBorder="1" applyAlignment="1">
      <alignment horizontal="center" vertical="center"/>
    </xf>
    <xf numFmtId="165" fontId="5" fillId="0" borderId="22" xfId="15" quotePrefix="1" applyNumberFormat="1" applyFont="1" applyFill="1" applyBorder="1" applyAlignment="1">
      <alignment horizontal="center" vertical="center"/>
    </xf>
    <xf numFmtId="165" fontId="5" fillId="0" borderId="0" xfId="15" quotePrefix="1" applyNumberFormat="1" applyFont="1" applyFill="1" applyBorder="1" applyAlignment="1">
      <alignment horizontal="center" vertical="center"/>
    </xf>
    <xf numFmtId="0" fontId="22" fillId="0" borderId="0" xfId="0" applyFont="1" applyFill="1" applyAlignment="1">
      <alignment vertical="center"/>
    </xf>
    <xf numFmtId="0" fontId="3" fillId="0" borderId="7" xfId="0" applyFont="1" applyFill="1" applyBorder="1" applyAlignment="1">
      <alignment vertical="center"/>
    </xf>
    <xf numFmtId="0" fontId="5" fillId="0" borderId="19" xfId="0" applyFont="1" applyFill="1" applyBorder="1" applyAlignment="1">
      <alignment horizontal="center" vertical="center"/>
    </xf>
    <xf numFmtId="164" fontId="5" fillId="0" borderId="23" xfId="3" applyNumberFormat="1" applyFont="1" applyFill="1" applyBorder="1" applyAlignment="1">
      <alignment horizontal="center" vertical="center"/>
    </xf>
    <xf numFmtId="165" fontId="5" fillId="0" borderId="9" xfId="15" applyNumberFormat="1" applyFont="1" applyFill="1" applyBorder="1" applyAlignment="1">
      <alignment horizontal="center" vertical="center"/>
    </xf>
    <xf numFmtId="165" fontId="5" fillId="0" borderId="3" xfId="15" applyNumberFormat="1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vertical="center"/>
    </xf>
    <xf numFmtId="0" fontId="22" fillId="0" borderId="3" xfId="0" applyFont="1" applyFill="1" applyBorder="1" applyAlignment="1">
      <alignment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65" fontId="3" fillId="0" borderId="0" xfId="15" applyNumberFormat="1" applyFont="1" applyFill="1" applyAlignment="1">
      <alignment vertical="center"/>
    </xf>
    <xf numFmtId="0" fontId="22" fillId="0" borderId="16" xfId="0" applyFont="1" applyFill="1" applyBorder="1" applyAlignment="1">
      <alignment vertical="center"/>
    </xf>
    <xf numFmtId="0" fontId="22" fillId="0" borderId="3" xfId="0" quotePrefix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Continuous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165" fontId="4" fillId="0" borderId="0" xfId="15" applyNumberFormat="1" applyFont="1" applyFill="1" applyAlignment="1">
      <alignment vertical="center"/>
    </xf>
    <xf numFmtId="0" fontId="5" fillId="0" borderId="0" xfId="13" applyFont="1" applyFill="1" applyAlignment="1">
      <alignment vertical="center"/>
    </xf>
    <xf numFmtId="0" fontId="3" fillId="0" borderId="0" xfId="13" applyFont="1" applyFill="1" applyAlignment="1">
      <alignment horizontal="center" vertical="center"/>
    </xf>
    <xf numFmtId="0" fontId="3" fillId="0" borderId="0" xfId="13" applyFont="1" applyFill="1" applyAlignment="1">
      <alignment vertical="center"/>
    </xf>
    <xf numFmtId="0" fontId="4" fillId="0" borderId="0" xfId="13" applyFont="1" applyFill="1" applyAlignment="1">
      <alignment horizontal="left" vertical="center"/>
    </xf>
    <xf numFmtId="0" fontId="4" fillId="0" borderId="0" xfId="13" applyFont="1" applyFill="1" applyAlignment="1">
      <alignment horizontal="center" vertical="center"/>
    </xf>
    <xf numFmtId="0" fontId="2" fillId="0" borderId="0" xfId="13" applyFont="1" applyFill="1" applyAlignment="1">
      <alignment vertical="center"/>
    </xf>
    <xf numFmtId="0" fontId="22" fillId="0" borderId="0" xfId="13" applyFont="1" applyFill="1" applyAlignment="1">
      <alignment vertical="center"/>
    </xf>
    <xf numFmtId="0" fontId="22" fillId="0" borderId="7" xfId="13" applyFont="1" applyFill="1" applyBorder="1" applyAlignment="1">
      <alignment vertical="center"/>
    </xf>
    <xf numFmtId="0" fontId="22" fillId="0" borderId="3" xfId="13" applyFont="1" applyFill="1" applyBorder="1" applyAlignment="1">
      <alignment vertical="center"/>
    </xf>
    <xf numFmtId="0" fontId="19" fillId="0" borderId="5" xfId="0" applyFont="1" applyFill="1" applyBorder="1" applyAlignment="1">
      <alignment vertical="center"/>
    </xf>
    <xf numFmtId="164" fontId="1" fillId="5" borderId="20" xfId="3" applyNumberFormat="1" applyFont="1" applyFill="1" applyBorder="1" applyAlignment="1">
      <alignment vertical="center"/>
    </xf>
    <xf numFmtId="164" fontId="32" fillId="0" borderId="0" xfId="3" applyNumberFormat="1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164" fontId="1" fillId="0" borderId="0" xfId="3" applyNumberFormat="1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164" fontId="32" fillId="5" borderId="20" xfId="3" applyNumberFormat="1" applyFont="1" applyFill="1" applyBorder="1" applyAlignment="1">
      <alignment vertical="center"/>
    </xf>
    <xf numFmtId="0" fontId="27" fillId="0" borderId="0" xfId="0" applyFont="1" applyBorder="1" applyAlignment="1">
      <alignment vertical="center"/>
    </xf>
    <xf numFmtId="164" fontId="3" fillId="0" borderId="15" xfId="0" applyNumberFormat="1" applyFont="1" applyBorder="1" applyAlignment="1">
      <alignment vertical="center"/>
    </xf>
    <xf numFmtId="164" fontId="1" fillId="5" borderId="0" xfId="3" applyNumberFormat="1" applyFont="1" applyFill="1" applyBorder="1" applyAlignment="1">
      <alignment vertical="center"/>
    </xf>
    <xf numFmtId="164" fontId="3" fillId="5" borderId="20" xfId="0" applyNumberFormat="1" applyFont="1" applyFill="1" applyBorder="1" applyAlignment="1">
      <alignment vertical="center"/>
    </xf>
    <xf numFmtId="0" fontId="32" fillId="0" borderId="15" xfId="0" applyFont="1" applyBorder="1" applyAlignment="1">
      <alignment vertical="center"/>
    </xf>
    <xf numFmtId="164" fontId="27" fillId="5" borderId="20" xfId="0" applyNumberFormat="1" applyFont="1" applyFill="1" applyBorder="1" applyAlignment="1">
      <alignment vertical="center"/>
    </xf>
    <xf numFmtId="0" fontId="1" fillId="0" borderId="15" xfId="0" applyFont="1" applyBorder="1" applyAlignment="1">
      <alignment vertical="center"/>
    </xf>
    <xf numFmtId="164" fontId="33" fillId="0" borderId="0" xfId="3" applyNumberFormat="1" applyFont="1" applyAlignment="1">
      <alignment vertical="center"/>
    </xf>
    <xf numFmtId="169" fontId="5" fillId="0" borderId="0" xfId="3" applyNumberFormat="1" applyFont="1" applyBorder="1" applyAlignment="1">
      <alignment vertical="center"/>
    </xf>
    <xf numFmtId="0" fontId="3" fillId="0" borderId="5" xfId="13" applyFont="1" applyFill="1" applyBorder="1" applyAlignment="1">
      <alignment vertical="center"/>
    </xf>
    <xf numFmtId="0" fontId="5" fillId="0" borderId="8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vertical="center"/>
    </xf>
    <xf numFmtId="164" fontId="1" fillId="0" borderId="0" xfId="3" applyNumberFormat="1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164" fontId="1" fillId="0" borderId="20" xfId="3" applyNumberFormat="1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3" xfId="13" applyFont="1" applyFill="1" applyBorder="1" applyAlignment="1">
      <alignment vertical="center"/>
    </xf>
    <xf numFmtId="0" fontId="3" fillId="0" borderId="3" xfId="13" applyFont="1" applyFill="1" applyBorder="1" applyAlignment="1">
      <alignment horizontal="center" vertical="center"/>
    </xf>
    <xf numFmtId="0" fontId="22" fillId="0" borderId="17" xfId="0" applyFont="1" applyFill="1" applyBorder="1" applyAlignment="1">
      <alignment vertical="center"/>
    </xf>
    <xf numFmtId="0" fontId="22" fillId="0" borderId="24" xfId="0" applyFont="1" applyFill="1" applyBorder="1" applyAlignment="1">
      <alignment vertical="center"/>
    </xf>
    <xf numFmtId="0" fontId="22" fillId="0" borderId="18" xfId="0" applyFont="1" applyFill="1" applyBorder="1" applyAlignment="1">
      <alignment horizontal="center" vertical="center"/>
    </xf>
    <xf numFmtId="0" fontId="22" fillId="0" borderId="19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64" fontId="5" fillId="0" borderId="0" xfId="0" applyNumberFormat="1" applyFont="1" applyBorder="1" applyAlignment="1">
      <alignment vertical="center"/>
    </xf>
    <xf numFmtId="164" fontId="5" fillId="6" borderId="3" xfId="0" applyNumberFormat="1" applyFont="1" applyFill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0" fontId="22" fillId="0" borderId="27" xfId="0" applyFont="1" applyFill="1" applyBorder="1" applyAlignment="1">
      <alignment vertical="center"/>
    </xf>
    <xf numFmtId="0" fontId="2" fillId="0" borderId="18" xfId="0" applyFont="1" applyFill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vertical="center"/>
    </xf>
    <xf numFmtId="164" fontId="5" fillId="5" borderId="0" xfId="0" applyNumberFormat="1" applyFont="1" applyFill="1" applyBorder="1" applyAlignment="1">
      <alignment vertical="center"/>
    </xf>
    <xf numFmtId="164" fontId="24" fillId="5" borderId="0" xfId="0" applyNumberFormat="1" applyFont="1" applyFill="1" applyBorder="1" applyAlignment="1">
      <alignment vertical="center"/>
    </xf>
    <xf numFmtId="0" fontId="3" fillId="5" borderId="25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2" fillId="0" borderId="17" xfId="13" applyFont="1" applyFill="1" applyBorder="1" applyAlignment="1">
      <alignment vertical="center"/>
    </xf>
    <xf numFmtId="0" fontId="22" fillId="0" borderId="24" xfId="13" applyFont="1" applyFill="1" applyBorder="1" applyAlignment="1">
      <alignment vertical="center"/>
    </xf>
    <xf numFmtId="0" fontId="2" fillId="0" borderId="18" xfId="13" applyFont="1" applyFill="1" applyBorder="1" applyAlignment="1">
      <alignment horizontal="center" vertical="center"/>
    </xf>
    <xf numFmtId="0" fontId="22" fillId="0" borderId="19" xfId="13" applyFont="1" applyFill="1" applyBorder="1" applyAlignment="1">
      <alignment horizontal="center" vertical="center"/>
    </xf>
    <xf numFmtId="0" fontId="5" fillId="0" borderId="0" xfId="13" applyFont="1" applyBorder="1" applyAlignment="1">
      <alignment vertical="center"/>
    </xf>
    <xf numFmtId="0" fontId="5" fillId="5" borderId="0" xfId="13" applyFont="1" applyFill="1" applyBorder="1" applyAlignment="1">
      <alignment vertical="center"/>
    </xf>
    <xf numFmtId="0" fontId="24" fillId="0" borderId="0" xfId="13" applyFont="1" applyBorder="1" applyAlignment="1">
      <alignment vertical="center"/>
    </xf>
    <xf numFmtId="0" fontId="3" fillId="0" borderId="0" xfId="13" applyFont="1" applyFill="1" applyBorder="1" applyAlignment="1">
      <alignment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5" xfId="13" applyFont="1" applyBorder="1" applyAlignment="1">
      <alignment horizontal="center" vertical="center"/>
    </xf>
    <xf numFmtId="0" fontId="5" fillId="0" borderId="19" xfId="13" applyFont="1" applyBorder="1" applyAlignment="1">
      <alignment horizontal="center" vertical="center"/>
    </xf>
    <xf numFmtId="0" fontId="5" fillId="0" borderId="3" xfId="13" applyFont="1" applyBorder="1" applyAlignment="1">
      <alignment vertical="center"/>
    </xf>
    <xf numFmtId="0" fontId="3" fillId="0" borderId="28" xfId="13" applyFont="1" applyBorder="1" applyAlignment="1">
      <alignment horizontal="center" vertical="center"/>
    </xf>
    <xf numFmtId="165" fontId="3" fillId="0" borderId="0" xfId="15" applyNumberFormat="1" applyFont="1" applyAlignment="1">
      <alignment horizontal="right" vertical="center"/>
    </xf>
    <xf numFmtId="0" fontId="1" fillId="0" borderId="0" xfId="0" applyFont="1"/>
    <xf numFmtId="170" fontId="5" fillId="0" borderId="3" xfId="3" applyNumberFormat="1" applyFont="1" applyBorder="1" applyAlignment="1">
      <alignment vertical="center"/>
    </xf>
    <xf numFmtId="0" fontId="37" fillId="0" borderId="0" xfId="0" applyFont="1" applyFill="1" applyBorder="1"/>
    <xf numFmtId="164" fontId="38" fillId="7" borderId="21" xfId="3" applyNumberFormat="1" applyFont="1" applyFill="1" applyBorder="1" applyAlignment="1" applyProtection="1">
      <alignment horizontal="left" vertical="center"/>
      <protection locked="0"/>
    </xf>
    <xf numFmtId="0" fontId="38" fillId="7" borderId="22" xfId="0" applyFont="1" applyFill="1" applyBorder="1" applyAlignment="1" applyProtection="1">
      <alignment horizontal="center" vertical="center"/>
      <protection locked="0"/>
    </xf>
    <xf numFmtId="164" fontId="38" fillId="7" borderId="11" xfId="3" applyNumberFormat="1" applyFont="1" applyFill="1" applyBorder="1" applyAlignment="1" applyProtection="1">
      <alignment horizontal="center" vertical="center"/>
      <protection locked="0"/>
    </xf>
    <xf numFmtId="165" fontId="38" fillId="7" borderId="9" xfId="15" applyNumberFormat="1" applyFont="1" applyFill="1" applyBorder="1" applyAlignment="1" applyProtection="1">
      <alignment horizontal="center" vertical="center"/>
      <protection locked="0"/>
    </xf>
    <xf numFmtId="164" fontId="39" fillId="0" borderId="13" xfId="3" applyNumberFormat="1" applyFont="1" applyFill="1" applyBorder="1" applyAlignment="1" applyProtection="1">
      <alignment vertical="center"/>
      <protection locked="0"/>
    </xf>
    <xf numFmtId="10" fontId="38" fillId="0" borderId="12" xfId="15" applyNumberFormat="1" applyFont="1" applyBorder="1" applyAlignment="1" applyProtection="1">
      <alignment horizontal="center" vertical="center"/>
      <protection locked="0"/>
    </xf>
    <xf numFmtId="9" fontId="39" fillId="0" borderId="8" xfId="15" applyNumberFormat="1" applyFont="1" applyBorder="1" applyAlignment="1" applyProtection="1">
      <alignment horizontal="center" vertical="center"/>
      <protection locked="0"/>
    </xf>
    <xf numFmtId="10" fontId="39" fillId="0" borderId="8" xfId="15" applyNumberFormat="1" applyFont="1" applyBorder="1" applyAlignment="1" applyProtection="1">
      <alignment horizontal="center" vertical="center"/>
      <protection locked="0"/>
    </xf>
    <xf numFmtId="164" fontId="39" fillId="0" borderId="11" xfId="3" applyNumberFormat="1" applyFont="1" applyFill="1" applyBorder="1" applyAlignment="1" applyProtection="1">
      <alignment vertical="center"/>
      <protection locked="0"/>
    </xf>
    <xf numFmtId="9" fontId="39" fillId="0" borderId="9" xfId="15" applyNumberFormat="1" applyFont="1" applyBorder="1" applyAlignment="1" applyProtection="1">
      <alignment horizontal="center" vertical="center"/>
      <protection locked="0"/>
    </xf>
    <xf numFmtId="10" fontId="39" fillId="0" borderId="12" xfId="15" applyNumberFormat="1" applyFont="1" applyBorder="1" applyAlignment="1" applyProtection="1">
      <alignment horizontal="center" vertical="center"/>
      <protection locked="0"/>
    </xf>
    <xf numFmtId="10" fontId="39" fillId="0" borderId="9" xfId="15" applyNumberFormat="1" applyFont="1" applyBorder="1" applyAlignment="1" applyProtection="1">
      <alignment horizontal="center" vertical="center"/>
      <protection locked="0"/>
    </xf>
    <xf numFmtId="164" fontId="25" fillId="0" borderId="0" xfId="3" applyNumberFormat="1" applyFont="1" applyAlignment="1" applyProtection="1">
      <alignment horizontal="center"/>
      <protection locked="0"/>
    </xf>
    <xf numFmtId="0" fontId="26" fillId="0" borderId="0" xfId="0" applyNumberFormat="1" applyFont="1" applyAlignment="1" applyProtection="1">
      <alignment horizontal="center"/>
      <protection locked="0"/>
    </xf>
    <xf numFmtId="164" fontId="25" fillId="0" borderId="29" xfId="3" applyNumberFormat="1" applyFont="1" applyBorder="1" applyAlignment="1" applyProtection="1">
      <alignment horizontal="center" vertical="center"/>
      <protection locked="0"/>
    </xf>
    <xf numFmtId="0" fontId="26" fillId="0" borderId="0" xfId="13" applyFont="1" applyAlignment="1" applyProtection="1">
      <alignment horizontal="center" vertical="center"/>
      <protection locked="0"/>
    </xf>
    <xf numFmtId="0" fontId="40" fillId="6" borderId="30" xfId="3" applyNumberFormat="1" applyFont="1" applyFill="1" applyBorder="1" applyAlignment="1" applyProtection="1">
      <alignment horizontal="center" vertical="center"/>
      <protection locked="0"/>
    </xf>
    <xf numFmtId="164" fontId="24" fillId="0" borderId="21" xfId="3" applyNumberFormat="1" applyFont="1" applyFill="1" applyBorder="1" applyAlignment="1" applyProtection="1">
      <alignment horizontal="center" vertical="center"/>
      <protection locked="0"/>
    </xf>
    <xf numFmtId="164" fontId="24" fillId="0" borderId="22" xfId="3" applyNumberFormat="1" applyFont="1" applyFill="1" applyBorder="1" applyAlignment="1" applyProtection="1">
      <alignment horizontal="center" vertical="center"/>
      <protection locked="0"/>
    </xf>
    <xf numFmtId="164" fontId="24" fillId="0" borderId="11" xfId="3" applyNumberFormat="1" applyFont="1" applyFill="1" applyBorder="1" applyAlignment="1" applyProtection="1">
      <alignment horizontal="center" vertical="center"/>
      <protection locked="0"/>
    </xf>
    <xf numFmtId="10" fontId="24" fillId="0" borderId="9" xfId="15" applyNumberFormat="1" applyFont="1" applyFill="1" applyBorder="1" applyAlignment="1" applyProtection="1">
      <alignment horizontal="center" vertical="center"/>
      <protection locked="0"/>
    </xf>
    <xf numFmtId="164" fontId="27" fillId="0" borderId="13" xfId="3" applyNumberFormat="1" applyFont="1" applyFill="1" applyBorder="1" applyAlignment="1" applyProtection="1">
      <alignment horizontal="left" vertical="center"/>
      <protection locked="0"/>
    </xf>
    <xf numFmtId="10" fontId="24" fillId="0" borderId="12" xfId="15" applyNumberFormat="1" applyFont="1" applyFill="1" applyBorder="1" applyAlignment="1" applyProtection="1">
      <alignment horizontal="center" vertical="center"/>
      <protection locked="0"/>
    </xf>
    <xf numFmtId="164" fontId="27" fillId="0" borderId="10" xfId="3" applyNumberFormat="1" applyFont="1" applyFill="1" applyBorder="1" applyAlignment="1" applyProtection="1">
      <alignment horizontal="left" vertical="center"/>
      <protection locked="0"/>
    </xf>
    <xf numFmtId="10" fontId="24" fillId="0" borderId="8" xfId="15" applyNumberFormat="1" applyFont="1" applyFill="1" applyBorder="1" applyAlignment="1" applyProtection="1">
      <alignment horizontal="center" vertical="center"/>
      <protection locked="0"/>
    </xf>
    <xf numFmtId="164" fontId="27" fillId="5" borderId="10" xfId="3" applyNumberFormat="1" applyFont="1" applyFill="1" applyBorder="1" applyAlignment="1" applyProtection="1">
      <alignment horizontal="left" vertical="center"/>
      <protection locked="0"/>
    </xf>
    <xf numFmtId="10" fontId="24" fillId="5" borderId="8" xfId="15" applyNumberFormat="1" applyFont="1" applyFill="1" applyBorder="1" applyAlignment="1" applyProtection="1">
      <alignment horizontal="center" vertical="center"/>
      <protection locked="0"/>
    </xf>
    <xf numFmtId="10" fontId="27" fillId="0" borderId="8" xfId="15" applyNumberFormat="1" applyFont="1" applyFill="1" applyBorder="1" applyAlignment="1" applyProtection="1">
      <alignment horizontal="center" vertical="center"/>
      <protection locked="0"/>
    </xf>
    <xf numFmtId="9" fontId="27" fillId="0" borderId="9" xfId="15" applyNumberFormat="1" applyFont="1" applyFill="1" applyBorder="1" applyAlignment="1" applyProtection="1">
      <alignment horizontal="center" vertical="center"/>
      <protection locked="0"/>
    </xf>
    <xf numFmtId="10" fontId="27" fillId="0" borderId="14" xfId="15" applyNumberFormat="1" applyFont="1" applyFill="1" applyBorder="1" applyAlignment="1" applyProtection="1">
      <alignment horizontal="center" vertical="center"/>
      <protection locked="0"/>
    </xf>
    <xf numFmtId="164" fontId="27" fillId="0" borderId="31" xfId="3" applyNumberFormat="1" applyFont="1" applyFill="1" applyBorder="1" applyAlignment="1" applyProtection="1">
      <alignment horizontal="left" vertical="center"/>
      <protection locked="0"/>
    </xf>
    <xf numFmtId="10" fontId="27" fillId="0" borderId="32" xfId="15" applyNumberFormat="1" applyFont="1" applyFill="1" applyBorder="1" applyAlignment="1" applyProtection="1">
      <alignment horizontal="center" vertical="center"/>
      <protection locked="0"/>
    </xf>
    <xf numFmtId="164" fontId="28" fillId="0" borderId="13" xfId="3" applyNumberFormat="1" applyFont="1" applyFill="1" applyBorder="1" applyAlignment="1" applyProtection="1">
      <alignment horizontal="left" vertical="center"/>
      <protection locked="0"/>
    </xf>
    <xf numFmtId="10" fontId="29" fillId="0" borderId="12" xfId="15" applyNumberFormat="1" applyFont="1" applyFill="1" applyBorder="1" applyAlignment="1" applyProtection="1">
      <alignment horizontal="center" vertical="center"/>
      <protection locked="0"/>
    </xf>
    <xf numFmtId="10" fontId="29" fillId="0" borderId="8" xfId="15" applyNumberFormat="1" applyFont="1" applyFill="1" applyBorder="1" applyAlignment="1" applyProtection="1">
      <alignment horizontal="center" vertical="center"/>
      <protection locked="0"/>
    </xf>
    <xf numFmtId="10" fontId="29" fillId="5" borderId="8" xfId="15" applyNumberFormat="1" applyFont="1" applyFill="1" applyBorder="1" applyAlignment="1" applyProtection="1">
      <alignment horizontal="center" vertical="center"/>
      <protection locked="0"/>
    </xf>
    <xf numFmtId="10" fontId="28" fillId="0" borderId="8" xfId="15" applyNumberFormat="1" applyFont="1" applyFill="1" applyBorder="1" applyAlignment="1" applyProtection="1">
      <alignment horizontal="center" vertical="center"/>
      <protection locked="0"/>
    </xf>
    <xf numFmtId="9" fontId="28" fillId="0" borderId="9" xfId="15" applyNumberFormat="1" applyFont="1" applyFill="1" applyBorder="1" applyAlignment="1" applyProtection="1">
      <alignment horizontal="center" vertical="center"/>
      <protection locked="0"/>
    </xf>
    <xf numFmtId="10" fontId="28" fillId="0" borderId="14" xfId="15" applyNumberFormat="1" applyFont="1" applyFill="1" applyBorder="1" applyAlignment="1" applyProtection="1">
      <alignment horizontal="center" vertical="center"/>
      <protection locked="0"/>
    </xf>
    <xf numFmtId="164" fontId="28" fillId="0" borderId="31" xfId="3" applyNumberFormat="1" applyFont="1" applyFill="1" applyBorder="1" applyAlignment="1" applyProtection="1">
      <alignment horizontal="left" vertical="center"/>
      <protection locked="0"/>
    </xf>
    <xf numFmtId="10" fontId="28" fillId="0" borderId="32" xfId="15" applyNumberFormat="1" applyFont="1" applyFill="1" applyBorder="1" applyAlignment="1" applyProtection="1">
      <alignment horizontal="center" vertical="center"/>
      <protection locked="0"/>
    </xf>
    <xf numFmtId="164" fontId="30" fillId="0" borderId="13" xfId="3" applyNumberFormat="1" applyFont="1" applyFill="1" applyBorder="1" applyAlignment="1" applyProtection="1">
      <alignment horizontal="left" vertical="center"/>
      <protection locked="0"/>
    </xf>
    <xf numFmtId="10" fontId="31" fillId="0" borderId="12" xfId="15" applyNumberFormat="1" applyFont="1" applyFill="1" applyBorder="1" applyAlignment="1" applyProtection="1">
      <alignment horizontal="center" vertical="center"/>
      <protection locked="0"/>
    </xf>
    <xf numFmtId="10" fontId="31" fillId="0" borderId="8" xfId="15" applyNumberFormat="1" applyFont="1" applyFill="1" applyBorder="1" applyAlignment="1" applyProtection="1">
      <alignment horizontal="center" vertical="center"/>
      <protection locked="0"/>
    </xf>
    <xf numFmtId="10" fontId="31" fillId="5" borderId="8" xfId="15" applyNumberFormat="1" applyFont="1" applyFill="1" applyBorder="1" applyAlignment="1" applyProtection="1">
      <alignment horizontal="center" vertical="center"/>
      <protection locked="0"/>
    </xf>
    <xf numFmtId="10" fontId="30" fillId="0" borderId="8" xfId="15" applyNumberFormat="1" applyFont="1" applyFill="1" applyBorder="1" applyAlignment="1" applyProtection="1">
      <alignment horizontal="center" vertical="center"/>
      <protection locked="0"/>
    </xf>
    <xf numFmtId="9" fontId="30" fillId="0" borderId="9" xfId="15" applyNumberFormat="1" applyFont="1" applyFill="1" applyBorder="1" applyAlignment="1" applyProtection="1">
      <alignment horizontal="center" vertical="center"/>
      <protection locked="0"/>
    </xf>
    <xf numFmtId="164" fontId="30" fillId="0" borderId="31" xfId="3" applyNumberFormat="1" applyFont="1" applyFill="1" applyBorder="1" applyAlignment="1" applyProtection="1">
      <alignment horizontal="left" vertical="center"/>
      <protection locked="0"/>
    </xf>
    <xf numFmtId="10" fontId="30" fillId="0" borderId="32" xfId="15" applyNumberFormat="1" applyFont="1" applyFill="1" applyBorder="1" applyAlignment="1" applyProtection="1">
      <alignment horizontal="center" vertical="center"/>
      <protection locked="0"/>
    </xf>
    <xf numFmtId="164" fontId="26" fillId="0" borderId="13" xfId="3" applyNumberFormat="1" applyFont="1" applyFill="1" applyBorder="1" applyAlignment="1" applyProtection="1">
      <alignment horizontal="left" vertical="center"/>
      <protection locked="0"/>
    </xf>
    <xf numFmtId="164" fontId="26" fillId="0" borderId="10" xfId="3" applyNumberFormat="1" applyFont="1" applyFill="1" applyBorder="1" applyAlignment="1" applyProtection="1">
      <alignment horizontal="left" vertical="center"/>
      <protection locked="0"/>
    </xf>
    <xf numFmtId="164" fontId="26" fillId="5" borderId="10" xfId="3" applyNumberFormat="1" applyFont="1" applyFill="1" applyBorder="1" applyAlignment="1" applyProtection="1">
      <alignment horizontal="left" vertical="center"/>
      <protection locked="0"/>
    </xf>
    <xf numFmtId="164" fontId="26" fillId="6" borderId="11" xfId="3" applyNumberFormat="1" applyFont="1" applyFill="1" applyBorder="1" applyAlignment="1" applyProtection="1">
      <alignment horizontal="left" vertical="center"/>
      <protection locked="0"/>
    </xf>
    <xf numFmtId="9" fontId="30" fillId="6" borderId="9" xfId="15" applyNumberFormat="1" applyFont="1" applyFill="1" applyBorder="1" applyAlignment="1" applyProtection="1">
      <alignment horizontal="center" vertical="center"/>
      <protection locked="0"/>
    </xf>
    <xf numFmtId="164" fontId="26" fillId="0" borderId="31" xfId="3" applyNumberFormat="1" applyFont="1" applyFill="1" applyBorder="1" applyAlignment="1" applyProtection="1">
      <alignment horizontal="left" vertical="center"/>
      <protection locked="0"/>
    </xf>
    <xf numFmtId="0" fontId="41" fillId="0" borderId="0" xfId="0" applyFont="1" applyFill="1" applyAlignment="1">
      <alignment horizontal="center" vertical="center"/>
    </xf>
    <xf numFmtId="0" fontId="41" fillId="0" borderId="0" xfId="13" applyFont="1" applyFill="1" applyAlignment="1">
      <alignment horizontal="center" vertical="center"/>
    </xf>
  </cellXfs>
  <cellStyles count="22">
    <cellStyle name="args.style" xfId="1" xr:uid="{00000000-0005-0000-0000-000000000000}"/>
    <cellStyle name="Calc Currency (0)" xfId="2" xr:uid="{00000000-0005-0000-0000-000001000000}"/>
    <cellStyle name="Comma" xfId="3" builtinId="3"/>
    <cellStyle name="Copied" xfId="4" xr:uid="{00000000-0005-0000-0000-000003000000}"/>
    <cellStyle name="Entered" xfId="5" xr:uid="{00000000-0005-0000-0000-000004000000}"/>
    <cellStyle name="Grey" xfId="6" xr:uid="{00000000-0005-0000-0000-000005000000}"/>
    <cellStyle name="Header1" xfId="7" xr:uid="{00000000-0005-0000-0000-000006000000}"/>
    <cellStyle name="Header2" xfId="8" xr:uid="{00000000-0005-0000-0000-000007000000}"/>
    <cellStyle name="HEADINGS" xfId="9" xr:uid="{00000000-0005-0000-0000-000008000000}"/>
    <cellStyle name="HEADINGSTOP" xfId="10" xr:uid="{00000000-0005-0000-0000-000009000000}"/>
    <cellStyle name="Input [yellow]" xfId="11" xr:uid="{00000000-0005-0000-0000-00000A000000}"/>
    <cellStyle name="Normal" xfId="0" builtinId="0"/>
    <cellStyle name="Normal - Style1" xfId="12" xr:uid="{00000000-0005-0000-0000-00000C000000}"/>
    <cellStyle name="Normal_Transportation Type for Shipping Volume" xfId="13" xr:uid="{00000000-0005-0000-0000-00000D000000}"/>
    <cellStyle name="per.style" xfId="14" xr:uid="{00000000-0005-0000-0000-00000E000000}"/>
    <cellStyle name="Percent" xfId="15" builtinId="5"/>
    <cellStyle name="Percent [2]" xfId="16" xr:uid="{00000000-0005-0000-0000-000010000000}"/>
    <cellStyle name="regstoresfromspecstores" xfId="17" xr:uid="{00000000-0005-0000-0000-000011000000}"/>
    <cellStyle name="RevList" xfId="18" xr:uid="{00000000-0005-0000-0000-000012000000}"/>
    <cellStyle name="SHADEDSTORES" xfId="19" xr:uid="{00000000-0005-0000-0000-000013000000}"/>
    <cellStyle name="specstores" xfId="20" xr:uid="{00000000-0005-0000-0000-000014000000}"/>
    <cellStyle name="Subtotal" xfId="21" xr:uid="{00000000-0005-0000-0000-000015000000}"/>
  </cellStyles>
  <dxfs count="8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ransp%20Type-2026-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"/>
      <sheetName val="AM"/>
      <sheetName val="WP"/>
      <sheetName val="IBS "/>
      <sheetName val="IQSH01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Z74"/>
  <sheetViews>
    <sheetView tabSelected="1" zoomScale="60" zoomScaleNormal="60" workbookViewId="0">
      <pane xSplit="124" ySplit="5" topLeftCell="EH39" activePane="bottomRight" state="frozen"/>
      <selection pane="topRight" activeCell="DU1" sqref="DU1"/>
      <selection pane="bottomLeft" activeCell="A6" sqref="A6"/>
      <selection pane="bottomRight" activeCell="EW49" sqref="EW49"/>
    </sheetView>
  </sheetViews>
  <sheetFormatPr defaultColWidth="9.15234375" defaultRowHeight="12.9" x14ac:dyDescent="0.3"/>
  <cols>
    <col min="1" max="1" width="6.3828125" style="2" customWidth="1"/>
    <col min="2" max="2" width="12.69140625" style="36" customWidth="1"/>
    <col min="3" max="3" width="10.3046875" style="1" hidden="1" customWidth="1"/>
    <col min="4" max="4" width="7" style="1" hidden="1" customWidth="1"/>
    <col min="5" max="5" width="10.3046875" style="1" hidden="1" customWidth="1"/>
    <col min="6" max="6" width="7" style="1" hidden="1" customWidth="1"/>
    <col min="7" max="7" width="10.3046875" style="1" hidden="1" customWidth="1"/>
    <col min="8" max="8" width="7" style="1" hidden="1" customWidth="1"/>
    <col min="9" max="9" width="10.3046875" style="1" hidden="1" customWidth="1"/>
    <col min="10" max="10" width="7" style="1" hidden="1" customWidth="1"/>
    <col min="11" max="11" width="10.3046875" style="1" hidden="1" customWidth="1"/>
    <col min="12" max="12" width="7" style="1" hidden="1" customWidth="1"/>
    <col min="13" max="13" width="10.3046875" style="1" hidden="1" customWidth="1"/>
    <col min="14" max="14" width="7" style="1" hidden="1" customWidth="1"/>
    <col min="15" max="15" width="10.3046875" style="1" hidden="1" customWidth="1"/>
    <col min="16" max="16" width="7" style="1" hidden="1" customWidth="1"/>
    <col min="17" max="17" width="10.3046875" style="1" hidden="1" customWidth="1"/>
    <col min="18" max="18" width="7" style="1" hidden="1" customWidth="1"/>
    <col min="19" max="19" width="10.3046875" style="1" hidden="1" customWidth="1"/>
    <col min="20" max="20" width="7" style="1" hidden="1" customWidth="1"/>
    <col min="21" max="21" width="10.3046875" style="1" hidden="1" customWidth="1"/>
    <col min="22" max="22" width="7" style="1" hidden="1" customWidth="1"/>
    <col min="23" max="23" width="10.3046875" style="1" hidden="1" customWidth="1"/>
    <col min="24" max="24" width="7" style="1" hidden="1" customWidth="1"/>
    <col min="25" max="25" width="10.3046875" style="1" hidden="1" customWidth="1"/>
    <col min="26" max="26" width="7" style="1" hidden="1" customWidth="1"/>
    <col min="27" max="27" width="10.3046875" style="1" hidden="1" customWidth="1"/>
    <col min="28" max="28" width="7" style="1" hidden="1" customWidth="1"/>
    <col min="29" max="29" width="10.3046875" style="1" hidden="1" customWidth="1"/>
    <col min="30" max="30" width="7" style="1" hidden="1" customWidth="1"/>
    <col min="31" max="31" width="10.3046875" style="1" hidden="1" customWidth="1"/>
    <col min="32" max="32" width="7" style="1" hidden="1" customWidth="1"/>
    <col min="33" max="33" width="10.3046875" style="1" hidden="1" customWidth="1"/>
    <col min="34" max="34" width="7" style="1" hidden="1" customWidth="1"/>
    <col min="35" max="35" width="10.3046875" style="1" hidden="1" customWidth="1"/>
    <col min="36" max="36" width="7" style="1" hidden="1" customWidth="1"/>
    <col min="37" max="37" width="10.3046875" style="1" hidden="1" customWidth="1"/>
    <col min="38" max="38" width="7" style="1" hidden="1" customWidth="1"/>
    <col min="39" max="39" width="10.3046875" style="1" hidden="1" customWidth="1"/>
    <col min="40" max="40" width="7" style="1" hidden="1" customWidth="1"/>
    <col min="41" max="41" width="10.3046875" style="1" hidden="1" customWidth="1"/>
    <col min="42" max="42" width="7" style="1" hidden="1" customWidth="1"/>
    <col min="43" max="43" width="10.3046875" style="1" hidden="1" customWidth="1"/>
    <col min="44" max="44" width="7" style="1" hidden="1" customWidth="1"/>
    <col min="45" max="45" width="10.3046875" style="1" hidden="1" customWidth="1"/>
    <col min="46" max="46" width="7" style="1" hidden="1" customWidth="1"/>
    <col min="47" max="47" width="10.3046875" style="1" hidden="1" customWidth="1"/>
    <col min="48" max="48" width="7" style="1" hidden="1" customWidth="1"/>
    <col min="49" max="49" width="10.3046875" style="1" hidden="1" customWidth="1"/>
    <col min="50" max="50" width="7" style="1" hidden="1" customWidth="1"/>
    <col min="51" max="51" width="10.3046875" style="1" hidden="1" customWidth="1"/>
    <col min="52" max="52" width="7" style="1" hidden="1" customWidth="1"/>
    <col min="53" max="53" width="10.3046875" style="1" hidden="1" customWidth="1"/>
    <col min="54" max="54" width="7" style="1" hidden="1" customWidth="1"/>
    <col min="55" max="55" width="10.84375" style="1" hidden="1" customWidth="1"/>
    <col min="56" max="56" width="7" style="1" hidden="1" customWidth="1"/>
    <col min="57" max="57" width="10.84375" style="1" hidden="1" customWidth="1"/>
    <col min="58" max="58" width="7" style="1" hidden="1" customWidth="1"/>
    <col min="59" max="59" width="10.84375" style="1" hidden="1" customWidth="1"/>
    <col min="60" max="60" width="7" style="1" hidden="1" customWidth="1"/>
    <col min="61" max="61" width="10.84375" style="1" hidden="1" customWidth="1"/>
    <col min="62" max="62" width="7" style="1" hidden="1" customWidth="1"/>
    <col min="63" max="63" width="10.84375" style="1" hidden="1" customWidth="1"/>
    <col min="64" max="64" width="7" style="1" hidden="1" customWidth="1"/>
    <col min="65" max="65" width="10.84375" style="1" hidden="1" customWidth="1"/>
    <col min="66" max="66" width="7" style="1" hidden="1" customWidth="1"/>
    <col min="67" max="67" width="10.84375" style="1" hidden="1" customWidth="1"/>
    <col min="68" max="68" width="7" style="1" hidden="1" customWidth="1"/>
    <col min="69" max="69" width="10.84375" style="1" hidden="1" customWidth="1"/>
    <col min="70" max="70" width="7" style="1" hidden="1" customWidth="1"/>
    <col min="71" max="71" width="10.84375" style="1" hidden="1" customWidth="1"/>
    <col min="72" max="72" width="7" style="1" hidden="1" customWidth="1"/>
    <col min="73" max="73" width="10.84375" style="1" hidden="1" customWidth="1"/>
    <col min="74" max="74" width="7" style="1" hidden="1" customWidth="1"/>
    <col min="75" max="75" width="10.84375" style="1" hidden="1" customWidth="1"/>
    <col min="76" max="76" width="7" style="1" hidden="1" customWidth="1"/>
    <col min="77" max="77" width="10.84375" style="1" hidden="1" customWidth="1"/>
    <col min="78" max="78" width="7" style="1" hidden="1" customWidth="1"/>
    <col min="79" max="79" width="10.84375" style="1" hidden="1" customWidth="1"/>
    <col min="80" max="80" width="7" style="1" hidden="1" customWidth="1"/>
    <col min="81" max="81" width="10.84375" style="1" hidden="1" customWidth="1"/>
    <col min="82" max="82" width="7" style="1" hidden="1" customWidth="1"/>
    <col min="83" max="83" width="10.84375" style="1" hidden="1" customWidth="1"/>
    <col min="84" max="84" width="7" style="1" hidden="1" customWidth="1"/>
    <col min="85" max="85" width="10.84375" style="1" hidden="1" customWidth="1"/>
    <col min="86" max="86" width="7" style="1" hidden="1" customWidth="1"/>
    <col min="87" max="87" width="10.84375" style="1" hidden="1" customWidth="1"/>
    <col min="88" max="88" width="7" style="1" hidden="1" customWidth="1"/>
    <col min="89" max="89" width="10.84375" style="1" hidden="1" customWidth="1"/>
    <col min="90" max="90" width="7" style="1" hidden="1" customWidth="1"/>
    <col min="91" max="91" width="10.84375" style="1" hidden="1" customWidth="1"/>
    <col min="92" max="92" width="7" style="1" hidden="1" customWidth="1"/>
    <col min="93" max="93" width="10.84375" style="1" hidden="1" customWidth="1"/>
    <col min="94" max="94" width="7" style="1" hidden="1" customWidth="1"/>
    <col min="95" max="95" width="10.84375" style="1" hidden="1" customWidth="1"/>
    <col min="96" max="96" width="7" style="1" hidden="1" customWidth="1"/>
    <col min="97" max="97" width="10.84375" style="1" hidden="1" customWidth="1"/>
    <col min="98" max="98" width="7" style="1" hidden="1" customWidth="1"/>
    <col min="99" max="99" width="10.84375" style="1" hidden="1" customWidth="1"/>
    <col min="100" max="100" width="7" style="1" hidden="1" customWidth="1"/>
    <col min="101" max="101" width="10.84375" style="1" hidden="1" customWidth="1"/>
    <col min="102" max="102" width="7" style="1" hidden="1" customWidth="1"/>
    <col min="103" max="103" width="10.84375" style="1" hidden="1" customWidth="1"/>
    <col min="104" max="104" width="7" style="1" hidden="1" customWidth="1"/>
    <col min="105" max="105" width="10.84375" style="1" hidden="1" customWidth="1"/>
    <col min="106" max="106" width="7" style="1" hidden="1" customWidth="1"/>
    <col min="107" max="107" width="10.84375" style="1" hidden="1" customWidth="1"/>
    <col min="108" max="108" width="7" style="1" hidden="1" customWidth="1"/>
    <col min="109" max="109" width="10.84375" style="1" hidden="1" customWidth="1"/>
    <col min="110" max="110" width="7" style="1" hidden="1" customWidth="1"/>
    <col min="111" max="111" width="10.84375" style="1" hidden="1" customWidth="1"/>
    <col min="112" max="112" width="7" style="1" hidden="1" customWidth="1"/>
    <col min="113" max="113" width="10.84375" style="1" hidden="1" customWidth="1"/>
    <col min="114" max="114" width="7" style="1" hidden="1" customWidth="1"/>
    <col min="115" max="115" width="10.84375" style="1" hidden="1" customWidth="1"/>
    <col min="116" max="116" width="7" style="1" hidden="1" customWidth="1"/>
    <col min="117" max="117" width="10.84375" style="1" hidden="1" customWidth="1"/>
    <col min="118" max="118" width="7" style="1" hidden="1" customWidth="1"/>
    <col min="119" max="119" width="10.84375" style="1" hidden="1" customWidth="1"/>
    <col min="120" max="120" width="7" style="1" hidden="1" customWidth="1"/>
    <col min="121" max="121" width="10.84375" style="1" hidden="1" customWidth="1"/>
    <col min="122" max="122" width="7" style="1" hidden="1" customWidth="1"/>
    <col min="123" max="123" width="10.84375" style="1" hidden="1" customWidth="1"/>
    <col min="124" max="124" width="7" style="1" hidden="1" customWidth="1"/>
    <col min="125" max="125" width="10.84375" style="1" customWidth="1"/>
    <col min="126" max="126" width="7" style="1" customWidth="1"/>
    <col min="127" max="127" width="10.84375" style="1" customWidth="1"/>
    <col min="128" max="128" width="7" style="1" customWidth="1"/>
    <col min="129" max="129" width="10.84375" style="1" customWidth="1"/>
    <col min="130" max="130" width="7" style="1" customWidth="1"/>
    <col min="131" max="131" width="10.84375" style="1" customWidth="1"/>
    <col min="132" max="132" width="7" style="1" customWidth="1"/>
    <col min="133" max="133" width="10.84375" style="1" customWidth="1"/>
    <col min="134" max="134" width="7" style="1" customWidth="1"/>
    <col min="135" max="135" width="10.84375" style="1" customWidth="1"/>
    <col min="136" max="136" width="7" style="1" customWidth="1"/>
    <col min="137" max="137" width="10.84375" style="1" customWidth="1"/>
    <col min="138" max="138" width="7" style="1" customWidth="1"/>
    <col min="139" max="139" width="10.84375" style="1" customWidth="1"/>
    <col min="140" max="140" width="7" style="1" customWidth="1"/>
    <col min="141" max="141" width="10.84375" style="1" customWidth="1"/>
    <col min="142" max="142" width="7" style="1" customWidth="1"/>
    <col min="143" max="143" width="10.84375" style="1" customWidth="1"/>
    <col min="144" max="144" width="7" style="1" customWidth="1"/>
    <col min="145" max="145" width="10.84375" style="1" customWidth="1"/>
    <col min="146" max="146" width="7" style="1" customWidth="1"/>
    <col min="147" max="147" width="10.84375" style="1" customWidth="1"/>
    <col min="148" max="148" width="7" style="1" customWidth="1"/>
    <col min="149" max="149" width="10.84375" style="1" customWidth="1"/>
    <col min="150" max="150" width="7" style="1" customWidth="1"/>
    <col min="151" max="151" width="10.3046875" customWidth="1"/>
    <col min="152" max="152" width="7" customWidth="1"/>
    <col min="153" max="153" width="7" style="1" customWidth="1"/>
    <col min="154" max="154" width="10.53515625" style="30" customWidth="1"/>
    <col min="155" max="155" width="13.3828125" style="30" customWidth="1"/>
    <col min="156" max="156" width="9.15234375" style="54"/>
    <col min="157" max="16384" width="9.15234375" style="1"/>
  </cols>
  <sheetData>
    <row r="1" spans="1:156" s="138" customFormat="1" ht="18.649999999999999" customHeight="1" x14ac:dyDescent="0.3">
      <c r="A1" s="272" t="s">
        <v>150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2"/>
      <c r="AJ1" s="272"/>
      <c r="AK1" s="272"/>
      <c r="AL1" s="272"/>
      <c r="AM1" s="272"/>
      <c r="AN1" s="272"/>
      <c r="AO1" s="272"/>
      <c r="AP1" s="272"/>
      <c r="AQ1" s="272"/>
      <c r="AR1" s="272"/>
      <c r="AS1" s="272"/>
      <c r="AT1" s="272"/>
      <c r="AU1" s="272"/>
      <c r="AV1" s="272"/>
      <c r="AW1" s="272"/>
      <c r="AX1" s="272"/>
      <c r="AY1" s="272"/>
      <c r="AZ1" s="272"/>
      <c r="BA1" s="272"/>
      <c r="BB1" s="272"/>
      <c r="BC1" s="272"/>
      <c r="BD1" s="272"/>
      <c r="BE1" s="272"/>
      <c r="BF1" s="272"/>
      <c r="BG1" s="272"/>
      <c r="BH1" s="272"/>
      <c r="BI1" s="272"/>
      <c r="BJ1" s="272"/>
      <c r="BK1" s="272"/>
      <c r="BL1" s="272"/>
      <c r="BM1" s="272"/>
      <c r="BN1" s="272"/>
      <c r="BO1" s="272"/>
      <c r="BP1" s="272"/>
      <c r="BQ1" s="272"/>
      <c r="BR1" s="272"/>
      <c r="BS1" s="272"/>
      <c r="BT1" s="272"/>
      <c r="BU1" s="272"/>
      <c r="BV1" s="272"/>
      <c r="BW1" s="272"/>
      <c r="BX1" s="272"/>
      <c r="BY1" s="272"/>
      <c r="BZ1" s="272"/>
      <c r="CA1" s="272"/>
      <c r="CB1" s="272"/>
      <c r="CC1" s="272"/>
      <c r="CD1" s="272"/>
      <c r="CE1" s="272"/>
      <c r="CF1" s="272"/>
      <c r="CG1" s="272"/>
      <c r="CH1" s="272"/>
      <c r="CI1" s="272"/>
      <c r="CJ1" s="272"/>
      <c r="CK1" s="272"/>
      <c r="CL1" s="272"/>
      <c r="CM1" s="272"/>
      <c r="CN1" s="272"/>
      <c r="CO1" s="272"/>
      <c r="CP1" s="272"/>
      <c r="CQ1" s="272"/>
      <c r="CR1" s="272"/>
      <c r="CS1" s="272"/>
      <c r="CT1" s="272"/>
      <c r="CU1" s="272"/>
      <c r="CV1" s="272"/>
      <c r="CW1" s="272"/>
      <c r="CX1" s="272"/>
      <c r="CY1" s="272"/>
      <c r="CZ1" s="272"/>
      <c r="DA1" s="272"/>
      <c r="DB1" s="272"/>
      <c r="DC1" s="272"/>
      <c r="DD1" s="272"/>
      <c r="DE1" s="272"/>
      <c r="DF1" s="272"/>
      <c r="DG1" s="272"/>
      <c r="DH1" s="272"/>
      <c r="DI1" s="272"/>
      <c r="DJ1" s="272"/>
      <c r="DK1" s="272"/>
      <c r="DL1" s="272"/>
      <c r="DM1" s="272"/>
      <c r="DN1" s="272"/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2"/>
      <c r="EQ1" s="272"/>
      <c r="ER1" s="272"/>
      <c r="ES1" s="272"/>
      <c r="ET1" s="272"/>
      <c r="EU1" s="272"/>
      <c r="EV1" s="272"/>
      <c r="EW1" s="131"/>
      <c r="EX1" s="136"/>
      <c r="EY1" s="136"/>
      <c r="EZ1" s="137"/>
    </row>
    <row r="2" spans="1:156" s="138" customFormat="1" ht="4.5" customHeight="1" x14ac:dyDescent="0.3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1"/>
      <c r="BM2" s="131"/>
      <c r="BN2" s="131"/>
      <c r="BO2" s="131"/>
      <c r="BP2" s="131"/>
      <c r="BQ2" s="131"/>
      <c r="BR2" s="131"/>
      <c r="BS2" s="131"/>
      <c r="BT2" s="131"/>
      <c r="BU2" s="131"/>
      <c r="BV2" s="131"/>
      <c r="BW2" s="131"/>
      <c r="BX2" s="131"/>
      <c r="BY2" s="131"/>
      <c r="BZ2" s="131"/>
      <c r="CA2" s="131"/>
      <c r="CB2" s="131"/>
      <c r="CC2" s="131"/>
      <c r="CD2" s="131"/>
      <c r="CE2" s="131"/>
      <c r="CF2" s="131"/>
      <c r="CG2" s="131"/>
      <c r="CH2" s="131"/>
      <c r="CI2" s="131"/>
      <c r="CJ2" s="131"/>
      <c r="CK2" s="131"/>
      <c r="CL2" s="131"/>
      <c r="CM2" s="131"/>
      <c r="CN2" s="131"/>
      <c r="CO2" s="131"/>
      <c r="CP2" s="131"/>
      <c r="CQ2" s="131"/>
      <c r="CR2" s="131"/>
      <c r="CS2" s="131"/>
      <c r="CT2" s="131"/>
      <c r="CU2" s="131"/>
      <c r="CV2" s="131"/>
      <c r="CW2" s="131"/>
      <c r="CX2" s="131"/>
      <c r="CY2" s="131"/>
      <c r="CZ2" s="131"/>
      <c r="DA2" s="131"/>
      <c r="DB2" s="131"/>
      <c r="DC2" s="131"/>
      <c r="DD2" s="131"/>
      <c r="DE2" s="131"/>
      <c r="DF2" s="131"/>
      <c r="DG2" s="131"/>
      <c r="DH2" s="131"/>
      <c r="DI2" s="131"/>
      <c r="DJ2" s="131"/>
      <c r="DK2" s="131"/>
      <c r="DL2" s="131"/>
      <c r="DM2" s="131"/>
      <c r="DN2" s="131"/>
      <c r="DO2" s="131"/>
      <c r="DP2" s="131"/>
      <c r="DQ2" s="131"/>
      <c r="DR2" s="131"/>
      <c r="DS2" s="131"/>
      <c r="DT2" s="131"/>
      <c r="DU2" s="131"/>
      <c r="DV2" s="131"/>
      <c r="DW2" s="131"/>
      <c r="DX2" s="131"/>
      <c r="DY2" s="131"/>
      <c r="DZ2" s="131"/>
      <c r="EA2" s="131"/>
      <c r="EB2" s="131"/>
      <c r="EC2" s="131"/>
      <c r="ED2" s="131"/>
      <c r="EE2" s="131"/>
      <c r="EF2" s="131"/>
      <c r="EG2" s="131"/>
      <c r="EH2" s="131"/>
      <c r="EI2" s="131"/>
      <c r="EJ2" s="131"/>
      <c r="EK2" s="131"/>
      <c r="EL2" s="131"/>
      <c r="EM2" s="131"/>
      <c r="EN2" s="131"/>
      <c r="EO2" s="131"/>
      <c r="EP2" s="131"/>
      <c r="EQ2" s="131"/>
      <c r="ER2" s="131"/>
      <c r="ES2" s="131"/>
      <c r="ET2" s="131"/>
      <c r="EU2"/>
      <c r="EV2"/>
      <c r="EW2" s="135"/>
      <c r="EX2" s="136"/>
      <c r="EY2" s="136"/>
      <c r="EZ2" s="137"/>
    </row>
    <row r="3" spans="1:156" s="113" customFormat="1" ht="6.75" customHeight="1" thickBot="1" x14ac:dyDescent="0.35">
      <c r="A3" s="110"/>
      <c r="B3" s="119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1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111"/>
      <c r="DY3" s="111"/>
      <c r="DZ3" s="111"/>
      <c r="EA3" s="111"/>
      <c r="EB3" s="111"/>
      <c r="EC3" s="111"/>
      <c r="ED3" s="111"/>
      <c r="EE3" s="111"/>
      <c r="EF3" s="111"/>
      <c r="EG3" s="111"/>
      <c r="EH3" s="111"/>
      <c r="EI3" s="111"/>
      <c r="EJ3" s="111"/>
      <c r="EK3" s="111"/>
      <c r="EL3" s="111"/>
      <c r="EM3" s="111"/>
      <c r="EN3" s="111"/>
      <c r="EO3" s="111"/>
      <c r="EP3" s="111"/>
      <c r="EQ3" s="111"/>
      <c r="ER3" s="111"/>
      <c r="ES3" s="111"/>
      <c r="ET3" s="111"/>
      <c r="EU3"/>
      <c r="EV3"/>
      <c r="EW3" s="111"/>
      <c r="EX3" s="173"/>
      <c r="EY3" s="173"/>
      <c r="EZ3" s="174"/>
    </row>
    <row r="4" spans="1:156" s="110" customFormat="1" ht="24" customHeight="1" x14ac:dyDescent="0.3">
      <c r="A4" s="114" t="s">
        <v>91</v>
      </c>
      <c r="B4" s="115" t="s">
        <v>94</v>
      </c>
      <c r="C4" s="116" t="s">
        <v>160</v>
      </c>
      <c r="D4" s="117"/>
      <c r="E4" s="116" t="s">
        <v>161</v>
      </c>
      <c r="F4" s="117"/>
      <c r="G4" s="116" t="s">
        <v>162</v>
      </c>
      <c r="H4" s="117"/>
      <c r="I4" s="116" t="s">
        <v>163</v>
      </c>
      <c r="J4" s="117"/>
      <c r="K4" s="116" t="s">
        <v>164</v>
      </c>
      <c r="L4" s="117"/>
      <c r="M4" s="116" t="s">
        <v>165</v>
      </c>
      <c r="N4" s="117"/>
      <c r="O4" s="116" t="s">
        <v>168</v>
      </c>
      <c r="P4" s="117"/>
      <c r="Q4" s="116" t="s">
        <v>169</v>
      </c>
      <c r="R4" s="117"/>
      <c r="S4" s="116" t="s">
        <v>170</v>
      </c>
      <c r="T4" s="117"/>
      <c r="U4" s="116" t="s">
        <v>171</v>
      </c>
      <c r="V4" s="117"/>
      <c r="W4" s="116" t="s">
        <v>172</v>
      </c>
      <c r="X4" s="117"/>
      <c r="Y4" s="116" t="s">
        <v>173</v>
      </c>
      <c r="Z4" s="117"/>
      <c r="AA4" s="116" t="s">
        <v>174</v>
      </c>
      <c r="AB4" s="117"/>
      <c r="AC4" s="116" t="s">
        <v>175</v>
      </c>
      <c r="AD4" s="117"/>
      <c r="AE4" s="116" t="s">
        <v>176</v>
      </c>
      <c r="AF4" s="117"/>
      <c r="AG4" s="116" t="s">
        <v>177</v>
      </c>
      <c r="AH4" s="117"/>
      <c r="AI4" s="116" t="s">
        <v>178</v>
      </c>
      <c r="AJ4" s="117"/>
      <c r="AK4" s="116" t="s">
        <v>180</v>
      </c>
      <c r="AL4" s="117"/>
      <c r="AM4" s="116" t="s">
        <v>181</v>
      </c>
      <c r="AN4" s="117"/>
      <c r="AO4" s="116" t="s">
        <v>184</v>
      </c>
      <c r="AP4" s="117"/>
      <c r="AQ4" s="116" t="s">
        <v>185</v>
      </c>
      <c r="AR4" s="117"/>
      <c r="AS4" s="116" t="s">
        <v>186</v>
      </c>
      <c r="AT4" s="117"/>
      <c r="AU4" s="116" t="s">
        <v>187</v>
      </c>
      <c r="AV4" s="117"/>
      <c r="AW4" s="116" t="s">
        <v>189</v>
      </c>
      <c r="AX4" s="117"/>
      <c r="AY4" s="116" t="s">
        <v>190</v>
      </c>
      <c r="AZ4" s="117"/>
      <c r="BA4" s="116" t="s">
        <v>191</v>
      </c>
      <c r="BB4" s="117"/>
      <c r="BC4" s="116" t="s">
        <v>192</v>
      </c>
      <c r="BD4" s="117"/>
      <c r="BE4" s="116" t="s">
        <v>193</v>
      </c>
      <c r="BF4" s="117"/>
      <c r="BG4" s="116" t="s">
        <v>194</v>
      </c>
      <c r="BH4" s="117"/>
      <c r="BI4" s="116" t="s">
        <v>195</v>
      </c>
      <c r="BJ4" s="117"/>
      <c r="BK4" s="116" t="s">
        <v>196</v>
      </c>
      <c r="BL4" s="117"/>
      <c r="BM4" s="116" t="s">
        <v>197</v>
      </c>
      <c r="BN4" s="117"/>
      <c r="BO4" s="116" t="s">
        <v>198</v>
      </c>
      <c r="BP4" s="117"/>
      <c r="BQ4" s="116" t="s">
        <v>199</v>
      </c>
      <c r="BR4" s="117"/>
      <c r="BS4" s="116" t="s">
        <v>200</v>
      </c>
      <c r="BT4" s="117"/>
      <c r="BU4" s="116" t="s">
        <v>201</v>
      </c>
      <c r="BV4" s="117"/>
      <c r="BW4" s="116" t="s">
        <v>202</v>
      </c>
      <c r="BX4" s="117"/>
      <c r="BY4" s="116" t="s">
        <v>203</v>
      </c>
      <c r="BZ4" s="117"/>
      <c r="CA4" s="116" t="s">
        <v>204</v>
      </c>
      <c r="CB4" s="117"/>
      <c r="CC4" s="116" t="s">
        <v>205</v>
      </c>
      <c r="CD4" s="117"/>
      <c r="CE4" s="116" t="s">
        <v>206</v>
      </c>
      <c r="CF4" s="117"/>
      <c r="CG4" s="116" t="s">
        <v>207</v>
      </c>
      <c r="CH4" s="117"/>
      <c r="CI4" s="116" t="s">
        <v>208</v>
      </c>
      <c r="CJ4" s="117"/>
      <c r="CK4" s="116" t="s">
        <v>209</v>
      </c>
      <c r="CL4" s="117"/>
      <c r="CM4" s="116" t="s">
        <v>210</v>
      </c>
      <c r="CN4" s="117"/>
      <c r="CO4" s="116" t="s">
        <v>211</v>
      </c>
      <c r="CP4" s="117"/>
      <c r="CQ4" s="116" t="s">
        <v>212</v>
      </c>
      <c r="CR4" s="117"/>
      <c r="CS4" s="116" t="s">
        <v>213</v>
      </c>
      <c r="CT4" s="117"/>
      <c r="CU4" s="116" t="s">
        <v>214</v>
      </c>
      <c r="CV4" s="117"/>
      <c r="CW4" s="116" t="s">
        <v>215</v>
      </c>
      <c r="CX4" s="117"/>
      <c r="CY4" s="116" t="s">
        <v>216</v>
      </c>
      <c r="CZ4" s="117"/>
      <c r="DA4" s="116" t="s">
        <v>217</v>
      </c>
      <c r="DB4" s="117"/>
      <c r="DC4" s="116" t="s">
        <v>218</v>
      </c>
      <c r="DD4" s="117"/>
      <c r="DE4" s="116" t="s">
        <v>219</v>
      </c>
      <c r="DF4" s="117"/>
      <c r="DG4" s="116" t="s">
        <v>220</v>
      </c>
      <c r="DH4" s="117"/>
      <c r="DI4" s="116" t="s">
        <v>221</v>
      </c>
      <c r="DJ4" s="117"/>
      <c r="DK4" s="116" t="s">
        <v>222</v>
      </c>
      <c r="DL4" s="117"/>
      <c r="DM4" s="116" t="s">
        <v>223</v>
      </c>
      <c r="DN4" s="117"/>
      <c r="DO4" s="116" t="s">
        <v>224</v>
      </c>
      <c r="DP4" s="117"/>
      <c r="DQ4" s="116" t="s">
        <v>225</v>
      </c>
      <c r="DR4" s="117"/>
      <c r="DS4" s="116" t="s">
        <v>227</v>
      </c>
      <c r="DT4" s="117"/>
      <c r="DU4" s="116" t="s">
        <v>228</v>
      </c>
      <c r="DV4" s="117"/>
      <c r="DW4" s="116" t="s">
        <v>229</v>
      </c>
      <c r="DX4" s="117"/>
      <c r="DY4" s="116" t="s">
        <v>230</v>
      </c>
      <c r="DZ4" s="117"/>
      <c r="EA4" s="116" t="s">
        <v>231</v>
      </c>
      <c r="EB4" s="117"/>
      <c r="EC4" s="116" t="s">
        <v>232</v>
      </c>
      <c r="ED4" s="117"/>
      <c r="EE4" s="116" t="s">
        <v>233</v>
      </c>
      <c r="EF4" s="117"/>
      <c r="EG4" s="116" t="s">
        <v>234</v>
      </c>
      <c r="EH4" s="117"/>
      <c r="EI4" s="116" t="s">
        <v>235</v>
      </c>
      <c r="EJ4" s="117"/>
      <c r="EK4" s="116" t="s">
        <v>236</v>
      </c>
      <c r="EL4" s="117"/>
      <c r="EM4" s="116" t="s">
        <v>237</v>
      </c>
      <c r="EN4" s="117"/>
      <c r="EO4" s="116" t="s">
        <v>238</v>
      </c>
      <c r="EP4" s="117"/>
      <c r="EQ4" s="116" t="s">
        <v>239</v>
      </c>
      <c r="ER4" s="117"/>
      <c r="ES4" s="116" t="s">
        <v>244</v>
      </c>
      <c r="ET4" s="117"/>
      <c r="EU4" s="217" t="s">
        <v>245</v>
      </c>
      <c r="EV4" s="218"/>
      <c r="EW4" s="118"/>
      <c r="EX4" s="178"/>
      <c r="EY4" s="179"/>
      <c r="EZ4" s="180"/>
    </row>
    <row r="5" spans="1:156" s="110" customFormat="1" ht="24" customHeight="1" thickBot="1" x14ac:dyDescent="0.35">
      <c r="A5" s="120"/>
      <c r="B5" s="121" t="s">
        <v>76</v>
      </c>
      <c r="C5" s="122" t="s">
        <v>101</v>
      </c>
      <c r="D5" s="123" t="s">
        <v>78</v>
      </c>
      <c r="E5" s="122" t="s">
        <v>101</v>
      </c>
      <c r="F5" s="123" t="s">
        <v>78</v>
      </c>
      <c r="G5" s="122" t="s">
        <v>101</v>
      </c>
      <c r="H5" s="123" t="s">
        <v>78</v>
      </c>
      <c r="I5" s="122" t="s">
        <v>101</v>
      </c>
      <c r="J5" s="123" t="s">
        <v>78</v>
      </c>
      <c r="K5" s="122" t="s">
        <v>101</v>
      </c>
      <c r="L5" s="123" t="s">
        <v>78</v>
      </c>
      <c r="M5" s="122" t="s">
        <v>101</v>
      </c>
      <c r="N5" s="123" t="s">
        <v>78</v>
      </c>
      <c r="O5" s="122" t="s">
        <v>101</v>
      </c>
      <c r="P5" s="123" t="s">
        <v>78</v>
      </c>
      <c r="Q5" s="122" t="s">
        <v>101</v>
      </c>
      <c r="R5" s="123" t="s">
        <v>78</v>
      </c>
      <c r="S5" s="122" t="s">
        <v>101</v>
      </c>
      <c r="T5" s="123" t="s">
        <v>78</v>
      </c>
      <c r="U5" s="122" t="s">
        <v>101</v>
      </c>
      <c r="V5" s="123" t="s">
        <v>78</v>
      </c>
      <c r="W5" s="122" t="s">
        <v>101</v>
      </c>
      <c r="X5" s="123" t="s">
        <v>78</v>
      </c>
      <c r="Y5" s="122" t="s">
        <v>101</v>
      </c>
      <c r="Z5" s="123" t="s">
        <v>78</v>
      </c>
      <c r="AA5" s="122" t="s">
        <v>101</v>
      </c>
      <c r="AB5" s="123" t="s">
        <v>78</v>
      </c>
      <c r="AC5" s="122" t="s">
        <v>101</v>
      </c>
      <c r="AD5" s="123" t="s">
        <v>78</v>
      </c>
      <c r="AE5" s="122" t="s">
        <v>101</v>
      </c>
      <c r="AF5" s="123" t="s">
        <v>78</v>
      </c>
      <c r="AG5" s="122" t="s">
        <v>101</v>
      </c>
      <c r="AH5" s="123" t="s">
        <v>78</v>
      </c>
      <c r="AI5" s="122" t="s">
        <v>101</v>
      </c>
      <c r="AJ5" s="123" t="s">
        <v>78</v>
      </c>
      <c r="AK5" s="122" t="s">
        <v>101</v>
      </c>
      <c r="AL5" s="123" t="s">
        <v>78</v>
      </c>
      <c r="AM5" s="122" t="s">
        <v>101</v>
      </c>
      <c r="AN5" s="123" t="s">
        <v>78</v>
      </c>
      <c r="AO5" s="122" t="s">
        <v>101</v>
      </c>
      <c r="AP5" s="123" t="s">
        <v>78</v>
      </c>
      <c r="AQ5" s="122" t="s">
        <v>101</v>
      </c>
      <c r="AR5" s="123" t="s">
        <v>78</v>
      </c>
      <c r="AS5" s="122" t="s">
        <v>101</v>
      </c>
      <c r="AT5" s="123" t="s">
        <v>78</v>
      </c>
      <c r="AU5" s="122" t="s">
        <v>101</v>
      </c>
      <c r="AV5" s="123" t="s">
        <v>78</v>
      </c>
      <c r="AW5" s="122" t="s">
        <v>101</v>
      </c>
      <c r="AX5" s="123" t="s">
        <v>78</v>
      </c>
      <c r="AY5" s="122" t="s">
        <v>101</v>
      </c>
      <c r="AZ5" s="123" t="s">
        <v>78</v>
      </c>
      <c r="BA5" s="122" t="s">
        <v>101</v>
      </c>
      <c r="BB5" s="123" t="s">
        <v>78</v>
      </c>
      <c r="BC5" s="122" t="s">
        <v>101</v>
      </c>
      <c r="BD5" s="123" t="s">
        <v>78</v>
      </c>
      <c r="BE5" s="122" t="s">
        <v>101</v>
      </c>
      <c r="BF5" s="123" t="s">
        <v>78</v>
      </c>
      <c r="BG5" s="122" t="s">
        <v>101</v>
      </c>
      <c r="BH5" s="123" t="s">
        <v>78</v>
      </c>
      <c r="BI5" s="122" t="s">
        <v>101</v>
      </c>
      <c r="BJ5" s="123" t="s">
        <v>78</v>
      </c>
      <c r="BK5" s="122" t="s">
        <v>101</v>
      </c>
      <c r="BL5" s="123" t="s">
        <v>78</v>
      </c>
      <c r="BM5" s="122" t="s">
        <v>101</v>
      </c>
      <c r="BN5" s="123" t="s">
        <v>78</v>
      </c>
      <c r="BO5" s="122" t="s">
        <v>101</v>
      </c>
      <c r="BP5" s="123" t="s">
        <v>78</v>
      </c>
      <c r="BQ5" s="122" t="s">
        <v>101</v>
      </c>
      <c r="BR5" s="123" t="s">
        <v>78</v>
      </c>
      <c r="BS5" s="122" t="s">
        <v>101</v>
      </c>
      <c r="BT5" s="123" t="s">
        <v>78</v>
      </c>
      <c r="BU5" s="122" t="s">
        <v>101</v>
      </c>
      <c r="BV5" s="123" t="s">
        <v>78</v>
      </c>
      <c r="BW5" s="122" t="s">
        <v>101</v>
      </c>
      <c r="BX5" s="123" t="s">
        <v>78</v>
      </c>
      <c r="BY5" s="122" t="s">
        <v>101</v>
      </c>
      <c r="BZ5" s="123" t="s">
        <v>78</v>
      </c>
      <c r="CA5" s="122" t="s">
        <v>101</v>
      </c>
      <c r="CB5" s="123" t="s">
        <v>78</v>
      </c>
      <c r="CC5" s="122" t="s">
        <v>101</v>
      </c>
      <c r="CD5" s="123" t="s">
        <v>78</v>
      </c>
      <c r="CE5" s="122" t="s">
        <v>101</v>
      </c>
      <c r="CF5" s="123" t="s">
        <v>78</v>
      </c>
      <c r="CG5" s="122" t="s">
        <v>101</v>
      </c>
      <c r="CH5" s="123" t="s">
        <v>78</v>
      </c>
      <c r="CI5" s="122" t="s">
        <v>101</v>
      </c>
      <c r="CJ5" s="123" t="s">
        <v>78</v>
      </c>
      <c r="CK5" s="122" t="s">
        <v>101</v>
      </c>
      <c r="CL5" s="123" t="s">
        <v>78</v>
      </c>
      <c r="CM5" s="122" t="s">
        <v>101</v>
      </c>
      <c r="CN5" s="123" t="s">
        <v>78</v>
      </c>
      <c r="CO5" s="122" t="s">
        <v>101</v>
      </c>
      <c r="CP5" s="123" t="s">
        <v>78</v>
      </c>
      <c r="CQ5" s="122" t="s">
        <v>101</v>
      </c>
      <c r="CR5" s="123" t="s">
        <v>78</v>
      </c>
      <c r="CS5" s="122" t="s">
        <v>101</v>
      </c>
      <c r="CT5" s="123" t="s">
        <v>78</v>
      </c>
      <c r="CU5" s="122" t="s">
        <v>101</v>
      </c>
      <c r="CV5" s="123" t="s">
        <v>78</v>
      </c>
      <c r="CW5" s="122" t="s">
        <v>101</v>
      </c>
      <c r="CX5" s="123" t="s">
        <v>78</v>
      </c>
      <c r="CY5" s="122" t="s">
        <v>101</v>
      </c>
      <c r="CZ5" s="123" t="s">
        <v>78</v>
      </c>
      <c r="DA5" s="122" t="s">
        <v>101</v>
      </c>
      <c r="DB5" s="123" t="s">
        <v>78</v>
      </c>
      <c r="DC5" s="122" t="s">
        <v>101</v>
      </c>
      <c r="DD5" s="123" t="s">
        <v>78</v>
      </c>
      <c r="DE5" s="122" t="s">
        <v>101</v>
      </c>
      <c r="DF5" s="123" t="s">
        <v>78</v>
      </c>
      <c r="DG5" s="122" t="s">
        <v>101</v>
      </c>
      <c r="DH5" s="123" t="s">
        <v>78</v>
      </c>
      <c r="DI5" s="122" t="s">
        <v>101</v>
      </c>
      <c r="DJ5" s="123" t="s">
        <v>78</v>
      </c>
      <c r="DK5" s="122" t="s">
        <v>101</v>
      </c>
      <c r="DL5" s="123" t="s">
        <v>78</v>
      </c>
      <c r="DM5" s="122" t="s">
        <v>101</v>
      </c>
      <c r="DN5" s="123" t="s">
        <v>78</v>
      </c>
      <c r="DO5" s="122" t="s">
        <v>101</v>
      </c>
      <c r="DP5" s="123" t="s">
        <v>78</v>
      </c>
      <c r="DQ5" s="122" t="s">
        <v>101</v>
      </c>
      <c r="DR5" s="123" t="s">
        <v>78</v>
      </c>
      <c r="DS5" s="122" t="s">
        <v>101</v>
      </c>
      <c r="DT5" s="123" t="s">
        <v>78</v>
      </c>
      <c r="DU5" s="122" t="s">
        <v>101</v>
      </c>
      <c r="DV5" s="123" t="s">
        <v>78</v>
      </c>
      <c r="DW5" s="122" t="s">
        <v>101</v>
      </c>
      <c r="DX5" s="123" t="s">
        <v>78</v>
      </c>
      <c r="DY5" s="122" t="s">
        <v>101</v>
      </c>
      <c r="DZ5" s="123" t="s">
        <v>78</v>
      </c>
      <c r="EA5" s="122" t="s">
        <v>101</v>
      </c>
      <c r="EB5" s="123" t="s">
        <v>78</v>
      </c>
      <c r="EC5" s="122" t="s">
        <v>101</v>
      </c>
      <c r="ED5" s="123" t="s">
        <v>78</v>
      </c>
      <c r="EE5" s="122" t="s">
        <v>101</v>
      </c>
      <c r="EF5" s="123" t="s">
        <v>78</v>
      </c>
      <c r="EG5" s="122" t="s">
        <v>101</v>
      </c>
      <c r="EH5" s="123" t="s">
        <v>78</v>
      </c>
      <c r="EI5" s="122" t="s">
        <v>101</v>
      </c>
      <c r="EJ5" s="123" t="s">
        <v>78</v>
      </c>
      <c r="EK5" s="122" t="s">
        <v>101</v>
      </c>
      <c r="EL5" s="123" t="s">
        <v>78</v>
      </c>
      <c r="EM5" s="122" t="s">
        <v>101</v>
      </c>
      <c r="EN5" s="123" t="s">
        <v>78</v>
      </c>
      <c r="EO5" s="122" t="s">
        <v>101</v>
      </c>
      <c r="EP5" s="123" t="s">
        <v>78</v>
      </c>
      <c r="EQ5" s="122" t="s">
        <v>101</v>
      </c>
      <c r="ER5" s="123" t="s">
        <v>78</v>
      </c>
      <c r="ES5" s="122" t="s">
        <v>101</v>
      </c>
      <c r="ET5" s="123" t="s">
        <v>78</v>
      </c>
      <c r="EU5" s="219" t="s">
        <v>77</v>
      </c>
      <c r="EV5" s="220" t="s">
        <v>78</v>
      </c>
      <c r="EW5" s="124"/>
      <c r="EX5" s="125" t="s">
        <v>76</v>
      </c>
      <c r="EY5" s="126"/>
      <c r="EZ5" s="181" t="s">
        <v>156</v>
      </c>
    </row>
    <row r="6" spans="1:156" ht="24" customHeight="1" thickBot="1" x14ac:dyDescent="0.35">
      <c r="A6" s="3"/>
      <c r="B6" s="20" t="s">
        <v>89</v>
      </c>
      <c r="C6" s="21">
        <v>0</v>
      </c>
      <c r="D6" s="93">
        <v>0</v>
      </c>
      <c r="E6" s="21">
        <v>0</v>
      </c>
      <c r="F6" s="93">
        <v>0</v>
      </c>
      <c r="G6" s="21">
        <v>0</v>
      </c>
      <c r="H6" s="93">
        <v>0</v>
      </c>
      <c r="I6" s="21">
        <v>0</v>
      </c>
      <c r="J6" s="93">
        <v>0</v>
      </c>
      <c r="K6" s="21">
        <v>0</v>
      </c>
      <c r="L6" s="93">
        <v>0</v>
      </c>
      <c r="M6" s="21">
        <v>0</v>
      </c>
      <c r="N6" s="93">
        <v>0</v>
      </c>
      <c r="O6" s="21">
        <v>0</v>
      </c>
      <c r="P6" s="93">
        <v>0</v>
      </c>
      <c r="Q6" s="21">
        <v>0</v>
      </c>
      <c r="R6" s="93">
        <v>0</v>
      </c>
      <c r="S6" s="21">
        <v>0</v>
      </c>
      <c r="T6" s="93">
        <v>0</v>
      </c>
      <c r="U6" s="21">
        <v>0</v>
      </c>
      <c r="V6" s="93">
        <v>0</v>
      </c>
      <c r="W6" s="21">
        <v>0</v>
      </c>
      <c r="X6" s="93">
        <v>0</v>
      </c>
      <c r="Y6" s="21">
        <v>74629</v>
      </c>
      <c r="Z6" s="93">
        <v>5.1750584221511835E-3</v>
      </c>
      <c r="AA6" s="21">
        <v>37449</v>
      </c>
      <c r="AB6" s="93">
        <v>2.1498628155711174E-3</v>
      </c>
      <c r="AC6" s="21">
        <v>0</v>
      </c>
      <c r="AD6" s="93">
        <v>0</v>
      </c>
      <c r="AE6" s="21">
        <v>0</v>
      </c>
      <c r="AF6" s="93">
        <v>0</v>
      </c>
      <c r="AG6" s="21">
        <v>0</v>
      </c>
      <c r="AH6" s="93">
        <v>0</v>
      </c>
      <c r="AI6" s="21">
        <v>0</v>
      </c>
      <c r="AJ6" s="93">
        <v>0</v>
      </c>
      <c r="AK6" s="21">
        <v>0</v>
      </c>
      <c r="AL6" s="93">
        <v>0</v>
      </c>
      <c r="AM6" s="21">
        <v>0</v>
      </c>
      <c r="AN6" s="93">
        <v>0</v>
      </c>
      <c r="AO6" s="21">
        <v>0</v>
      </c>
      <c r="AP6" s="93">
        <v>0</v>
      </c>
      <c r="AQ6" s="21">
        <v>0</v>
      </c>
      <c r="AR6" s="93">
        <v>0</v>
      </c>
      <c r="AS6" s="21">
        <v>0</v>
      </c>
      <c r="AT6" s="93">
        <v>0</v>
      </c>
      <c r="AU6" s="21">
        <v>0</v>
      </c>
      <c r="AV6" s="93">
        <v>0</v>
      </c>
      <c r="AW6" s="21">
        <v>0</v>
      </c>
      <c r="AX6" s="93">
        <v>0</v>
      </c>
      <c r="AY6" s="21">
        <v>0</v>
      </c>
      <c r="AZ6" s="93">
        <v>0</v>
      </c>
      <c r="BA6" s="21">
        <v>0</v>
      </c>
      <c r="BB6" s="93">
        <v>0</v>
      </c>
      <c r="BC6" s="21">
        <v>0</v>
      </c>
      <c r="BD6" s="93">
        <v>0</v>
      </c>
      <c r="BE6" s="21">
        <v>0</v>
      </c>
      <c r="BF6" s="93">
        <v>0</v>
      </c>
      <c r="BG6" s="21">
        <v>0</v>
      </c>
      <c r="BH6" s="93">
        <v>0</v>
      </c>
      <c r="BI6" s="21">
        <v>0</v>
      </c>
      <c r="BJ6" s="93">
        <v>0</v>
      </c>
      <c r="BK6" s="21">
        <v>0</v>
      </c>
      <c r="BL6" s="93">
        <v>0</v>
      </c>
      <c r="BM6" s="21">
        <v>0</v>
      </c>
      <c r="BN6" s="93">
        <v>0</v>
      </c>
      <c r="BO6" s="21">
        <v>0</v>
      </c>
      <c r="BP6" s="93">
        <v>0</v>
      </c>
      <c r="BQ6" s="21">
        <v>0</v>
      </c>
      <c r="BR6" s="93">
        <v>0</v>
      </c>
      <c r="BS6" s="21">
        <v>0</v>
      </c>
      <c r="BT6" s="93">
        <v>0</v>
      </c>
      <c r="BU6" s="21">
        <v>0</v>
      </c>
      <c r="BV6" s="93">
        <v>0</v>
      </c>
      <c r="BW6" s="21">
        <v>0</v>
      </c>
      <c r="BX6" s="93">
        <v>0</v>
      </c>
      <c r="BY6" s="21">
        <v>0</v>
      </c>
      <c r="BZ6" s="93">
        <v>0</v>
      </c>
      <c r="CA6" s="21">
        <v>0</v>
      </c>
      <c r="CB6" s="93">
        <v>0</v>
      </c>
      <c r="CC6" s="21">
        <v>0</v>
      </c>
      <c r="CD6" s="93">
        <v>0</v>
      </c>
      <c r="CE6" s="21">
        <v>0</v>
      </c>
      <c r="CF6" s="93">
        <v>0</v>
      </c>
      <c r="CG6" s="21">
        <v>0</v>
      </c>
      <c r="CH6" s="93">
        <v>0</v>
      </c>
      <c r="CI6" s="21">
        <v>0</v>
      </c>
      <c r="CJ6" s="93">
        <v>0</v>
      </c>
      <c r="CK6" s="21">
        <v>0</v>
      </c>
      <c r="CL6" s="93">
        <v>0</v>
      </c>
      <c r="CM6" s="21">
        <v>0</v>
      </c>
      <c r="CN6" s="93">
        <v>0</v>
      </c>
      <c r="CO6" s="21">
        <v>0</v>
      </c>
      <c r="CP6" s="93">
        <v>0</v>
      </c>
      <c r="CQ6" s="21">
        <v>0</v>
      </c>
      <c r="CR6" s="93">
        <v>0</v>
      </c>
      <c r="CS6" s="21">
        <v>0</v>
      </c>
      <c r="CT6" s="93">
        <v>0</v>
      </c>
      <c r="CU6" s="21">
        <v>0</v>
      </c>
      <c r="CV6" s="93">
        <v>0</v>
      </c>
      <c r="CW6" s="21">
        <v>0</v>
      </c>
      <c r="CX6" s="93">
        <v>0</v>
      </c>
      <c r="CY6" s="21">
        <v>0</v>
      </c>
      <c r="CZ6" s="93">
        <v>0</v>
      </c>
      <c r="DA6" s="21">
        <v>0</v>
      </c>
      <c r="DB6" s="93">
        <v>0</v>
      </c>
      <c r="DC6" s="21">
        <v>0</v>
      </c>
      <c r="DD6" s="93">
        <v>0</v>
      </c>
      <c r="DE6" s="21">
        <v>0</v>
      </c>
      <c r="DF6" s="93">
        <v>0</v>
      </c>
      <c r="DG6" s="21">
        <v>0</v>
      </c>
      <c r="DH6" s="93">
        <v>0</v>
      </c>
      <c r="DI6" s="21">
        <v>0</v>
      </c>
      <c r="DJ6" s="93">
        <v>0</v>
      </c>
      <c r="DK6" s="21">
        <v>0</v>
      </c>
      <c r="DL6" s="93">
        <v>0</v>
      </c>
      <c r="DM6" s="21">
        <v>0</v>
      </c>
      <c r="DN6" s="93">
        <v>0</v>
      </c>
      <c r="DO6" s="21">
        <v>0</v>
      </c>
      <c r="DP6" s="93">
        <v>0</v>
      </c>
      <c r="DQ6" s="21">
        <v>0</v>
      </c>
      <c r="DR6" s="93">
        <v>0</v>
      </c>
      <c r="DS6" s="21">
        <v>0</v>
      </c>
      <c r="DT6" s="93">
        <v>0</v>
      </c>
      <c r="DU6" s="21">
        <v>0</v>
      </c>
      <c r="DV6" s="93">
        <v>0</v>
      </c>
      <c r="DW6" s="21">
        <v>0</v>
      </c>
      <c r="DX6" s="93">
        <v>0</v>
      </c>
      <c r="DY6" s="21">
        <v>0</v>
      </c>
      <c r="DZ6" s="93">
        <v>0</v>
      </c>
      <c r="EA6" s="21">
        <v>0</v>
      </c>
      <c r="EB6" s="93">
        <v>0</v>
      </c>
      <c r="EC6" s="21">
        <v>0</v>
      </c>
      <c r="ED6" s="93">
        <v>0</v>
      </c>
      <c r="EE6" s="21">
        <v>0</v>
      </c>
      <c r="EF6" s="93">
        <v>0</v>
      </c>
      <c r="EG6" s="21">
        <v>0</v>
      </c>
      <c r="EH6" s="93">
        <v>0</v>
      </c>
      <c r="EI6" s="21">
        <v>0</v>
      </c>
      <c r="EJ6" s="93">
        <v>0</v>
      </c>
      <c r="EK6" s="21">
        <v>0</v>
      </c>
      <c r="EL6" s="93">
        <v>0</v>
      </c>
      <c r="EM6" s="21">
        <v>0</v>
      </c>
      <c r="EN6" s="93">
        <v>0</v>
      </c>
      <c r="EO6" s="21">
        <v>0</v>
      </c>
      <c r="EP6" s="93">
        <v>0</v>
      </c>
      <c r="EQ6" s="21">
        <v>0</v>
      </c>
      <c r="ER6" s="93">
        <v>0</v>
      </c>
      <c r="ES6" s="21">
        <f t="shared" ref="ES6:ES12" si="0">+$EY6</f>
        <v>0</v>
      </c>
      <c r="ET6" s="93">
        <f>ES6/ES13</f>
        <v>0</v>
      </c>
      <c r="EU6" s="221">
        <f>IF( SUM($EQ6:ES6)&lt;0, "n/a", SUM($EQ6:ES6)/EU$74)</f>
        <v>0</v>
      </c>
      <c r="EV6" s="222">
        <f>EU6/EU13</f>
        <v>0</v>
      </c>
      <c r="EW6" s="22"/>
      <c r="EX6" s="96" t="s">
        <v>26</v>
      </c>
      <c r="EY6" s="35">
        <f>IF(ISERROR(VLOOKUP(EX6,IQSH01E!$A$1:$M$400,2,0)),0,VLOOKUP(EX6,IQSH01E!$A$1:$M$400,2,0))</f>
        <v>0</v>
      </c>
      <c r="EZ6" s="182" t="s">
        <v>123</v>
      </c>
    </row>
    <row r="7" spans="1:156" ht="24" customHeight="1" thickBot="1" x14ac:dyDescent="0.35">
      <c r="A7" s="3"/>
      <c r="B7" s="14" t="s">
        <v>79</v>
      </c>
      <c r="C7" s="60">
        <v>17926960</v>
      </c>
      <c r="D7" s="99">
        <v>0.94436454586194152</v>
      </c>
      <c r="E7" s="60">
        <v>14757649</v>
      </c>
      <c r="F7" s="99">
        <v>0.92598855142718761</v>
      </c>
      <c r="G7" s="60">
        <v>18016503</v>
      </c>
      <c r="H7" s="99">
        <v>0.93788087007053011</v>
      </c>
      <c r="I7" s="60">
        <v>20241203</v>
      </c>
      <c r="J7" s="99">
        <v>0.97198940095109077</v>
      </c>
      <c r="K7" s="60">
        <v>17563611</v>
      </c>
      <c r="L7" s="99">
        <v>0.96731643822277713</v>
      </c>
      <c r="M7" s="60">
        <v>16544199</v>
      </c>
      <c r="N7" s="99">
        <v>0.94564455441266138</v>
      </c>
      <c r="O7" s="60">
        <v>19119684</v>
      </c>
      <c r="P7" s="99">
        <v>0.92215143221117579</v>
      </c>
      <c r="Q7" s="60">
        <v>17440860</v>
      </c>
      <c r="R7" s="99">
        <v>0.92341380261901973</v>
      </c>
      <c r="S7" s="60">
        <v>16221820</v>
      </c>
      <c r="T7" s="99">
        <v>0.88934773059756367</v>
      </c>
      <c r="U7" s="60">
        <v>14767751</v>
      </c>
      <c r="V7" s="99">
        <v>0.8990892306313566</v>
      </c>
      <c r="W7" s="60">
        <v>12597716</v>
      </c>
      <c r="X7" s="99">
        <v>0.91064030342831492</v>
      </c>
      <c r="Y7" s="60">
        <v>13079418</v>
      </c>
      <c r="Z7" s="99">
        <v>0.90697654099258718</v>
      </c>
      <c r="AA7" s="60">
        <v>16339316</v>
      </c>
      <c r="AB7" s="99">
        <v>0.93800336191263334</v>
      </c>
      <c r="AC7" s="60">
        <v>12209783</v>
      </c>
      <c r="AD7" s="99">
        <v>0.91449081766743778</v>
      </c>
      <c r="AE7" s="60">
        <v>10897718.879999999</v>
      </c>
      <c r="AF7" s="99">
        <v>0.90107998338107009</v>
      </c>
      <c r="AG7" s="60">
        <v>15419469</v>
      </c>
      <c r="AH7" s="99">
        <v>0.94789939305915805</v>
      </c>
      <c r="AI7" s="60">
        <v>14387713</v>
      </c>
      <c r="AJ7" s="99">
        <v>0.92196140757120482</v>
      </c>
      <c r="AK7" s="60">
        <v>11868724</v>
      </c>
      <c r="AL7" s="99">
        <v>0.898702193576428</v>
      </c>
      <c r="AM7" s="60">
        <v>14270149</v>
      </c>
      <c r="AN7" s="99">
        <v>0.94123838239022717</v>
      </c>
      <c r="AO7" s="60">
        <v>13769270</v>
      </c>
      <c r="AP7" s="99">
        <v>0.96331195954686821</v>
      </c>
      <c r="AQ7" s="60">
        <v>14072832</v>
      </c>
      <c r="AR7" s="99">
        <v>0.94554685652813064</v>
      </c>
      <c r="AS7" s="60">
        <v>14038582</v>
      </c>
      <c r="AT7" s="99">
        <v>0.96043977259907365</v>
      </c>
      <c r="AU7" s="60">
        <v>14699148</v>
      </c>
      <c r="AV7" s="99">
        <v>0.96509261224086751</v>
      </c>
      <c r="AW7" s="60">
        <v>14322845</v>
      </c>
      <c r="AX7" s="99">
        <v>0.95562867242638838</v>
      </c>
      <c r="AY7" s="60">
        <v>14395924</v>
      </c>
      <c r="AZ7" s="99">
        <v>0.95991609024832525</v>
      </c>
      <c r="BA7" s="60">
        <v>13011428</v>
      </c>
      <c r="BB7" s="99">
        <v>0.948834968016249</v>
      </c>
      <c r="BC7" s="60">
        <v>16081880</v>
      </c>
      <c r="BD7" s="99">
        <v>0.94503861894285934</v>
      </c>
      <c r="BE7" s="60">
        <v>15064453</v>
      </c>
      <c r="BF7" s="99">
        <v>0.95105683201788316</v>
      </c>
      <c r="BG7" s="60">
        <v>14718908</v>
      </c>
      <c r="BH7" s="99">
        <v>0.93858393523749495</v>
      </c>
      <c r="BI7" s="60">
        <v>15878802</v>
      </c>
      <c r="BJ7" s="99">
        <v>0.93071117911832968</v>
      </c>
      <c r="BK7" s="60">
        <v>13620471</v>
      </c>
      <c r="BL7" s="99">
        <v>0.92851366872105146</v>
      </c>
      <c r="BM7" s="60">
        <v>13541155</v>
      </c>
      <c r="BN7" s="99">
        <v>0.92552832292031906</v>
      </c>
      <c r="BO7" s="60">
        <v>13392133</v>
      </c>
      <c r="BP7" s="99">
        <v>0.94825397178306869</v>
      </c>
      <c r="BQ7" s="60">
        <v>12948095</v>
      </c>
      <c r="BR7" s="99">
        <v>0.89412536736177706</v>
      </c>
      <c r="BS7" s="60">
        <v>12326265</v>
      </c>
      <c r="BT7" s="99">
        <v>0.91283467879626012</v>
      </c>
      <c r="BU7" s="60">
        <v>9917416</v>
      </c>
      <c r="BV7" s="99">
        <v>0.90516600205120978</v>
      </c>
      <c r="BW7" s="60">
        <v>13127731</v>
      </c>
      <c r="BX7" s="99">
        <v>0.92829390749384288</v>
      </c>
      <c r="BY7" s="60">
        <v>10939993</v>
      </c>
      <c r="BZ7" s="99">
        <v>0.92906917484931706</v>
      </c>
      <c r="CA7" s="60">
        <v>14198672</v>
      </c>
      <c r="CB7" s="99">
        <v>0.9304025881240825</v>
      </c>
      <c r="CC7" s="60">
        <v>10525066</v>
      </c>
      <c r="CD7" s="99">
        <v>0.94890402497770199</v>
      </c>
      <c r="CE7" s="60">
        <v>12518070</v>
      </c>
      <c r="CF7" s="99">
        <v>0.95415544262297836</v>
      </c>
      <c r="CG7" s="60">
        <v>11553940</v>
      </c>
      <c r="CH7" s="99">
        <v>0.91770114431270944</v>
      </c>
      <c r="CI7" s="60">
        <v>11196745</v>
      </c>
      <c r="CJ7" s="99">
        <v>0.95451911626413322</v>
      </c>
      <c r="CK7" s="60">
        <v>12662929</v>
      </c>
      <c r="CL7" s="99">
        <v>0.93925445490077286</v>
      </c>
      <c r="CM7" s="60">
        <v>11987003</v>
      </c>
      <c r="CN7" s="99">
        <v>0.95242333955436898</v>
      </c>
      <c r="CO7" s="60">
        <v>11670626</v>
      </c>
      <c r="CP7" s="99">
        <v>0.94901887120788908</v>
      </c>
      <c r="CQ7" s="60">
        <v>12202598</v>
      </c>
      <c r="CR7" s="99">
        <v>0.9583361736977335</v>
      </c>
      <c r="CS7" s="60">
        <v>10634147</v>
      </c>
      <c r="CT7" s="99">
        <v>0.94814602744877796</v>
      </c>
      <c r="CU7" s="60">
        <v>14109935</v>
      </c>
      <c r="CV7" s="99">
        <v>0.94703505851341119</v>
      </c>
      <c r="CW7" s="60">
        <v>11965010</v>
      </c>
      <c r="CX7" s="99">
        <v>0.95732379696143366</v>
      </c>
      <c r="CY7" s="60">
        <v>13077374</v>
      </c>
      <c r="CZ7" s="99">
        <v>0.94833199648234512</v>
      </c>
      <c r="DA7" s="60">
        <v>14596481</v>
      </c>
      <c r="DB7" s="99">
        <v>0.94974717295883804</v>
      </c>
      <c r="DC7" s="60">
        <v>14318378</v>
      </c>
      <c r="DD7" s="99">
        <v>0.93990664199351048</v>
      </c>
      <c r="DE7" s="60">
        <v>13655036</v>
      </c>
      <c r="DF7" s="99">
        <v>0.96243591853535326</v>
      </c>
      <c r="DG7" s="60">
        <v>13912251</v>
      </c>
      <c r="DH7" s="99">
        <v>0.95450413951755597</v>
      </c>
      <c r="DI7" s="60">
        <v>14358254</v>
      </c>
      <c r="DJ7" s="99">
        <v>0.97088032634200971</v>
      </c>
      <c r="DK7" s="60">
        <v>13299292</v>
      </c>
      <c r="DL7" s="99">
        <v>0.92273948879592393</v>
      </c>
      <c r="DM7" s="60">
        <v>12533567</v>
      </c>
      <c r="DN7" s="99">
        <v>0.92305876627541983</v>
      </c>
      <c r="DO7" s="60">
        <v>10506830</v>
      </c>
      <c r="DP7" s="99">
        <v>0.95381896428309132</v>
      </c>
      <c r="DQ7" s="60">
        <v>12522037</v>
      </c>
      <c r="DR7" s="99">
        <v>0.95228099217925766</v>
      </c>
      <c r="DS7" s="60">
        <v>12167480</v>
      </c>
      <c r="DT7" s="99">
        <v>0.95139447252781884</v>
      </c>
      <c r="DU7" s="60">
        <v>11294806</v>
      </c>
      <c r="DV7" s="99">
        <v>0.94330761651928297</v>
      </c>
      <c r="DW7" s="60">
        <v>11957761</v>
      </c>
      <c r="DX7" s="99">
        <v>0.94320034636763195</v>
      </c>
      <c r="DY7" s="60">
        <v>11187257</v>
      </c>
      <c r="DZ7" s="99">
        <v>0.95760157430978432</v>
      </c>
      <c r="EA7" s="60">
        <v>11395304</v>
      </c>
      <c r="EB7" s="99">
        <v>0.9365760547685531</v>
      </c>
      <c r="EC7" s="60">
        <v>9631958</v>
      </c>
      <c r="ED7" s="99">
        <v>0.95044257148726952</v>
      </c>
      <c r="EE7" s="60">
        <v>9911399</v>
      </c>
      <c r="EF7" s="99">
        <v>0.92687996111207283</v>
      </c>
      <c r="EG7" s="60">
        <v>10989846</v>
      </c>
      <c r="EH7" s="99">
        <v>0.94528414013762807</v>
      </c>
      <c r="EI7" s="60">
        <v>11856096</v>
      </c>
      <c r="EJ7" s="99">
        <v>0.97763246808558013</v>
      </c>
      <c r="EK7" s="60">
        <v>10866329</v>
      </c>
      <c r="EL7" s="99">
        <v>0.96234294097303863</v>
      </c>
      <c r="EM7" s="60">
        <v>8568924</v>
      </c>
      <c r="EN7" s="99">
        <v>0.97460566165722418</v>
      </c>
      <c r="EO7" s="60">
        <v>9066698</v>
      </c>
      <c r="EP7" s="99">
        <v>0.94328363736959198</v>
      </c>
      <c r="EQ7" s="60">
        <v>9797301</v>
      </c>
      <c r="ER7" s="99">
        <v>0.93336909693383807</v>
      </c>
      <c r="ES7" s="60">
        <f t="shared" si="0"/>
        <v>9575398</v>
      </c>
      <c r="ET7" s="99">
        <f>ES7/ES13</f>
        <v>0.94442755668844891</v>
      </c>
      <c r="EU7" s="221">
        <f>IF( SUM($EQ7:ES7)&lt;0, "n/a", SUM($EQ7:ES7)/EU$74)</f>
        <v>9686349.9666845482</v>
      </c>
      <c r="EV7" s="223">
        <f>EU7/EU13</f>
        <v>0.93880243692953569</v>
      </c>
      <c r="EW7" s="22"/>
      <c r="EX7" s="100" t="s">
        <v>113</v>
      </c>
      <c r="EY7" s="150">
        <f>+EY16-EY15-EY14-EY6-EY9-EY10-EY11-EY12-EY8</f>
        <v>9575398</v>
      </c>
      <c r="EZ7" s="183"/>
    </row>
    <row r="8" spans="1:156" ht="24" customHeight="1" x14ac:dyDescent="0.3">
      <c r="A8" s="3"/>
      <c r="B8" s="14" t="s">
        <v>107</v>
      </c>
      <c r="C8" s="18">
        <v>0</v>
      </c>
      <c r="D8" s="92">
        <v>0</v>
      </c>
      <c r="E8" s="18">
        <v>0</v>
      </c>
      <c r="F8" s="92">
        <v>0</v>
      </c>
      <c r="G8" s="18">
        <v>0</v>
      </c>
      <c r="H8" s="92">
        <v>0</v>
      </c>
      <c r="I8" s="18">
        <v>0</v>
      </c>
      <c r="J8" s="92">
        <v>0</v>
      </c>
      <c r="K8" s="18">
        <v>0</v>
      </c>
      <c r="L8" s="92">
        <v>0</v>
      </c>
      <c r="M8" s="18">
        <v>0</v>
      </c>
      <c r="N8" s="92">
        <v>0</v>
      </c>
      <c r="O8" s="18">
        <v>0</v>
      </c>
      <c r="P8" s="92">
        <v>0</v>
      </c>
      <c r="Q8" s="18">
        <v>0</v>
      </c>
      <c r="R8" s="92">
        <v>0</v>
      </c>
      <c r="S8" s="18">
        <v>0</v>
      </c>
      <c r="T8" s="92">
        <v>0</v>
      </c>
      <c r="U8" s="18">
        <v>0</v>
      </c>
      <c r="V8" s="92">
        <v>0</v>
      </c>
      <c r="W8" s="18">
        <v>0</v>
      </c>
      <c r="X8" s="92">
        <v>0</v>
      </c>
      <c r="Y8" s="18">
        <v>0</v>
      </c>
      <c r="Z8" s="92">
        <v>0</v>
      </c>
      <c r="AA8" s="18">
        <v>0</v>
      </c>
      <c r="AB8" s="92">
        <v>0</v>
      </c>
      <c r="AC8" s="18">
        <v>0</v>
      </c>
      <c r="AD8" s="92">
        <v>0</v>
      </c>
      <c r="AE8" s="18">
        <v>0</v>
      </c>
      <c r="AF8" s="92">
        <v>0</v>
      </c>
      <c r="AG8" s="18">
        <v>0</v>
      </c>
      <c r="AH8" s="92">
        <v>0</v>
      </c>
      <c r="AI8" s="18">
        <v>0</v>
      </c>
      <c r="AJ8" s="92">
        <v>0</v>
      </c>
      <c r="AK8" s="18">
        <v>0</v>
      </c>
      <c r="AL8" s="92">
        <v>0</v>
      </c>
      <c r="AM8" s="18">
        <v>0</v>
      </c>
      <c r="AN8" s="92">
        <v>0</v>
      </c>
      <c r="AO8" s="18">
        <v>0</v>
      </c>
      <c r="AP8" s="92">
        <v>0</v>
      </c>
      <c r="AQ8" s="18">
        <v>0</v>
      </c>
      <c r="AR8" s="92">
        <v>0</v>
      </c>
      <c r="AS8" s="18">
        <v>0</v>
      </c>
      <c r="AT8" s="92">
        <v>0</v>
      </c>
      <c r="AU8" s="18">
        <v>0</v>
      </c>
      <c r="AV8" s="92">
        <v>0</v>
      </c>
      <c r="AW8" s="18">
        <v>0</v>
      </c>
      <c r="AX8" s="92">
        <v>0</v>
      </c>
      <c r="AY8" s="18">
        <v>0</v>
      </c>
      <c r="AZ8" s="92">
        <v>0</v>
      </c>
      <c r="BA8" s="18">
        <v>0</v>
      </c>
      <c r="BB8" s="92">
        <v>0</v>
      </c>
      <c r="BC8" s="18">
        <v>0</v>
      </c>
      <c r="BD8" s="92">
        <v>0</v>
      </c>
      <c r="BE8" s="18">
        <v>0</v>
      </c>
      <c r="BF8" s="92">
        <v>0</v>
      </c>
      <c r="BG8" s="18">
        <v>0</v>
      </c>
      <c r="BH8" s="92">
        <v>0</v>
      </c>
      <c r="BI8" s="18">
        <v>0</v>
      </c>
      <c r="BJ8" s="92">
        <v>0</v>
      </c>
      <c r="BK8" s="18">
        <v>0</v>
      </c>
      <c r="BL8" s="92">
        <v>0</v>
      </c>
      <c r="BM8" s="18">
        <v>0</v>
      </c>
      <c r="BN8" s="92">
        <v>0</v>
      </c>
      <c r="BO8" s="18">
        <v>0</v>
      </c>
      <c r="BP8" s="92">
        <v>0</v>
      </c>
      <c r="BQ8" s="18">
        <v>0</v>
      </c>
      <c r="BR8" s="92">
        <v>0</v>
      </c>
      <c r="BS8" s="18">
        <v>0</v>
      </c>
      <c r="BT8" s="92">
        <v>0</v>
      </c>
      <c r="BU8" s="18">
        <v>0</v>
      </c>
      <c r="BV8" s="92">
        <v>0</v>
      </c>
      <c r="BW8" s="18">
        <v>0</v>
      </c>
      <c r="BX8" s="92">
        <v>0</v>
      </c>
      <c r="BY8" s="18">
        <v>0</v>
      </c>
      <c r="BZ8" s="92">
        <v>0</v>
      </c>
      <c r="CA8" s="18">
        <v>0</v>
      </c>
      <c r="CB8" s="92">
        <v>0</v>
      </c>
      <c r="CC8" s="18">
        <v>0</v>
      </c>
      <c r="CD8" s="92">
        <v>0</v>
      </c>
      <c r="CE8" s="18">
        <v>0</v>
      </c>
      <c r="CF8" s="92">
        <v>0</v>
      </c>
      <c r="CG8" s="18">
        <v>0</v>
      </c>
      <c r="CH8" s="92">
        <v>0</v>
      </c>
      <c r="CI8" s="18">
        <v>0</v>
      </c>
      <c r="CJ8" s="92">
        <v>0</v>
      </c>
      <c r="CK8" s="18">
        <v>0</v>
      </c>
      <c r="CL8" s="92">
        <v>0</v>
      </c>
      <c r="CM8" s="18">
        <v>0</v>
      </c>
      <c r="CN8" s="92">
        <v>0</v>
      </c>
      <c r="CO8" s="18">
        <v>0</v>
      </c>
      <c r="CP8" s="92">
        <v>0</v>
      </c>
      <c r="CQ8" s="18">
        <v>0</v>
      </c>
      <c r="CR8" s="92">
        <v>0</v>
      </c>
      <c r="CS8" s="18">
        <v>0</v>
      </c>
      <c r="CT8" s="92">
        <v>0</v>
      </c>
      <c r="CU8" s="18">
        <v>0</v>
      </c>
      <c r="CV8" s="92">
        <v>0</v>
      </c>
      <c r="CW8" s="18">
        <v>0</v>
      </c>
      <c r="CX8" s="92">
        <v>0</v>
      </c>
      <c r="CY8" s="18">
        <v>0</v>
      </c>
      <c r="CZ8" s="92">
        <v>0</v>
      </c>
      <c r="DA8" s="18">
        <v>0</v>
      </c>
      <c r="DB8" s="92">
        <v>0</v>
      </c>
      <c r="DC8" s="18">
        <v>0</v>
      </c>
      <c r="DD8" s="92">
        <v>0</v>
      </c>
      <c r="DE8" s="18">
        <v>0</v>
      </c>
      <c r="DF8" s="92">
        <v>0</v>
      </c>
      <c r="DG8" s="18">
        <v>0</v>
      </c>
      <c r="DH8" s="92">
        <v>0</v>
      </c>
      <c r="DI8" s="18">
        <v>0</v>
      </c>
      <c r="DJ8" s="92">
        <v>0</v>
      </c>
      <c r="DK8" s="18">
        <v>0</v>
      </c>
      <c r="DL8" s="92">
        <v>0</v>
      </c>
      <c r="DM8" s="18">
        <v>0</v>
      </c>
      <c r="DN8" s="92">
        <v>0</v>
      </c>
      <c r="DO8" s="18">
        <v>0</v>
      </c>
      <c r="DP8" s="92">
        <v>0</v>
      </c>
      <c r="DQ8" s="18">
        <v>0</v>
      </c>
      <c r="DR8" s="92">
        <v>0</v>
      </c>
      <c r="DS8" s="18">
        <v>0</v>
      </c>
      <c r="DT8" s="92">
        <v>0</v>
      </c>
      <c r="DU8" s="18">
        <v>0</v>
      </c>
      <c r="DV8" s="92">
        <v>0</v>
      </c>
      <c r="DW8" s="18">
        <v>0</v>
      </c>
      <c r="DX8" s="92">
        <v>0</v>
      </c>
      <c r="DY8" s="18">
        <v>0</v>
      </c>
      <c r="DZ8" s="92">
        <v>0</v>
      </c>
      <c r="EA8" s="18">
        <v>0</v>
      </c>
      <c r="EB8" s="92">
        <v>0</v>
      </c>
      <c r="EC8" s="18">
        <v>0</v>
      </c>
      <c r="ED8" s="92">
        <v>0</v>
      </c>
      <c r="EE8" s="18">
        <v>0</v>
      </c>
      <c r="EF8" s="92">
        <v>0</v>
      </c>
      <c r="EG8" s="18">
        <v>0</v>
      </c>
      <c r="EH8" s="92">
        <v>0</v>
      </c>
      <c r="EI8" s="18">
        <v>0</v>
      </c>
      <c r="EJ8" s="92">
        <v>0</v>
      </c>
      <c r="EK8" s="18">
        <v>0</v>
      </c>
      <c r="EL8" s="92">
        <v>0</v>
      </c>
      <c r="EM8" s="18">
        <v>0</v>
      </c>
      <c r="EN8" s="92">
        <v>0</v>
      </c>
      <c r="EO8" s="18">
        <v>0</v>
      </c>
      <c r="EP8" s="92">
        <v>0</v>
      </c>
      <c r="EQ8" s="18">
        <v>0</v>
      </c>
      <c r="ER8" s="92">
        <v>0</v>
      </c>
      <c r="ES8" s="18">
        <f t="shared" si="0"/>
        <v>0</v>
      </c>
      <c r="ET8" s="92">
        <f>ES8/ES13</f>
        <v>0</v>
      </c>
      <c r="EU8" s="221">
        <f>IF( SUM($EQ8:ES8)&lt;0, "n/a", SUM($EQ8:ES8)/EU$74)</f>
        <v>0</v>
      </c>
      <c r="EV8" s="224">
        <f>EU8/EU13</f>
        <v>0</v>
      </c>
      <c r="EW8" s="22"/>
      <c r="EX8" s="149" t="s">
        <v>114</v>
      </c>
      <c r="EY8" s="151">
        <f>IF(ISERROR(VLOOKUP(EX8,IQSH01E!$A$1:$M$400,2,0)),0,VLOOKUP(EX8,IQSH01E!$A$1:$M$400,2,0))</f>
        <v>0</v>
      </c>
      <c r="EZ8" s="184" t="s">
        <v>117</v>
      </c>
    </row>
    <row r="9" spans="1:156" ht="24" customHeight="1" x14ac:dyDescent="0.3">
      <c r="A9" s="152"/>
      <c r="B9" s="14" t="s">
        <v>80</v>
      </c>
      <c r="C9" s="60">
        <v>308616</v>
      </c>
      <c r="D9" s="99">
        <v>1.6257413899831815E-2</v>
      </c>
      <c r="E9" s="60">
        <v>208608</v>
      </c>
      <c r="F9" s="99">
        <v>1.3089389762293626E-2</v>
      </c>
      <c r="G9" s="60">
        <v>295848</v>
      </c>
      <c r="H9" s="99">
        <v>1.5400889931227287E-2</v>
      </c>
      <c r="I9" s="60">
        <v>389602</v>
      </c>
      <c r="J9" s="99">
        <v>1.8708819559259737E-2</v>
      </c>
      <c r="K9" s="60">
        <v>251722</v>
      </c>
      <c r="L9" s="99">
        <v>1.3863597210295418E-2</v>
      </c>
      <c r="M9" s="60">
        <v>314430</v>
      </c>
      <c r="N9" s="99">
        <v>1.7972403332671055E-2</v>
      </c>
      <c r="O9" s="60">
        <v>368155</v>
      </c>
      <c r="P9" s="99">
        <v>1.7756290351122195E-2</v>
      </c>
      <c r="Q9" s="60">
        <v>331899</v>
      </c>
      <c r="R9" s="99">
        <v>1.7572534707316612E-2</v>
      </c>
      <c r="S9" s="60">
        <v>488051</v>
      </c>
      <c r="T9" s="99">
        <v>2.675698838144373E-2</v>
      </c>
      <c r="U9" s="60">
        <v>610068</v>
      </c>
      <c r="V9" s="99">
        <v>3.7142119253826156E-2</v>
      </c>
      <c r="W9" s="60">
        <v>477027</v>
      </c>
      <c r="X9" s="99">
        <v>3.4482442057234726E-2</v>
      </c>
      <c r="Y9" s="60">
        <v>512781</v>
      </c>
      <c r="Z9" s="99">
        <v>3.5558182915074649E-2</v>
      </c>
      <c r="AA9" s="60">
        <v>327005</v>
      </c>
      <c r="AB9" s="99">
        <v>1.8772621164939871E-2</v>
      </c>
      <c r="AC9" s="60">
        <v>348770</v>
      </c>
      <c r="AD9" s="99">
        <v>2.6122246601587618E-2</v>
      </c>
      <c r="AE9" s="60">
        <v>477903</v>
      </c>
      <c r="AF9" s="99">
        <v>3.9515501550335785E-2</v>
      </c>
      <c r="AG9" s="60">
        <v>379079</v>
      </c>
      <c r="AH9" s="99">
        <v>2.3303575111534164E-2</v>
      </c>
      <c r="AI9" s="60">
        <v>372609</v>
      </c>
      <c r="AJ9" s="99">
        <v>2.3876700773340354E-2</v>
      </c>
      <c r="AK9" s="60">
        <v>450811</v>
      </c>
      <c r="AL9" s="99">
        <v>3.4135500546510565E-2</v>
      </c>
      <c r="AM9" s="60">
        <v>545091</v>
      </c>
      <c r="AN9" s="99">
        <v>3.5953413737689163E-2</v>
      </c>
      <c r="AO9" s="60">
        <v>329851</v>
      </c>
      <c r="AP9" s="99">
        <v>2.3076707274132472E-2</v>
      </c>
      <c r="AQ9" s="60">
        <v>392295</v>
      </c>
      <c r="AR9" s="99">
        <v>2.6358113568164743E-2</v>
      </c>
      <c r="AS9" s="60">
        <v>382415</v>
      </c>
      <c r="AT9" s="99">
        <v>2.6162654863466608E-2</v>
      </c>
      <c r="AU9" s="60">
        <v>257945</v>
      </c>
      <c r="AV9" s="99">
        <v>1.693573082361444E-2</v>
      </c>
      <c r="AW9" s="60">
        <v>396921</v>
      </c>
      <c r="AX9" s="99">
        <v>2.6482803401709262E-2</v>
      </c>
      <c r="AY9" s="60">
        <v>245984</v>
      </c>
      <c r="AZ9" s="99">
        <v>1.6402142685918879E-2</v>
      </c>
      <c r="BA9" s="60">
        <v>287236</v>
      </c>
      <c r="BB9" s="99">
        <v>2.094616831243391E-2</v>
      </c>
      <c r="BC9" s="60">
        <v>392906</v>
      </c>
      <c r="BD9" s="99">
        <v>2.3088802031501484E-2</v>
      </c>
      <c r="BE9" s="60">
        <v>338374</v>
      </c>
      <c r="BF9" s="99">
        <v>2.136240223771943E-2</v>
      </c>
      <c r="BG9" s="60">
        <v>303251</v>
      </c>
      <c r="BH9" s="99">
        <v>1.9337475099695276E-2</v>
      </c>
      <c r="BI9" s="60">
        <v>354265</v>
      </c>
      <c r="BJ9" s="99">
        <v>2.0764689670565516E-2</v>
      </c>
      <c r="BK9" s="60">
        <v>269449</v>
      </c>
      <c r="BL9" s="99">
        <v>1.8368460203998713E-2</v>
      </c>
      <c r="BM9" s="60">
        <v>357509</v>
      </c>
      <c r="BN9" s="99">
        <v>2.4435486130903926E-2</v>
      </c>
      <c r="BO9" s="60">
        <v>259589</v>
      </c>
      <c r="BP9" s="99">
        <v>1.8380664251258182E-2</v>
      </c>
      <c r="BQ9" s="60">
        <v>337199</v>
      </c>
      <c r="BR9" s="99">
        <v>2.3285138064636061E-2</v>
      </c>
      <c r="BS9" s="60">
        <v>248594</v>
      </c>
      <c r="BT9" s="99">
        <v>1.8409893357045098E-2</v>
      </c>
      <c r="BU9" s="60">
        <v>262899</v>
      </c>
      <c r="BV9" s="99">
        <v>2.3994883019252292E-2</v>
      </c>
      <c r="BW9" s="60">
        <v>240751</v>
      </c>
      <c r="BX9" s="99">
        <v>1.7024090950907674E-2</v>
      </c>
      <c r="BY9" s="60">
        <v>169317</v>
      </c>
      <c r="BZ9" s="99">
        <v>1.4379095624463545E-2</v>
      </c>
      <c r="CA9" s="60">
        <v>322774</v>
      </c>
      <c r="CB9" s="99">
        <v>2.115055302208281E-2</v>
      </c>
      <c r="CC9" s="60">
        <v>273458</v>
      </c>
      <c r="CD9" s="99">
        <v>2.465403987607797E-2</v>
      </c>
      <c r="CE9" s="60">
        <v>319066</v>
      </c>
      <c r="CF9" s="99">
        <v>2.4319927948632913E-2</v>
      </c>
      <c r="CG9" s="60">
        <v>348652</v>
      </c>
      <c r="CH9" s="99">
        <v>2.7692574080089974E-2</v>
      </c>
      <c r="CI9" s="60">
        <v>259715</v>
      </c>
      <c r="CJ9" s="99">
        <v>2.2140625001332025E-2</v>
      </c>
      <c r="CK9" s="60">
        <v>282685</v>
      </c>
      <c r="CL9" s="99">
        <v>2.0967751266995571E-2</v>
      </c>
      <c r="CM9" s="60">
        <v>217317</v>
      </c>
      <c r="CN9" s="99">
        <v>1.7266850010960771E-2</v>
      </c>
      <c r="CO9" s="60">
        <v>203753</v>
      </c>
      <c r="CP9" s="99">
        <v>1.6568557853299474E-2</v>
      </c>
      <c r="CQ9" s="60">
        <v>214739</v>
      </c>
      <c r="CR9" s="99">
        <v>1.6864617813655551E-2</v>
      </c>
      <c r="CS9" s="60">
        <v>155566</v>
      </c>
      <c r="CT9" s="99">
        <v>1.3870344740024432E-2</v>
      </c>
      <c r="CU9" s="60">
        <v>161940</v>
      </c>
      <c r="CV9" s="99">
        <v>1.0869139891548885E-2</v>
      </c>
      <c r="CW9" s="60">
        <v>211993</v>
      </c>
      <c r="CX9" s="99">
        <v>1.6961619228838522E-2</v>
      </c>
      <c r="CY9" s="60">
        <v>206988</v>
      </c>
      <c r="CZ9" s="99">
        <v>1.5010149842612718E-2</v>
      </c>
      <c r="DA9" s="60">
        <v>274571</v>
      </c>
      <c r="DB9" s="99">
        <v>1.7865472577019152E-2</v>
      </c>
      <c r="DC9" s="60">
        <v>254356</v>
      </c>
      <c r="DD9" s="99">
        <v>1.6696786034766042E-2</v>
      </c>
      <c r="DE9" s="60">
        <v>236661</v>
      </c>
      <c r="DF9" s="99">
        <v>1.6680369565960518E-2</v>
      </c>
      <c r="DG9" s="60">
        <v>155041</v>
      </c>
      <c r="DH9" s="99">
        <v>1.0637191371471188E-2</v>
      </c>
      <c r="DI9" s="60">
        <v>166806</v>
      </c>
      <c r="DJ9" s="99">
        <v>1.1279133501594641E-2</v>
      </c>
      <c r="DK9" s="60">
        <v>145714</v>
      </c>
      <c r="DL9" s="99">
        <v>1.0110016523466757E-2</v>
      </c>
      <c r="DM9" s="60">
        <v>264581</v>
      </c>
      <c r="DN9" s="99">
        <v>1.9485579120446465E-2</v>
      </c>
      <c r="DO9" s="60">
        <v>266475</v>
      </c>
      <c r="DP9" s="99">
        <v>2.419082715789032E-2</v>
      </c>
      <c r="DQ9" s="60">
        <v>171161</v>
      </c>
      <c r="DR9" s="99">
        <v>1.301652174501592E-2</v>
      </c>
      <c r="DS9" s="60">
        <v>193870</v>
      </c>
      <c r="DT9" s="99">
        <v>1.5159001402835118E-2</v>
      </c>
      <c r="DU9" s="60">
        <v>227913</v>
      </c>
      <c r="DV9" s="99">
        <v>1.9034595973030376E-2</v>
      </c>
      <c r="DW9" s="60">
        <v>265422</v>
      </c>
      <c r="DX9" s="99">
        <v>2.0935869376682608E-2</v>
      </c>
      <c r="DY9" s="60">
        <v>216415</v>
      </c>
      <c r="DZ9" s="99">
        <v>1.8524589602639144E-2</v>
      </c>
      <c r="EA9" s="60">
        <v>216738</v>
      </c>
      <c r="EB9" s="99">
        <v>1.7813620501780966E-2</v>
      </c>
      <c r="EC9" s="60">
        <v>159328</v>
      </c>
      <c r="ED9" s="99">
        <v>1.5721841190537135E-2</v>
      </c>
      <c r="EE9" s="60">
        <v>130887</v>
      </c>
      <c r="EF9" s="99">
        <v>1.2240102277193752E-2</v>
      </c>
      <c r="EG9" s="60">
        <v>215728</v>
      </c>
      <c r="EH9" s="99">
        <v>1.8555697412284963E-2</v>
      </c>
      <c r="EI9" s="60">
        <v>151079</v>
      </c>
      <c r="EJ9" s="99">
        <v>1.2457704091287837E-2</v>
      </c>
      <c r="EK9" s="60">
        <v>191453</v>
      </c>
      <c r="EL9" s="99">
        <v>1.6955444941719616E-2</v>
      </c>
      <c r="EM9" s="60">
        <v>113111</v>
      </c>
      <c r="EN9" s="99">
        <v>1.2864931582507943E-2</v>
      </c>
      <c r="EO9" s="60">
        <v>158918</v>
      </c>
      <c r="EP9" s="99">
        <v>1.6533554893247884E-2</v>
      </c>
      <c r="EQ9" s="60">
        <v>160597</v>
      </c>
      <c r="ER9" s="99">
        <v>1.5299752131764002E-2</v>
      </c>
      <c r="ES9" s="60">
        <f t="shared" si="0"/>
        <v>206233</v>
      </c>
      <c r="ET9" s="99">
        <f>ES9/ES13</f>
        <v>2.0340891135650851E-2</v>
      </c>
      <c r="EU9" s="221">
        <f>IF( SUM($EQ9:ES9)&lt;0, "n/a", SUM($EQ9:ES9)/EU$74)</f>
        <v>183415.00764987606</v>
      </c>
      <c r="EV9" s="224">
        <f>EU9/EU13</f>
        <v>1.7776609016129794E-2</v>
      </c>
      <c r="EW9" s="22"/>
      <c r="EX9" s="96" t="s">
        <v>33</v>
      </c>
      <c r="EY9" s="153">
        <f>IF(ISERROR(VLOOKUP(EX9,IQSH01E!$A$1:$M$400,2,0)),0,VLOOKUP(EX9,IQSH01E!$A$1:$M$400,2,0))</f>
        <v>206233</v>
      </c>
      <c r="EZ9" s="185" t="s">
        <v>118</v>
      </c>
    </row>
    <row r="10" spans="1:156" ht="24" customHeight="1" x14ac:dyDescent="0.3">
      <c r="A10" s="5"/>
      <c r="B10" s="14" t="s">
        <v>81</v>
      </c>
      <c r="C10" s="18">
        <v>734203</v>
      </c>
      <c r="D10" s="92">
        <v>3.8676679295623739E-2</v>
      </c>
      <c r="E10" s="18">
        <v>960281</v>
      </c>
      <c r="F10" s="92">
        <v>6.0254123956536107E-2</v>
      </c>
      <c r="G10" s="18">
        <v>890325</v>
      </c>
      <c r="H10" s="92">
        <v>4.6347439658270241E-2</v>
      </c>
      <c r="I10" s="18">
        <v>189422</v>
      </c>
      <c r="J10" s="92">
        <v>9.096108383822717E-3</v>
      </c>
      <c r="K10" s="18">
        <v>289729</v>
      </c>
      <c r="L10" s="92">
        <v>1.5956833952303261E-2</v>
      </c>
      <c r="M10" s="18">
        <v>628390</v>
      </c>
      <c r="N10" s="92">
        <v>3.591794208636951E-2</v>
      </c>
      <c r="O10" s="18">
        <v>1232639</v>
      </c>
      <c r="P10" s="92">
        <v>5.9450763895959345E-2</v>
      </c>
      <c r="Q10" s="18">
        <v>1110142</v>
      </c>
      <c r="R10" s="92">
        <v>5.877694366373469E-2</v>
      </c>
      <c r="S10" s="18">
        <v>1523341</v>
      </c>
      <c r="T10" s="92">
        <v>8.3515897801616792E-2</v>
      </c>
      <c r="U10" s="18">
        <v>1035547</v>
      </c>
      <c r="V10" s="92">
        <v>6.3046103331008865E-2</v>
      </c>
      <c r="W10" s="18">
        <v>751933</v>
      </c>
      <c r="X10" s="92">
        <v>5.435433655416292E-2</v>
      </c>
      <c r="Y10" s="18">
        <v>747907</v>
      </c>
      <c r="Z10" s="92">
        <v>5.1862713145504093E-2</v>
      </c>
      <c r="AA10" s="18">
        <v>709138</v>
      </c>
      <c r="AB10" s="92">
        <v>4.0710016751007265E-2</v>
      </c>
      <c r="AC10" s="18">
        <v>786952</v>
      </c>
      <c r="AD10" s="92">
        <v>5.8941291417302456E-2</v>
      </c>
      <c r="AE10" s="18">
        <v>708372</v>
      </c>
      <c r="AF10" s="92">
        <v>5.857187518014003E-2</v>
      </c>
      <c r="AG10" s="18">
        <v>461298</v>
      </c>
      <c r="AH10" s="92">
        <v>2.8357921678068387E-2</v>
      </c>
      <c r="AI10" s="18">
        <v>841299</v>
      </c>
      <c r="AJ10" s="92">
        <v>5.3910250380185307E-2</v>
      </c>
      <c r="AK10" s="18">
        <v>882264</v>
      </c>
      <c r="AL10" s="92">
        <v>6.6805209398543064E-2</v>
      </c>
      <c r="AM10" s="18">
        <v>340715</v>
      </c>
      <c r="AN10" s="92">
        <v>2.2473068463131411E-2</v>
      </c>
      <c r="AO10" s="18">
        <v>189050</v>
      </c>
      <c r="AP10" s="92">
        <v>1.3226127888576187E-2</v>
      </c>
      <c r="AQ10" s="18">
        <v>418146</v>
      </c>
      <c r="AR10" s="92">
        <v>2.809502990370465E-2</v>
      </c>
      <c r="AS10" s="18">
        <v>191320</v>
      </c>
      <c r="AT10" s="92">
        <v>1.3089024040580079E-2</v>
      </c>
      <c r="AU10" s="18">
        <v>270601</v>
      </c>
      <c r="AV10" s="92">
        <v>1.7766677766969281E-2</v>
      </c>
      <c r="AW10" s="18">
        <v>263567</v>
      </c>
      <c r="AX10" s="92">
        <v>1.7585345809816827E-2</v>
      </c>
      <c r="AY10" s="18">
        <v>349008</v>
      </c>
      <c r="AZ10" s="92">
        <v>2.3271753506436094E-2</v>
      </c>
      <c r="BA10" s="18">
        <v>412060</v>
      </c>
      <c r="BB10" s="92">
        <v>3.0048733845414628E-2</v>
      </c>
      <c r="BC10" s="18">
        <v>533661</v>
      </c>
      <c r="BD10" s="92">
        <v>3.1360155306697057E-2</v>
      </c>
      <c r="BE10" s="18">
        <v>433203</v>
      </c>
      <c r="BF10" s="92">
        <v>2.7349195672796287E-2</v>
      </c>
      <c r="BG10" s="18">
        <v>620090</v>
      </c>
      <c r="BH10" s="92">
        <v>3.9541419268427948E-2</v>
      </c>
      <c r="BI10" s="18">
        <v>809420</v>
      </c>
      <c r="BJ10" s="92">
        <v>4.7442889117324992E-2</v>
      </c>
      <c r="BK10" s="18">
        <v>774601</v>
      </c>
      <c r="BL10" s="92">
        <v>5.2804900528402809E-2</v>
      </c>
      <c r="BM10" s="18">
        <v>726886</v>
      </c>
      <c r="BN10" s="92">
        <v>4.968214162929669E-2</v>
      </c>
      <c r="BO10" s="18">
        <v>457657</v>
      </c>
      <c r="BP10" s="92">
        <v>3.2405223870187357E-2</v>
      </c>
      <c r="BQ10" s="18">
        <v>1187749</v>
      </c>
      <c r="BR10" s="92">
        <v>8.2019518003118089E-2</v>
      </c>
      <c r="BS10" s="18">
        <v>913902</v>
      </c>
      <c r="BT10" s="92">
        <v>6.7679985674594836E-2</v>
      </c>
      <c r="BU10" s="18">
        <v>770476</v>
      </c>
      <c r="BV10" s="92">
        <v>7.0321612060682728E-2</v>
      </c>
      <c r="BW10" s="18">
        <v>769665</v>
      </c>
      <c r="BX10" s="92">
        <v>5.4424891118750728E-2</v>
      </c>
      <c r="BY10" s="18">
        <v>658854</v>
      </c>
      <c r="BZ10" s="92">
        <v>5.5952589926352964E-2</v>
      </c>
      <c r="CA10" s="18">
        <v>731322</v>
      </c>
      <c r="CB10" s="92">
        <v>4.7921656444495669E-2</v>
      </c>
      <c r="CC10" s="18">
        <v>266825</v>
      </c>
      <c r="CD10" s="92">
        <v>2.4056031236732896E-2</v>
      </c>
      <c r="CE10" s="18">
        <v>268493</v>
      </c>
      <c r="CF10" s="92">
        <v>2.0465140173858375E-2</v>
      </c>
      <c r="CG10" s="18">
        <v>683839</v>
      </c>
      <c r="CH10" s="92">
        <v>5.4315656202616504E-2</v>
      </c>
      <c r="CI10" s="18">
        <v>269412</v>
      </c>
      <c r="CJ10" s="92">
        <v>2.2967291311086629E-2</v>
      </c>
      <c r="CK10" s="18">
        <v>532727</v>
      </c>
      <c r="CL10" s="92">
        <v>3.9514255192927637E-2</v>
      </c>
      <c r="CM10" s="18">
        <v>371605</v>
      </c>
      <c r="CN10" s="92">
        <v>2.9525751774242593E-2</v>
      </c>
      <c r="CO10" s="18">
        <v>421100</v>
      </c>
      <c r="CP10" s="92">
        <v>3.4242537346809168E-2</v>
      </c>
      <c r="CQ10" s="18">
        <v>306002</v>
      </c>
      <c r="CR10" s="92">
        <v>2.4031995958881367E-2</v>
      </c>
      <c r="CS10" s="18">
        <v>419666</v>
      </c>
      <c r="CT10" s="92">
        <v>3.7417636859385039E-2</v>
      </c>
      <c r="CU10" s="18">
        <v>612193</v>
      </c>
      <c r="CV10" s="92">
        <v>4.1089362465277182E-2</v>
      </c>
      <c r="CW10" s="18">
        <v>307220</v>
      </c>
      <c r="CX10" s="92">
        <v>2.4580758135805288E-2</v>
      </c>
      <c r="CY10" s="18">
        <v>494734</v>
      </c>
      <c r="CZ10" s="92">
        <v>3.5876627979569642E-2</v>
      </c>
      <c r="DA10" s="18">
        <v>491195</v>
      </c>
      <c r="DB10" s="92">
        <v>3.1960515868277868E-2</v>
      </c>
      <c r="DC10" s="18">
        <v>651799</v>
      </c>
      <c r="DD10" s="92">
        <v>4.2786285523732377E-2</v>
      </c>
      <c r="DE10" s="18">
        <v>291372</v>
      </c>
      <c r="DF10" s="92">
        <v>2.0536516963813423E-2</v>
      </c>
      <c r="DG10" s="18">
        <v>496528</v>
      </c>
      <c r="DH10" s="92">
        <v>3.406623639742936E-2</v>
      </c>
      <c r="DI10" s="18">
        <v>260111</v>
      </c>
      <c r="DJ10" s="92">
        <v>1.7588256383063463E-2</v>
      </c>
      <c r="DK10" s="18">
        <v>962039</v>
      </c>
      <c r="DL10" s="92">
        <v>6.6748769412818501E-2</v>
      </c>
      <c r="DM10" s="18">
        <v>765616</v>
      </c>
      <c r="DN10" s="92">
        <v>5.638527008318716E-2</v>
      </c>
      <c r="DO10" s="18">
        <v>228878</v>
      </c>
      <c r="DP10" s="92">
        <v>2.0777739518692641E-2</v>
      </c>
      <c r="DQ10" s="18">
        <v>453068</v>
      </c>
      <c r="DR10" s="92">
        <v>3.4455100601018182E-2</v>
      </c>
      <c r="DS10" s="18">
        <v>424836</v>
      </c>
      <c r="DT10" s="92">
        <v>3.3218597616830145E-2</v>
      </c>
      <c r="DU10" s="18">
        <v>449007</v>
      </c>
      <c r="DV10" s="92">
        <v>3.7499689943366332E-2</v>
      </c>
      <c r="DW10" s="18">
        <v>442051</v>
      </c>
      <c r="DX10" s="92">
        <v>3.4867953650533579E-2</v>
      </c>
      <c r="DY10" s="18">
        <v>270330</v>
      </c>
      <c r="DZ10" s="92">
        <v>2.3139580469382619E-2</v>
      </c>
      <c r="EA10" s="18">
        <v>533847</v>
      </c>
      <c r="EB10" s="92">
        <v>4.3876698428583195E-2</v>
      </c>
      <c r="EC10" s="18">
        <v>341323</v>
      </c>
      <c r="ED10" s="92">
        <v>3.3680370058481283E-2</v>
      </c>
      <c r="EE10" s="18">
        <v>644507</v>
      </c>
      <c r="EF10" s="92">
        <v>6.0272078956407536E-2</v>
      </c>
      <c r="EG10" s="18">
        <v>412282</v>
      </c>
      <c r="EH10" s="92">
        <v>3.5462156236240397E-2</v>
      </c>
      <c r="EI10" s="18">
        <v>114601</v>
      </c>
      <c r="EJ10" s="92">
        <v>9.4497934627954736E-3</v>
      </c>
      <c r="EK10" s="18">
        <v>225346</v>
      </c>
      <c r="EL10" s="92">
        <v>1.9957074038206499E-2</v>
      </c>
      <c r="EM10" s="18">
        <v>69439</v>
      </c>
      <c r="EN10" s="92">
        <v>7.8977993666201254E-3</v>
      </c>
      <c r="EO10" s="18">
        <v>377281</v>
      </c>
      <c r="EP10" s="92">
        <v>3.9251665158631842E-2</v>
      </c>
      <c r="EQ10" s="18">
        <v>529372</v>
      </c>
      <c r="ER10" s="92">
        <v>5.043220225468828E-2</v>
      </c>
      <c r="ES10" s="18">
        <f t="shared" si="0"/>
        <v>341095</v>
      </c>
      <c r="ET10" s="92">
        <f>ES10/ES13</f>
        <v>3.3642415432616639E-2</v>
      </c>
      <c r="EU10" s="221">
        <f>IF( SUM($EQ10:ES10)&lt;0, "n/a", SUM($EQ10:ES10)/EU$74)</f>
        <v>435233.52521610114</v>
      </c>
      <c r="EV10" s="224">
        <f>EU10/EU13</f>
        <v>4.2182896086931668E-2</v>
      </c>
      <c r="EW10" s="22"/>
      <c r="EX10" s="96" t="s">
        <v>24</v>
      </c>
      <c r="EY10" s="35">
        <f>IF(ISERROR(VLOOKUP(EX10,IQSH01E!$A$1:$M$400,2,0)),0,VLOOKUP(EX10,IQSH01E!$A$1:$M$400,2,0))</f>
        <v>341095</v>
      </c>
      <c r="EZ10" s="182" t="s">
        <v>123</v>
      </c>
    </row>
    <row r="11" spans="1:156" ht="24" customHeight="1" x14ac:dyDescent="0.3">
      <c r="A11" s="5" t="s">
        <v>85</v>
      </c>
      <c r="B11" s="14" t="s">
        <v>82</v>
      </c>
      <c r="C11" s="18">
        <v>13314</v>
      </c>
      <c r="D11" s="92">
        <v>7.0136094260297836E-4</v>
      </c>
      <c r="E11" s="18">
        <v>10645</v>
      </c>
      <c r="F11" s="92">
        <v>6.6793485398266433E-4</v>
      </c>
      <c r="G11" s="18">
        <v>7123</v>
      </c>
      <c r="H11" s="92">
        <v>3.7080033997232347E-4</v>
      </c>
      <c r="I11" s="18">
        <v>4283</v>
      </c>
      <c r="J11" s="92">
        <v>2.0567110582673975E-4</v>
      </c>
      <c r="K11" s="18">
        <v>51986</v>
      </c>
      <c r="L11" s="92">
        <v>2.8631306146241395E-3</v>
      </c>
      <c r="M11" s="18">
        <v>8137</v>
      </c>
      <c r="N11" s="92">
        <v>4.6510016829801347E-4</v>
      </c>
      <c r="O11" s="18">
        <v>13301</v>
      </c>
      <c r="P11" s="92">
        <v>6.4151354174267993E-4</v>
      </c>
      <c r="Q11" s="18">
        <v>4471</v>
      </c>
      <c r="R11" s="92">
        <v>2.3671900992896207E-4</v>
      </c>
      <c r="S11" s="18">
        <v>6920</v>
      </c>
      <c r="T11" s="92">
        <v>3.793832193758247E-4</v>
      </c>
      <c r="U11" s="18">
        <v>11868</v>
      </c>
      <c r="V11" s="92">
        <v>7.2254678380837684E-4</v>
      </c>
      <c r="W11" s="18">
        <v>7234</v>
      </c>
      <c r="X11" s="92">
        <v>5.2291796028743867E-4</v>
      </c>
      <c r="Y11" s="18">
        <v>6165</v>
      </c>
      <c r="Z11" s="92">
        <v>4.2750452468292546E-4</v>
      </c>
      <c r="AA11" s="18">
        <v>6343</v>
      </c>
      <c r="AB11" s="92">
        <v>3.641373558484231E-4</v>
      </c>
      <c r="AC11" s="18">
        <v>5950</v>
      </c>
      <c r="AD11" s="92">
        <v>4.4564431367218028E-4</v>
      </c>
      <c r="AE11" s="18">
        <v>10070</v>
      </c>
      <c r="AF11" s="92">
        <v>8.326398884541034E-4</v>
      </c>
      <c r="AG11" s="18">
        <v>7143</v>
      </c>
      <c r="AH11" s="92">
        <v>4.3911015123942115E-4</v>
      </c>
      <c r="AI11" s="18">
        <v>3927</v>
      </c>
      <c r="AJ11" s="92">
        <v>2.5164127526953876E-4</v>
      </c>
      <c r="AK11" s="18">
        <v>4716</v>
      </c>
      <c r="AL11" s="92">
        <v>3.5709647851836761E-4</v>
      </c>
      <c r="AM11" s="18">
        <v>5081</v>
      </c>
      <c r="AN11" s="92">
        <v>3.3513540895226422E-4</v>
      </c>
      <c r="AO11" s="18">
        <v>5506</v>
      </c>
      <c r="AP11" s="92">
        <v>3.8520529042317104E-4</v>
      </c>
      <c r="AQ11" s="18">
        <v>0</v>
      </c>
      <c r="AR11" s="92">
        <v>0</v>
      </c>
      <c r="AS11" s="18">
        <v>4510</v>
      </c>
      <c r="AT11" s="92">
        <v>3.0854849687965793E-4</v>
      </c>
      <c r="AU11" s="18">
        <v>3122</v>
      </c>
      <c r="AV11" s="92">
        <v>2.0497916854881576E-4</v>
      </c>
      <c r="AW11" s="18">
        <v>4544</v>
      </c>
      <c r="AX11" s="92">
        <v>3.0317836208557087E-4</v>
      </c>
      <c r="AY11" s="18">
        <v>6149</v>
      </c>
      <c r="AZ11" s="92">
        <v>4.1001355931977358E-4</v>
      </c>
      <c r="BA11" s="18">
        <v>2333</v>
      </c>
      <c r="BB11" s="92">
        <v>1.7012982590242277E-4</v>
      </c>
      <c r="BC11" s="18">
        <v>8720</v>
      </c>
      <c r="BD11" s="92">
        <v>5.1242371894217177E-4</v>
      </c>
      <c r="BE11" s="18">
        <v>3668</v>
      </c>
      <c r="BF11" s="92">
        <v>2.3157007160111261E-4</v>
      </c>
      <c r="BG11" s="18">
        <v>39788</v>
      </c>
      <c r="BH11" s="92">
        <v>2.5371703943818011E-3</v>
      </c>
      <c r="BI11" s="18">
        <v>18447</v>
      </c>
      <c r="BJ11" s="92">
        <v>1.0812420937798598E-3</v>
      </c>
      <c r="BK11" s="18">
        <v>4591</v>
      </c>
      <c r="BL11" s="92">
        <v>3.1297054654705754E-4</v>
      </c>
      <c r="BM11" s="18">
        <v>5180</v>
      </c>
      <c r="BN11" s="92">
        <v>3.5404931948029936E-4</v>
      </c>
      <c r="BO11" s="18">
        <v>13560</v>
      </c>
      <c r="BP11" s="92">
        <v>9.6014009548579088E-4</v>
      </c>
      <c r="BQ11" s="18">
        <v>8254</v>
      </c>
      <c r="BR11" s="92">
        <v>5.699765704687916E-4</v>
      </c>
      <c r="BS11" s="18">
        <v>14522</v>
      </c>
      <c r="BT11" s="92">
        <v>1.0754421720999257E-3</v>
      </c>
      <c r="BU11" s="18">
        <v>5670</v>
      </c>
      <c r="BV11" s="92">
        <v>5.175028688551896E-4</v>
      </c>
      <c r="BW11" s="18">
        <v>3636</v>
      </c>
      <c r="BX11" s="92">
        <v>2.5711043649870741E-4</v>
      </c>
      <c r="BY11" s="18">
        <v>7055</v>
      </c>
      <c r="BZ11" s="92">
        <v>5.9913959986646536E-4</v>
      </c>
      <c r="CA11" s="18">
        <v>8015</v>
      </c>
      <c r="CB11" s="92">
        <v>5.2520240933902275E-4</v>
      </c>
      <c r="CC11" s="18">
        <v>26464</v>
      </c>
      <c r="CD11" s="92">
        <v>2.3859039094871145E-3</v>
      </c>
      <c r="CE11" s="18">
        <v>13900</v>
      </c>
      <c r="CF11" s="92">
        <v>1.0594892545304027E-3</v>
      </c>
      <c r="CG11" s="18">
        <v>3659</v>
      </c>
      <c r="CH11" s="92">
        <v>2.906254045840816E-4</v>
      </c>
      <c r="CI11" s="18">
        <v>4375</v>
      </c>
      <c r="CJ11" s="92">
        <v>3.7296742344811667E-4</v>
      </c>
      <c r="CK11" s="18">
        <v>3553</v>
      </c>
      <c r="CL11" s="92">
        <v>2.6353863930394351E-4</v>
      </c>
      <c r="CM11" s="18">
        <v>9868</v>
      </c>
      <c r="CN11" s="92">
        <v>7.8405866042767427E-4</v>
      </c>
      <c r="CO11" s="18">
        <v>2091</v>
      </c>
      <c r="CP11" s="92">
        <v>1.700335920023224E-4</v>
      </c>
      <c r="CQ11" s="18">
        <v>9769</v>
      </c>
      <c r="CR11" s="92">
        <v>7.6721252972958374E-4</v>
      </c>
      <c r="CS11" s="18">
        <v>6348</v>
      </c>
      <c r="CT11" s="92">
        <v>5.6599095181257531E-4</v>
      </c>
      <c r="CU11" s="18">
        <v>14995</v>
      </c>
      <c r="CV11" s="92">
        <v>1.006439129762724E-3</v>
      </c>
      <c r="CW11" s="18">
        <v>14171</v>
      </c>
      <c r="CX11" s="92">
        <v>1.1338256739225855E-3</v>
      </c>
      <c r="CY11" s="18">
        <v>10773</v>
      </c>
      <c r="CZ11" s="92">
        <v>7.8122569547252405E-4</v>
      </c>
      <c r="DA11" s="18">
        <v>6560</v>
      </c>
      <c r="DB11" s="92">
        <v>4.2683859586498807E-4</v>
      </c>
      <c r="DC11" s="18">
        <v>9297</v>
      </c>
      <c r="DD11" s="92">
        <v>6.1028644799108296E-4</v>
      </c>
      <c r="DE11" s="18">
        <v>4926</v>
      </c>
      <c r="DF11" s="92">
        <v>3.4719493487275684E-4</v>
      </c>
      <c r="DG11" s="18">
        <v>11550</v>
      </c>
      <c r="DH11" s="92">
        <v>7.9243271354346404E-4</v>
      </c>
      <c r="DI11" s="18">
        <v>3731</v>
      </c>
      <c r="DJ11" s="92">
        <v>2.5228377333219191E-4</v>
      </c>
      <c r="DK11" s="18">
        <v>5790</v>
      </c>
      <c r="DL11" s="92">
        <v>4.017252677908267E-4</v>
      </c>
      <c r="DM11" s="18">
        <v>14534</v>
      </c>
      <c r="DN11" s="92">
        <v>1.070384520946587E-3</v>
      </c>
      <c r="DO11" s="18">
        <v>13356</v>
      </c>
      <c r="DP11" s="92">
        <v>1.2124690403256708E-3</v>
      </c>
      <c r="DQ11" s="18">
        <v>3253</v>
      </c>
      <c r="DR11" s="92">
        <v>2.4738547470823835E-4</v>
      </c>
      <c r="DS11" s="18">
        <v>2915</v>
      </c>
      <c r="DT11" s="92">
        <v>2.2792845251593525E-4</v>
      </c>
      <c r="DU11" s="18">
        <v>1893</v>
      </c>
      <c r="DV11" s="92">
        <v>1.5809756432036127E-4</v>
      </c>
      <c r="DW11" s="18">
        <v>12625</v>
      </c>
      <c r="DX11" s="92">
        <v>9.9583060515186358E-4</v>
      </c>
      <c r="DY11" s="18">
        <v>8578</v>
      </c>
      <c r="DZ11" s="92">
        <v>7.3425561819392634E-4</v>
      </c>
      <c r="EA11" s="18">
        <v>21093</v>
      </c>
      <c r="EB11" s="92">
        <v>1.7336263010827172E-3</v>
      </c>
      <c r="EC11" s="18">
        <v>1573</v>
      </c>
      <c r="ED11" s="92">
        <v>1.5521726371205886E-4</v>
      </c>
      <c r="EE11" s="18">
        <v>6500</v>
      </c>
      <c r="EF11" s="92">
        <v>6.078576543259406E-4</v>
      </c>
      <c r="EG11" s="18">
        <v>8115</v>
      </c>
      <c r="EH11" s="92">
        <v>6.980062138465682E-4</v>
      </c>
      <c r="EI11" s="18">
        <v>5579</v>
      </c>
      <c r="EJ11" s="92">
        <v>4.6003436033661093E-4</v>
      </c>
      <c r="EK11" s="18">
        <v>8407</v>
      </c>
      <c r="EL11" s="92">
        <v>7.4454004703523478E-4</v>
      </c>
      <c r="EM11" s="18">
        <v>40722</v>
      </c>
      <c r="EN11" s="92">
        <v>4.6316073936477301E-3</v>
      </c>
      <c r="EO11" s="18">
        <v>8950</v>
      </c>
      <c r="EP11" s="92">
        <v>9.3114257852835156E-4</v>
      </c>
      <c r="EQ11" s="18">
        <v>9436</v>
      </c>
      <c r="ER11" s="92">
        <v>8.9894867970961552E-4</v>
      </c>
      <c r="ES11" s="18">
        <f t="shared" si="0"/>
        <v>16112</v>
      </c>
      <c r="ET11" s="92">
        <f>ES11/ES13</f>
        <v>1.5891367432835993E-3</v>
      </c>
      <c r="EU11" s="221">
        <f>IF( SUM($EQ11:ES11)&lt;0, "n/a", SUM($EQ11:ES11)/EU$74)</f>
        <v>12774.000449474341</v>
      </c>
      <c r="EV11" s="224">
        <f>EU11/EU13</f>
        <v>1.2380579674027841E-3</v>
      </c>
      <c r="EW11" s="22"/>
      <c r="EX11" s="96" t="s">
        <v>16</v>
      </c>
      <c r="EY11" s="35">
        <f>IF(ISERROR(VLOOKUP(EX11,IQSH01E!$A$1:$M$400,2,0)),0,VLOOKUP(EX11,IQSH01E!$A$1:$M$400,2,0))</f>
        <v>16112</v>
      </c>
      <c r="EZ11" s="182" t="s">
        <v>118</v>
      </c>
    </row>
    <row r="12" spans="1:156" ht="24" customHeight="1" x14ac:dyDescent="0.3">
      <c r="A12" s="3"/>
      <c r="B12" s="14" t="s">
        <v>102</v>
      </c>
      <c r="C12" s="18">
        <v>0</v>
      </c>
      <c r="D12" s="92">
        <v>0</v>
      </c>
      <c r="E12" s="18">
        <v>0</v>
      </c>
      <c r="F12" s="92">
        <v>0</v>
      </c>
      <c r="G12" s="18">
        <v>0</v>
      </c>
      <c r="H12" s="92">
        <v>0</v>
      </c>
      <c r="I12" s="18">
        <v>0</v>
      </c>
      <c r="J12" s="92">
        <v>0</v>
      </c>
      <c r="K12" s="18">
        <v>0</v>
      </c>
      <c r="L12" s="92">
        <v>0</v>
      </c>
      <c r="M12" s="18">
        <v>0</v>
      </c>
      <c r="N12" s="92">
        <v>0</v>
      </c>
      <c r="O12" s="18">
        <v>0</v>
      </c>
      <c r="P12" s="92">
        <v>0</v>
      </c>
      <c r="Q12" s="18">
        <v>0</v>
      </c>
      <c r="R12" s="92">
        <v>0</v>
      </c>
      <c r="S12" s="18">
        <v>0</v>
      </c>
      <c r="T12" s="92">
        <v>0</v>
      </c>
      <c r="U12" s="18">
        <v>0</v>
      </c>
      <c r="V12" s="92">
        <v>0</v>
      </c>
      <c r="W12" s="18">
        <v>0</v>
      </c>
      <c r="X12" s="92">
        <v>0</v>
      </c>
      <c r="Y12" s="18">
        <v>0</v>
      </c>
      <c r="Z12" s="92">
        <v>0</v>
      </c>
      <c r="AA12" s="18">
        <v>0</v>
      </c>
      <c r="AB12" s="92">
        <v>0</v>
      </c>
      <c r="AC12" s="18">
        <v>0</v>
      </c>
      <c r="AD12" s="92">
        <v>0</v>
      </c>
      <c r="AE12" s="18">
        <v>0</v>
      </c>
      <c r="AF12" s="92">
        <v>0</v>
      </c>
      <c r="AG12" s="18">
        <v>0</v>
      </c>
      <c r="AH12" s="92">
        <v>0</v>
      </c>
      <c r="AI12" s="18">
        <v>0</v>
      </c>
      <c r="AJ12" s="92">
        <v>0</v>
      </c>
      <c r="AK12" s="18">
        <v>0</v>
      </c>
      <c r="AL12" s="92">
        <v>0</v>
      </c>
      <c r="AM12" s="18">
        <v>0</v>
      </c>
      <c r="AN12" s="92">
        <v>0</v>
      </c>
      <c r="AO12" s="18">
        <v>0</v>
      </c>
      <c r="AP12" s="92">
        <v>0</v>
      </c>
      <c r="AQ12" s="18">
        <v>0</v>
      </c>
      <c r="AR12" s="92">
        <v>0</v>
      </c>
      <c r="AS12" s="18">
        <v>0</v>
      </c>
      <c r="AT12" s="92">
        <v>0</v>
      </c>
      <c r="AU12" s="18">
        <v>0</v>
      </c>
      <c r="AV12" s="92">
        <v>0</v>
      </c>
      <c r="AW12" s="18">
        <v>0</v>
      </c>
      <c r="AX12" s="92">
        <v>0</v>
      </c>
      <c r="AY12" s="18">
        <v>0</v>
      </c>
      <c r="AZ12" s="92">
        <v>0</v>
      </c>
      <c r="BA12" s="18">
        <v>0</v>
      </c>
      <c r="BB12" s="92">
        <v>0</v>
      </c>
      <c r="BC12" s="18">
        <v>0</v>
      </c>
      <c r="BD12" s="92">
        <v>0</v>
      </c>
      <c r="BE12" s="18">
        <v>0</v>
      </c>
      <c r="BF12" s="92">
        <v>0</v>
      </c>
      <c r="BG12" s="18">
        <v>0</v>
      </c>
      <c r="BH12" s="92">
        <v>0</v>
      </c>
      <c r="BI12" s="18">
        <v>0</v>
      </c>
      <c r="BJ12" s="92">
        <v>0</v>
      </c>
      <c r="BK12" s="18">
        <v>0</v>
      </c>
      <c r="BL12" s="92">
        <v>0</v>
      </c>
      <c r="BM12" s="18">
        <v>0</v>
      </c>
      <c r="BN12" s="92">
        <v>0</v>
      </c>
      <c r="BO12" s="18">
        <v>0</v>
      </c>
      <c r="BP12" s="92">
        <v>0</v>
      </c>
      <c r="BQ12" s="18">
        <v>0</v>
      </c>
      <c r="BR12" s="92">
        <v>0</v>
      </c>
      <c r="BS12" s="18">
        <v>0</v>
      </c>
      <c r="BT12" s="92">
        <v>0</v>
      </c>
      <c r="BU12" s="18">
        <v>0</v>
      </c>
      <c r="BV12" s="92">
        <v>0</v>
      </c>
      <c r="BW12" s="18">
        <v>0</v>
      </c>
      <c r="BX12" s="92">
        <v>0</v>
      </c>
      <c r="BY12" s="18">
        <v>0</v>
      </c>
      <c r="BZ12" s="92">
        <v>0</v>
      </c>
      <c r="CA12" s="18">
        <v>0</v>
      </c>
      <c r="CB12" s="92">
        <v>0</v>
      </c>
      <c r="CC12" s="18">
        <v>0</v>
      </c>
      <c r="CD12" s="92">
        <v>0</v>
      </c>
      <c r="CE12" s="18">
        <v>0</v>
      </c>
      <c r="CF12" s="92">
        <v>0</v>
      </c>
      <c r="CG12" s="18">
        <v>0</v>
      </c>
      <c r="CH12" s="92">
        <v>0</v>
      </c>
      <c r="CI12" s="18">
        <v>0</v>
      </c>
      <c r="CJ12" s="92">
        <v>0</v>
      </c>
      <c r="CK12" s="18">
        <v>0</v>
      </c>
      <c r="CL12" s="92">
        <v>0</v>
      </c>
      <c r="CM12" s="18">
        <v>0</v>
      </c>
      <c r="CN12" s="92">
        <v>0</v>
      </c>
      <c r="CO12" s="18">
        <v>0</v>
      </c>
      <c r="CP12" s="92">
        <v>0</v>
      </c>
      <c r="CQ12" s="18">
        <v>0</v>
      </c>
      <c r="CR12" s="92">
        <v>0</v>
      </c>
      <c r="CS12" s="18">
        <v>0</v>
      </c>
      <c r="CT12" s="92">
        <v>0</v>
      </c>
      <c r="CU12" s="18">
        <v>0</v>
      </c>
      <c r="CV12" s="92">
        <v>0</v>
      </c>
      <c r="CW12" s="18">
        <v>0</v>
      </c>
      <c r="CX12" s="92">
        <v>0</v>
      </c>
      <c r="CY12" s="18">
        <v>0</v>
      </c>
      <c r="CZ12" s="92">
        <v>0</v>
      </c>
      <c r="DA12" s="18">
        <v>0</v>
      </c>
      <c r="DB12" s="92">
        <v>0</v>
      </c>
      <c r="DC12" s="18">
        <v>0</v>
      </c>
      <c r="DD12" s="92">
        <v>0</v>
      </c>
      <c r="DE12" s="18">
        <v>0</v>
      </c>
      <c r="DF12" s="92">
        <v>0</v>
      </c>
      <c r="DG12" s="18">
        <v>0</v>
      </c>
      <c r="DH12" s="92">
        <v>0</v>
      </c>
      <c r="DI12" s="18">
        <v>0</v>
      </c>
      <c r="DJ12" s="92">
        <v>0</v>
      </c>
      <c r="DK12" s="18">
        <v>0</v>
      </c>
      <c r="DL12" s="92">
        <v>0</v>
      </c>
      <c r="DM12" s="18">
        <v>0</v>
      </c>
      <c r="DN12" s="92">
        <v>0</v>
      </c>
      <c r="DO12" s="18">
        <v>0</v>
      </c>
      <c r="DP12" s="92">
        <v>0</v>
      </c>
      <c r="DQ12" s="18">
        <v>0</v>
      </c>
      <c r="DR12" s="92">
        <v>0</v>
      </c>
      <c r="DS12" s="18">
        <v>0</v>
      </c>
      <c r="DT12" s="92">
        <v>0</v>
      </c>
      <c r="DU12" s="18">
        <v>0</v>
      </c>
      <c r="DV12" s="92">
        <v>0</v>
      </c>
      <c r="DW12" s="18">
        <v>0</v>
      </c>
      <c r="DX12" s="92">
        <v>0</v>
      </c>
      <c r="DY12" s="18">
        <v>0</v>
      </c>
      <c r="DZ12" s="92">
        <v>0</v>
      </c>
      <c r="EA12" s="18">
        <v>0</v>
      </c>
      <c r="EB12" s="92">
        <v>0</v>
      </c>
      <c r="EC12" s="18">
        <v>0</v>
      </c>
      <c r="ED12" s="92">
        <v>0</v>
      </c>
      <c r="EE12" s="18">
        <v>0</v>
      </c>
      <c r="EF12" s="92">
        <v>0</v>
      </c>
      <c r="EG12" s="18">
        <v>0</v>
      </c>
      <c r="EH12" s="92">
        <v>0</v>
      </c>
      <c r="EI12" s="18">
        <v>0</v>
      </c>
      <c r="EJ12" s="92">
        <v>0</v>
      </c>
      <c r="EK12" s="18">
        <v>0</v>
      </c>
      <c r="EL12" s="92">
        <v>0</v>
      </c>
      <c r="EM12" s="18">
        <v>0</v>
      </c>
      <c r="EN12" s="92">
        <v>0</v>
      </c>
      <c r="EO12" s="18">
        <v>0</v>
      </c>
      <c r="EP12" s="92">
        <v>0</v>
      </c>
      <c r="EQ12" s="18">
        <v>0</v>
      </c>
      <c r="ER12" s="92">
        <v>0</v>
      </c>
      <c r="ES12" s="18">
        <f t="shared" si="0"/>
        <v>0</v>
      </c>
      <c r="ET12" s="92">
        <f>ES12/ES13</f>
        <v>0</v>
      </c>
      <c r="EU12" s="221">
        <f>IF( SUM($EQ12:ES12)&lt;0, "n/a", SUM($EQ12:ES12)/EU$74)</f>
        <v>0</v>
      </c>
      <c r="EV12" s="224">
        <f>EU12/EU13</f>
        <v>0</v>
      </c>
      <c r="EW12" s="22"/>
      <c r="EX12" s="96" t="s">
        <v>115</v>
      </c>
      <c r="EY12" s="35">
        <f>IF(ISERROR(VLOOKUP(EX12,IQSH01E!$A$1:$M$400,2,0)),0,VLOOKUP(EX12,IQSH01E!$A$1:$M$400,2,0))</f>
        <v>0</v>
      </c>
      <c r="EZ12" s="182" t="s">
        <v>123</v>
      </c>
    </row>
    <row r="13" spans="1:156" ht="24" customHeight="1" thickBot="1" x14ac:dyDescent="0.35">
      <c r="A13" s="3"/>
      <c r="B13" s="15" t="s">
        <v>83</v>
      </c>
      <c r="C13" s="19">
        <v>18983093</v>
      </c>
      <c r="D13" s="95">
        <v>1</v>
      </c>
      <c r="E13" s="19">
        <v>15937183</v>
      </c>
      <c r="F13" s="95">
        <v>1</v>
      </c>
      <c r="G13" s="19">
        <v>19209799</v>
      </c>
      <c r="H13" s="95">
        <v>1</v>
      </c>
      <c r="I13" s="19">
        <v>20824510</v>
      </c>
      <c r="J13" s="95">
        <v>1</v>
      </c>
      <c r="K13" s="19">
        <v>18157048</v>
      </c>
      <c r="L13" s="95">
        <v>1</v>
      </c>
      <c r="M13" s="19">
        <v>17495156</v>
      </c>
      <c r="N13" s="95">
        <v>1</v>
      </c>
      <c r="O13" s="19">
        <v>20733779</v>
      </c>
      <c r="P13" s="95">
        <v>1</v>
      </c>
      <c r="Q13" s="19">
        <v>18887372</v>
      </c>
      <c r="R13" s="95">
        <v>1</v>
      </c>
      <c r="S13" s="19">
        <v>18240132</v>
      </c>
      <c r="T13" s="95">
        <v>1</v>
      </c>
      <c r="U13" s="19">
        <v>16425234</v>
      </c>
      <c r="V13" s="95">
        <v>1</v>
      </c>
      <c r="W13" s="19">
        <v>13833910</v>
      </c>
      <c r="X13" s="95">
        <v>1</v>
      </c>
      <c r="Y13" s="19">
        <v>14420900</v>
      </c>
      <c r="Z13" s="95">
        <v>1</v>
      </c>
      <c r="AA13" s="19">
        <v>17419251</v>
      </c>
      <c r="AB13" s="95">
        <v>1</v>
      </c>
      <c r="AC13" s="19">
        <v>13351455</v>
      </c>
      <c r="AD13" s="95">
        <v>1</v>
      </c>
      <c r="AE13" s="19">
        <v>12094063.879999999</v>
      </c>
      <c r="AF13" s="95">
        <v>1</v>
      </c>
      <c r="AG13" s="19">
        <v>16266989</v>
      </c>
      <c r="AH13" s="95">
        <v>1</v>
      </c>
      <c r="AI13" s="19">
        <v>15605548</v>
      </c>
      <c r="AJ13" s="95">
        <v>1</v>
      </c>
      <c r="AK13" s="19">
        <v>13206515</v>
      </c>
      <c r="AL13" s="95">
        <v>1</v>
      </c>
      <c r="AM13" s="19">
        <v>15161036</v>
      </c>
      <c r="AN13" s="95">
        <v>1</v>
      </c>
      <c r="AO13" s="19">
        <v>14293677</v>
      </c>
      <c r="AP13" s="95">
        <v>1</v>
      </c>
      <c r="AQ13" s="19">
        <v>14883273</v>
      </c>
      <c r="AR13" s="95">
        <v>1</v>
      </c>
      <c r="AS13" s="19">
        <v>14616827</v>
      </c>
      <c r="AT13" s="95">
        <v>1</v>
      </c>
      <c r="AU13" s="19">
        <v>15230816</v>
      </c>
      <c r="AV13" s="95">
        <v>1</v>
      </c>
      <c r="AW13" s="19">
        <v>14987877</v>
      </c>
      <c r="AX13" s="95">
        <v>1</v>
      </c>
      <c r="AY13" s="19">
        <v>14997065</v>
      </c>
      <c r="AZ13" s="95">
        <v>1</v>
      </c>
      <c r="BA13" s="19">
        <v>13713057</v>
      </c>
      <c r="BB13" s="95">
        <v>1</v>
      </c>
      <c r="BC13" s="19">
        <v>17017167</v>
      </c>
      <c r="BD13" s="95">
        <v>1</v>
      </c>
      <c r="BE13" s="19">
        <v>15839698</v>
      </c>
      <c r="BF13" s="95">
        <v>1</v>
      </c>
      <c r="BG13" s="19">
        <v>15682037</v>
      </c>
      <c r="BH13" s="95">
        <v>1</v>
      </c>
      <c r="BI13" s="19">
        <v>17060934</v>
      </c>
      <c r="BJ13" s="95">
        <v>1</v>
      </c>
      <c r="BK13" s="19">
        <v>14669112</v>
      </c>
      <c r="BL13" s="95">
        <v>1</v>
      </c>
      <c r="BM13" s="19">
        <v>14630730</v>
      </c>
      <c r="BN13" s="95">
        <v>1</v>
      </c>
      <c r="BO13" s="19">
        <v>14122939</v>
      </c>
      <c r="BP13" s="95">
        <v>1</v>
      </c>
      <c r="BQ13" s="19">
        <v>14481297</v>
      </c>
      <c r="BR13" s="95">
        <v>1</v>
      </c>
      <c r="BS13" s="19">
        <v>13503283</v>
      </c>
      <c r="BT13" s="95">
        <v>1</v>
      </c>
      <c r="BU13" s="19">
        <v>10956461</v>
      </c>
      <c r="BV13" s="95">
        <v>1</v>
      </c>
      <c r="BW13" s="19">
        <v>14141783</v>
      </c>
      <c r="BX13" s="95">
        <v>1</v>
      </c>
      <c r="BY13" s="19">
        <v>11775219</v>
      </c>
      <c r="BZ13" s="95">
        <v>1</v>
      </c>
      <c r="CA13" s="19">
        <v>15260783</v>
      </c>
      <c r="CB13" s="95">
        <v>1</v>
      </c>
      <c r="CC13" s="19">
        <v>11091813</v>
      </c>
      <c r="CD13" s="95">
        <v>1</v>
      </c>
      <c r="CE13" s="19">
        <v>13119529</v>
      </c>
      <c r="CF13" s="95">
        <v>1</v>
      </c>
      <c r="CG13" s="19">
        <v>12590090</v>
      </c>
      <c r="CH13" s="95">
        <v>1</v>
      </c>
      <c r="CI13" s="19">
        <v>11730247</v>
      </c>
      <c r="CJ13" s="95">
        <v>1</v>
      </c>
      <c r="CK13" s="19">
        <v>13481894</v>
      </c>
      <c r="CL13" s="95">
        <v>1</v>
      </c>
      <c r="CM13" s="19">
        <v>12585793</v>
      </c>
      <c r="CN13" s="95">
        <v>1</v>
      </c>
      <c r="CO13" s="19">
        <v>12297570</v>
      </c>
      <c r="CP13" s="95">
        <v>1</v>
      </c>
      <c r="CQ13" s="19">
        <v>12733108</v>
      </c>
      <c r="CR13" s="95">
        <v>1</v>
      </c>
      <c r="CS13" s="19">
        <v>11215727</v>
      </c>
      <c r="CT13" s="95">
        <v>1</v>
      </c>
      <c r="CU13" s="19">
        <v>14899063</v>
      </c>
      <c r="CV13" s="95">
        <v>1</v>
      </c>
      <c r="CW13" s="19">
        <v>12498394</v>
      </c>
      <c r="CX13" s="95">
        <v>1</v>
      </c>
      <c r="CY13" s="19">
        <v>13789869</v>
      </c>
      <c r="CZ13" s="95">
        <v>1</v>
      </c>
      <c r="DA13" s="19">
        <v>15368807</v>
      </c>
      <c r="DB13" s="95">
        <v>1</v>
      </c>
      <c r="DC13" s="19">
        <v>15233830</v>
      </c>
      <c r="DD13" s="95">
        <v>1</v>
      </c>
      <c r="DE13" s="19">
        <v>14187995</v>
      </c>
      <c r="DF13" s="95">
        <v>1</v>
      </c>
      <c r="DG13" s="19">
        <v>14575370</v>
      </c>
      <c r="DH13" s="95">
        <v>1</v>
      </c>
      <c r="DI13" s="19">
        <v>14788902</v>
      </c>
      <c r="DJ13" s="95">
        <v>1</v>
      </c>
      <c r="DK13" s="19">
        <v>14412835</v>
      </c>
      <c r="DL13" s="95">
        <v>1</v>
      </c>
      <c r="DM13" s="19">
        <v>13578298</v>
      </c>
      <c r="DN13" s="95">
        <v>1</v>
      </c>
      <c r="DO13" s="19">
        <v>11015539</v>
      </c>
      <c r="DP13" s="95">
        <v>1</v>
      </c>
      <c r="DQ13" s="19">
        <v>13149519</v>
      </c>
      <c r="DR13" s="95">
        <v>1</v>
      </c>
      <c r="DS13" s="19">
        <v>12789101</v>
      </c>
      <c r="DT13" s="95">
        <v>1</v>
      </c>
      <c r="DU13" s="19">
        <v>11973619</v>
      </c>
      <c r="DV13" s="95">
        <v>1</v>
      </c>
      <c r="DW13" s="19">
        <v>12677859</v>
      </c>
      <c r="DX13" s="95">
        <v>1</v>
      </c>
      <c r="DY13" s="19">
        <v>11682580</v>
      </c>
      <c r="DZ13" s="95">
        <v>1</v>
      </c>
      <c r="EA13" s="19">
        <v>12166982</v>
      </c>
      <c r="EB13" s="95">
        <v>1</v>
      </c>
      <c r="EC13" s="19">
        <v>10134182</v>
      </c>
      <c r="ED13" s="95">
        <v>1</v>
      </c>
      <c r="EE13" s="19">
        <v>10693293</v>
      </c>
      <c r="EF13" s="95">
        <v>1</v>
      </c>
      <c r="EG13" s="19">
        <v>11625971</v>
      </c>
      <c r="EH13" s="95">
        <v>1</v>
      </c>
      <c r="EI13" s="19">
        <v>12127355</v>
      </c>
      <c r="EJ13" s="95">
        <v>1</v>
      </c>
      <c r="EK13" s="19">
        <v>11291535</v>
      </c>
      <c r="EL13" s="95">
        <v>1</v>
      </c>
      <c r="EM13" s="19">
        <v>8792196</v>
      </c>
      <c r="EN13" s="95">
        <v>1</v>
      </c>
      <c r="EO13" s="19">
        <v>9611847</v>
      </c>
      <c r="EP13" s="95">
        <v>1</v>
      </c>
      <c r="EQ13" s="19">
        <v>10496706</v>
      </c>
      <c r="ER13" s="95">
        <v>1</v>
      </c>
      <c r="ES13" s="19">
        <f>SUM(ES6:ES12)</f>
        <v>10138838</v>
      </c>
      <c r="ET13" s="95">
        <f>ES13/ES13</f>
        <v>1</v>
      </c>
      <c r="EU13" s="225">
        <f>IF( SUM($EQ13:ES13)&lt;0, "n/a", SUM($EQ13:ES13)/EU$74)</f>
        <v>10317772.5</v>
      </c>
      <c r="EV13" s="226">
        <f>EU13/EU13</f>
        <v>1</v>
      </c>
      <c r="EW13" s="22"/>
      <c r="EX13" s="100" t="s">
        <v>148</v>
      </c>
      <c r="EY13" s="103">
        <f>IF(ISERROR(VLOOKUP(EX13,IQSH01E!$A$1:$M$400,2,0)),0,VLOOKUP(EX13,IQSH01E!$A$1:$M$400,2,0))</f>
        <v>0</v>
      </c>
      <c r="EZ13" s="186"/>
    </row>
    <row r="14" spans="1:156" ht="24" customHeight="1" x14ac:dyDescent="0.3">
      <c r="A14" s="3"/>
      <c r="B14" s="14" t="s">
        <v>88</v>
      </c>
      <c r="C14" s="18">
        <v>5653768</v>
      </c>
      <c r="D14" s="24"/>
      <c r="E14" s="18">
        <v>5544713</v>
      </c>
      <c r="F14" s="24"/>
      <c r="G14" s="18">
        <v>6537194</v>
      </c>
      <c r="H14" s="24"/>
      <c r="I14" s="18">
        <v>6810598</v>
      </c>
      <c r="J14" s="24"/>
      <c r="K14" s="18">
        <v>6468231.6299999999</v>
      </c>
      <c r="L14" s="24"/>
      <c r="M14" s="18">
        <v>6883904</v>
      </c>
      <c r="N14" s="24"/>
      <c r="O14" s="18">
        <v>7093821.0700000003</v>
      </c>
      <c r="P14" s="24"/>
      <c r="Q14" s="18">
        <v>6752947</v>
      </c>
      <c r="R14" s="24"/>
      <c r="S14" s="18">
        <v>6957022</v>
      </c>
      <c r="T14" s="24"/>
      <c r="U14" s="18">
        <v>5547692</v>
      </c>
      <c r="V14" s="24"/>
      <c r="W14" s="18">
        <v>5691593</v>
      </c>
      <c r="X14" s="24"/>
      <c r="Y14" s="18">
        <v>7519782</v>
      </c>
      <c r="Z14" s="24"/>
      <c r="AA14" s="18">
        <v>4467588</v>
      </c>
      <c r="AB14" s="24"/>
      <c r="AC14" s="18">
        <v>5335139</v>
      </c>
      <c r="AD14" s="24"/>
      <c r="AE14" s="18">
        <v>5036998</v>
      </c>
      <c r="AF14" s="24"/>
      <c r="AG14" s="18">
        <v>3770097</v>
      </c>
      <c r="AH14" s="24"/>
      <c r="AI14" s="18">
        <v>5012428</v>
      </c>
      <c r="AJ14" s="24"/>
      <c r="AK14" s="18">
        <v>5158826</v>
      </c>
      <c r="AL14" s="24"/>
      <c r="AM14" s="18">
        <v>3942653</v>
      </c>
      <c r="AN14" s="24"/>
      <c r="AO14" s="18">
        <v>4801601</v>
      </c>
      <c r="AP14" s="24"/>
      <c r="AQ14" s="18">
        <v>5264835</v>
      </c>
      <c r="AR14" s="24"/>
      <c r="AS14" s="18">
        <v>4275476</v>
      </c>
      <c r="AT14" s="24"/>
      <c r="AU14" s="18">
        <v>5463657</v>
      </c>
      <c r="AV14" s="24"/>
      <c r="AW14" s="18">
        <v>5205630</v>
      </c>
      <c r="AX14" s="24"/>
      <c r="AY14" s="18">
        <v>5769592</v>
      </c>
      <c r="AZ14" s="24"/>
      <c r="BA14" s="18">
        <v>5320721</v>
      </c>
      <c r="BB14" s="24"/>
      <c r="BC14" s="18">
        <v>5968050</v>
      </c>
      <c r="BD14" s="24"/>
      <c r="BE14" s="18">
        <v>4333602</v>
      </c>
      <c r="BF14" s="24"/>
      <c r="BG14" s="18">
        <v>4146596</v>
      </c>
      <c r="BH14" s="24"/>
      <c r="BI14" s="18">
        <v>6235083</v>
      </c>
      <c r="BJ14" s="24"/>
      <c r="BK14" s="18">
        <v>4892717</v>
      </c>
      <c r="BL14" s="24"/>
      <c r="BM14" s="18">
        <v>6292716</v>
      </c>
      <c r="BN14" s="24"/>
      <c r="BO14" s="18">
        <v>6712833</v>
      </c>
      <c r="BP14" s="24"/>
      <c r="BQ14" s="18">
        <v>7063107</v>
      </c>
      <c r="BR14" s="24"/>
      <c r="BS14" s="18">
        <v>4910750</v>
      </c>
      <c r="BT14" s="24"/>
      <c r="BU14" s="18">
        <v>3536263</v>
      </c>
      <c r="BV14" s="24"/>
      <c r="BW14" s="18">
        <v>6248750</v>
      </c>
      <c r="BX14" s="24"/>
      <c r="BY14" s="18">
        <v>4791092</v>
      </c>
      <c r="BZ14" s="24"/>
      <c r="CA14" s="18">
        <v>6513822</v>
      </c>
      <c r="CB14" s="24"/>
      <c r="CC14" s="18">
        <v>4132551</v>
      </c>
      <c r="CD14" s="24"/>
      <c r="CE14" s="18">
        <v>5057896</v>
      </c>
      <c r="CF14" s="24"/>
      <c r="CG14" s="18">
        <v>5039634</v>
      </c>
      <c r="CH14" s="24"/>
      <c r="CI14" s="18">
        <v>5148549</v>
      </c>
      <c r="CJ14" s="24"/>
      <c r="CK14" s="18">
        <v>4985148</v>
      </c>
      <c r="CL14" s="24"/>
      <c r="CM14" s="18">
        <v>4845554</v>
      </c>
      <c r="CN14" s="24"/>
      <c r="CO14" s="18">
        <v>4091919</v>
      </c>
      <c r="CP14" s="24"/>
      <c r="CQ14" s="18">
        <v>4050275</v>
      </c>
      <c r="CR14" s="24"/>
      <c r="CS14" s="18">
        <v>3645604</v>
      </c>
      <c r="CT14" s="24"/>
      <c r="CU14" s="18">
        <v>5353062</v>
      </c>
      <c r="CV14" s="24"/>
      <c r="CW14" s="18">
        <v>4832196</v>
      </c>
      <c r="CX14" s="24"/>
      <c r="CY14" s="18">
        <v>4780282</v>
      </c>
      <c r="CZ14" s="24"/>
      <c r="DA14" s="18">
        <v>5723074</v>
      </c>
      <c r="DB14" s="24"/>
      <c r="DC14" s="18">
        <v>5954916</v>
      </c>
      <c r="DD14" s="24"/>
      <c r="DE14" s="18">
        <v>6882780</v>
      </c>
      <c r="DF14" s="24"/>
      <c r="DG14" s="18">
        <v>7448846</v>
      </c>
      <c r="DH14" s="24"/>
      <c r="DI14" s="18">
        <v>7016144</v>
      </c>
      <c r="DJ14" s="24"/>
      <c r="DK14" s="18">
        <v>6194991</v>
      </c>
      <c r="DL14" s="24"/>
      <c r="DM14" s="18">
        <v>6638684</v>
      </c>
      <c r="DN14" s="24"/>
      <c r="DO14" s="18">
        <v>4317570</v>
      </c>
      <c r="DP14" s="24"/>
      <c r="DQ14" s="18">
        <v>6258554</v>
      </c>
      <c r="DR14" s="24"/>
      <c r="DS14" s="18">
        <v>5581152</v>
      </c>
      <c r="DT14" s="24"/>
      <c r="DU14" s="18">
        <v>4725010</v>
      </c>
      <c r="DV14" s="24"/>
      <c r="DW14" s="18">
        <v>6125898</v>
      </c>
      <c r="DX14" s="24"/>
      <c r="DY14" s="18">
        <v>5972935</v>
      </c>
      <c r="DZ14" s="24"/>
      <c r="EA14" s="18">
        <v>5014065</v>
      </c>
      <c r="EB14" s="24"/>
      <c r="EC14" s="18">
        <v>5587070</v>
      </c>
      <c r="ED14" s="24"/>
      <c r="EE14" s="18">
        <v>5956801</v>
      </c>
      <c r="EF14" s="24"/>
      <c r="EG14" s="18">
        <v>5075601</v>
      </c>
      <c r="EH14" s="24"/>
      <c r="EI14" s="18">
        <v>6272797</v>
      </c>
      <c r="EJ14" s="24"/>
      <c r="EK14" s="18">
        <v>5766853</v>
      </c>
      <c r="EL14" s="24"/>
      <c r="EM14" s="18">
        <v>4161933</v>
      </c>
      <c r="EN14" s="24"/>
      <c r="EO14" s="18">
        <v>6147926</v>
      </c>
      <c r="EP14" s="24"/>
      <c r="EQ14" s="18">
        <v>7522103</v>
      </c>
      <c r="ER14" s="24"/>
      <c r="ES14" s="18">
        <f>+$EY14</f>
        <v>4855434</v>
      </c>
      <c r="ET14" s="24"/>
      <c r="EU14" s="221">
        <f>IF( SUM($EQ14:ES14)&lt;0, "n/a", SUM($EQ14:ES14)/EU$74)</f>
        <v>6188768.5</v>
      </c>
      <c r="EV14" s="227"/>
      <c r="EW14" s="22"/>
      <c r="EX14" s="96" t="s">
        <v>5</v>
      </c>
      <c r="EY14" s="35">
        <f>IF(ISERROR(VLOOKUP(EX14,IQSH01E!$A$1:$M$400,2,0)),0,VLOOKUP(EX14,IQSH01E!$A$1:$M$400,2,0))</f>
        <v>4855434</v>
      </c>
      <c r="EZ14" s="182" t="s">
        <v>118</v>
      </c>
    </row>
    <row r="15" spans="1:156" ht="24" customHeight="1" x14ac:dyDescent="0.3">
      <c r="A15" s="3"/>
      <c r="B15" s="14" t="s">
        <v>71</v>
      </c>
      <c r="C15" s="18">
        <v>1117689</v>
      </c>
      <c r="D15" s="24"/>
      <c r="E15" s="18">
        <v>908985</v>
      </c>
      <c r="F15" s="24"/>
      <c r="G15" s="18">
        <v>1353690</v>
      </c>
      <c r="H15" s="24"/>
      <c r="I15" s="18">
        <v>900528</v>
      </c>
      <c r="J15" s="24"/>
      <c r="K15" s="18">
        <v>813322</v>
      </c>
      <c r="L15" s="24"/>
      <c r="M15" s="18">
        <v>925838</v>
      </c>
      <c r="N15" s="24"/>
      <c r="O15" s="18">
        <v>1262388</v>
      </c>
      <c r="P15" s="24"/>
      <c r="Q15" s="18">
        <v>922899</v>
      </c>
      <c r="R15" s="24"/>
      <c r="S15" s="18">
        <v>417839</v>
      </c>
      <c r="T15" s="24"/>
      <c r="U15" s="18">
        <v>374329</v>
      </c>
      <c r="V15" s="24"/>
      <c r="W15" s="18">
        <v>291822</v>
      </c>
      <c r="X15" s="24"/>
      <c r="Y15" s="18">
        <v>422641</v>
      </c>
      <c r="Z15" s="24"/>
      <c r="AA15" s="18">
        <v>491368</v>
      </c>
      <c r="AB15" s="24"/>
      <c r="AC15" s="18">
        <v>496550</v>
      </c>
      <c r="AD15" s="24"/>
      <c r="AE15" s="18">
        <v>324991</v>
      </c>
      <c r="AF15" s="24"/>
      <c r="AG15" s="18">
        <v>704065</v>
      </c>
      <c r="AH15" s="24"/>
      <c r="AI15" s="18">
        <v>1034418</v>
      </c>
      <c r="AJ15" s="24"/>
      <c r="AK15" s="18">
        <v>1035594</v>
      </c>
      <c r="AL15" s="24"/>
      <c r="AM15" s="18">
        <v>314992</v>
      </c>
      <c r="AN15" s="24"/>
      <c r="AO15" s="18">
        <v>221458</v>
      </c>
      <c r="AP15" s="24"/>
      <c r="AQ15" s="18">
        <v>381600</v>
      </c>
      <c r="AR15" s="24"/>
      <c r="AS15" s="18">
        <v>230857</v>
      </c>
      <c r="AT15" s="24"/>
      <c r="AU15" s="18">
        <v>581177</v>
      </c>
      <c r="AV15" s="24"/>
      <c r="AW15" s="18">
        <v>645572</v>
      </c>
      <c r="AX15" s="24"/>
      <c r="AY15" s="18">
        <v>899557</v>
      </c>
      <c r="AZ15" s="24"/>
      <c r="BA15" s="18">
        <v>797185</v>
      </c>
      <c r="BB15" s="24"/>
      <c r="BC15" s="18">
        <v>1145458</v>
      </c>
      <c r="BD15" s="24"/>
      <c r="BE15" s="18">
        <v>884424</v>
      </c>
      <c r="BF15" s="24"/>
      <c r="BG15" s="18">
        <v>999199</v>
      </c>
      <c r="BH15" s="24"/>
      <c r="BI15" s="18">
        <v>1131623</v>
      </c>
      <c r="BJ15" s="24"/>
      <c r="BK15" s="18">
        <v>1165090</v>
      </c>
      <c r="BL15" s="24"/>
      <c r="BM15" s="18">
        <v>1331563</v>
      </c>
      <c r="BN15" s="24"/>
      <c r="BO15" s="18">
        <v>953499</v>
      </c>
      <c r="BP15" s="24"/>
      <c r="BQ15" s="18">
        <v>1406257</v>
      </c>
      <c r="BR15" s="24"/>
      <c r="BS15" s="18">
        <v>1022813</v>
      </c>
      <c r="BT15" s="24"/>
      <c r="BU15" s="18">
        <v>1234312</v>
      </c>
      <c r="BV15" s="24"/>
      <c r="BW15" s="18">
        <v>1041298</v>
      </c>
      <c r="BX15" s="24"/>
      <c r="BY15" s="18">
        <v>1130394</v>
      </c>
      <c r="BZ15" s="24"/>
      <c r="CA15" s="18">
        <v>1358598</v>
      </c>
      <c r="CB15" s="24"/>
      <c r="CC15" s="18">
        <v>1062974</v>
      </c>
      <c r="CD15" s="24"/>
      <c r="CE15" s="18">
        <v>789501</v>
      </c>
      <c r="CF15" s="24"/>
      <c r="CG15" s="18">
        <v>1424713</v>
      </c>
      <c r="CH15" s="24"/>
      <c r="CI15" s="18">
        <v>853728</v>
      </c>
      <c r="CJ15" s="24"/>
      <c r="CK15" s="18">
        <v>1143529</v>
      </c>
      <c r="CL15" s="24"/>
      <c r="CM15" s="18">
        <v>931396</v>
      </c>
      <c r="CN15" s="24"/>
      <c r="CO15" s="18">
        <v>1304256</v>
      </c>
      <c r="CP15" s="24"/>
      <c r="CQ15" s="18">
        <v>1159200</v>
      </c>
      <c r="CR15" s="24"/>
      <c r="CS15" s="18">
        <v>770883</v>
      </c>
      <c r="CT15" s="24"/>
      <c r="CU15" s="18">
        <v>1148181</v>
      </c>
      <c r="CV15" s="24"/>
      <c r="CW15" s="18">
        <v>1190628</v>
      </c>
      <c r="CX15" s="24"/>
      <c r="CY15" s="18">
        <v>922059</v>
      </c>
      <c r="CZ15" s="24"/>
      <c r="DA15" s="18">
        <v>1384194</v>
      </c>
      <c r="DB15" s="24"/>
      <c r="DC15" s="18">
        <v>1772736</v>
      </c>
      <c r="DD15" s="24"/>
      <c r="DE15" s="18">
        <v>1086206</v>
      </c>
      <c r="DF15" s="24"/>
      <c r="DG15" s="18">
        <v>1370164</v>
      </c>
      <c r="DH15" s="24"/>
      <c r="DI15" s="18">
        <v>1366852</v>
      </c>
      <c r="DJ15" s="24"/>
      <c r="DK15" s="18">
        <v>951201</v>
      </c>
      <c r="DL15" s="24"/>
      <c r="DM15" s="18">
        <v>1323887</v>
      </c>
      <c r="DN15" s="24"/>
      <c r="DO15" s="18">
        <v>841083</v>
      </c>
      <c r="DP15" s="24"/>
      <c r="DQ15" s="18">
        <v>1219141</v>
      </c>
      <c r="DR15" s="24"/>
      <c r="DS15" s="18">
        <v>1256923</v>
      </c>
      <c r="DT15" s="24"/>
      <c r="DU15" s="18">
        <v>1214948</v>
      </c>
      <c r="DV15" s="24"/>
      <c r="DW15" s="18">
        <v>1231548</v>
      </c>
      <c r="DX15" s="24"/>
      <c r="DY15" s="18">
        <v>1331002</v>
      </c>
      <c r="DZ15" s="24"/>
      <c r="EA15" s="18">
        <v>1295714</v>
      </c>
      <c r="EB15" s="24"/>
      <c r="EC15" s="18">
        <v>1573758</v>
      </c>
      <c r="ED15" s="24"/>
      <c r="EE15" s="18">
        <v>1453376</v>
      </c>
      <c r="EF15" s="24"/>
      <c r="EG15" s="18">
        <v>892725</v>
      </c>
      <c r="EH15" s="24"/>
      <c r="EI15" s="18">
        <v>1242189</v>
      </c>
      <c r="EJ15" s="24"/>
      <c r="EK15" s="18">
        <v>1247196</v>
      </c>
      <c r="EL15" s="24"/>
      <c r="EM15" s="18">
        <v>694732</v>
      </c>
      <c r="EN15" s="24"/>
      <c r="EO15" s="18">
        <v>830698</v>
      </c>
      <c r="EP15" s="24"/>
      <c r="EQ15" s="18">
        <v>839845</v>
      </c>
      <c r="ER15" s="24"/>
      <c r="ES15" s="18">
        <f>+$EY15</f>
        <v>667697</v>
      </c>
      <c r="ET15" s="24"/>
      <c r="EU15" s="221">
        <f>IF( SUM($EQ15:ES15)&lt;0, "n/a", SUM($EQ15:ES15)/EU$74)</f>
        <v>753771</v>
      </c>
      <c r="EV15" s="224"/>
      <c r="EW15" s="22"/>
      <c r="EX15" s="154" t="s">
        <v>0</v>
      </c>
      <c r="EY15" s="34">
        <f>IF(ISERROR(VLOOKUP(EX15,IQSH01E!$A$1:$M$400,2,0)),0,VLOOKUP(EX15,IQSH01E!$A$1:$M$400,2,0))</f>
        <v>667697</v>
      </c>
      <c r="EZ15" s="187" t="s">
        <v>117</v>
      </c>
    </row>
    <row r="16" spans="1:156" ht="24" customHeight="1" thickBot="1" x14ac:dyDescent="0.35">
      <c r="A16" s="7"/>
      <c r="B16" s="16" t="s">
        <v>84</v>
      </c>
      <c r="C16" s="19">
        <v>25754550</v>
      </c>
      <c r="D16" s="25"/>
      <c r="E16" s="19">
        <v>22390881</v>
      </c>
      <c r="F16" s="25"/>
      <c r="G16" s="19">
        <v>27100683</v>
      </c>
      <c r="H16" s="25"/>
      <c r="I16" s="19">
        <v>28535636</v>
      </c>
      <c r="J16" s="25"/>
      <c r="K16" s="19">
        <v>25438601.629999999</v>
      </c>
      <c r="L16" s="25"/>
      <c r="M16" s="19">
        <v>25304898</v>
      </c>
      <c r="N16" s="25"/>
      <c r="O16" s="19">
        <v>29089988.07</v>
      </c>
      <c r="P16" s="25"/>
      <c r="Q16" s="19">
        <v>26563218</v>
      </c>
      <c r="R16" s="25"/>
      <c r="S16" s="19">
        <v>25614993</v>
      </c>
      <c r="T16" s="25"/>
      <c r="U16" s="19">
        <v>22347255</v>
      </c>
      <c r="V16" s="25"/>
      <c r="W16" s="19">
        <v>19817325</v>
      </c>
      <c r="X16" s="25"/>
      <c r="Y16" s="19">
        <v>22363323</v>
      </c>
      <c r="Z16" s="25"/>
      <c r="AA16" s="19">
        <v>22378207</v>
      </c>
      <c r="AB16" s="25"/>
      <c r="AC16" s="19">
        <v>19183144</v>
      </c>
      <c r="AD16" s="25"/>
      <c r="AE16" s="19">
        <v>17456052.879999999</v>
      </c>
      <c r="AF16" s="25"/>
      <c r="AG16" s="19">
        <v>20741151</v>
      </c>
      <c r="AH16" s="25"/>
      <c r="AI16" s="19">
        <v>21652394</v>
      </c>
      <c r="AJ16" s="25"/>
      <c r="AK16" s="19">
        <v>19400935</v>
      </c>
      <c r="AL16" s="25"/>
      <c r="AM16" s="19">
        <v>19418681</v>
      </c>
      <c r="AN16" s="25"/>
      <c r="AO16" s="19">
        <v>19316736</v>
      </c>
      <c r="AP16" s="25"/>
      <c r="AQ16" s="19">
        <v>20529708</v>
      </c>
      <c r="AR16" s="25"/>
      <c r="AS16" s="19">
        <v>19123160</v>
      </c>
      <c r="AT16" s="25"/>
      <c r="AU16" s="19">
        <v>21275650</v>
      </c>
      <c r="AV16" s="25"/>
      <c r="AW16" s="19">
        <v>20839079</v>
      </c>
      <c r="AX16" s="25"/>
      <c r="AY16" s="19">
        <v>21666214</v>
      </c>
      <c r="AZ16" s="25"/>
      <c r="BA16" s="19">
        <v>19830963</v>
      </c>
      <c r="BB16" s="25"/>
      <c r="BC16" s="19">
        <v>24130675</v>
      </c>
      <c r="BD16" s="25"/>
      <c r="BE16" s="19">
        <v>21057724</v>
      </c>
      <c r="BF16" s="25"/>
      <c r="BG16" s="19">
        <v>20827832</v>
      </c>
      <c r="BH16" s="25"/>
      <c r="BI16" s="19">
        <v>24427640</v>
      </c>
      <c r="BJ16" s="25"/>
      <c r="BK16" s="19">
        <v>20726919</v>
      </c>
      <c r="BL16" s="25"/>
      <c r="BM16" s="19">
        <v>22255009</v>
      </c>
      <c r="BN16" s="25"/>
      <c r="BO16" s="19">
        <v>21789271</v>
      </c>
      <c r="BP16" s="25"/>
      <c r="BQ16" s="19">
        <v>22950661</v>
      </c>
      <c r="BR16" s="25"/>
      <c r="BS16" s="19">
        <v>19436846</v>
      </c>
      <c r="BT16" s="25"/>
      <c r="BU16" s="19">
        <v>15727036</v>
      </c>
      <c r="BV16" s="25"/>
      <c r="BW16" s="19">
        <v>21431831</v>
      </c>
      <c r="BX16" s="25"/>
      <c r="BY16" s="19">
        <v>17696705</v>
      </c>
      <c r="BZ16" s="25"/>
      <c r="CA16" s="19">
        <v>23133203</v>
      </c>
      <c r="CB16" s="25"/>
      <c r="CC16" s="19">
        <v>16287338</v>
      </c>
      <c r="CD16" s="25"/>
      <c r="CE16" s="19">
        <v>18966926</v>
      </c>
      <c r="CF16" s="25"/>
      <c r="CG16" s="19">
        <v>19054437</v>
      </c>
      <c r="CH16" s="25"/>
      <c r="CI16" s="19">
        <v>17732524</v>
      </c>
      <c r="CJ16" s="25"/>
      <c r="CK16" s="19">
        <v>19610571</v>
      </c>
      <c r="CL16" s="25"/>
      <c r="CM16" s="19">
        <v>18362743</v>
      </c>
      <c r="CN16" s="25"/>
      <c r="CO16" s="19">
        <v>17693745</v>
      </c>
      <c r="CP16" s="25"/>
      <c r="CQ16" s="19">
        <v>17942583</v>
      </c>
      <c r="CR16" s="25"/>
      <c r="CS16" s="19">
        <v>15632214</v>
      </c>
      <c r="CT16" s="25"/>
      <c r="CU16" s="19">
        <v>21400306</v>
      </c>
      <c r="CV16" s="25"/>
      <c r="CW16" s="19">
        <v>18521218</v>
      </c>
      <c r="CX16" s="25"/>
      <c r="CY16" s="19">
        <v>19492210</v>
      </c>
      <c r="CZ16" s="25"/>
      <c r="DA16" s="19">
        <v>22476075</v>
      </c>
      <c r="DB16" s="25"/>
      <c r="DC16" s="19">
        <v>22961482</v>
      </c>
      <c r="DD16" s="25"/>
      <c r="DE16" s="19">
        <v>22156981</v>
      </c>
      <c r="DF16" s="25"/>
      <c r="DG16" s="19">
        <v>23394380</v>
      </c>
      <c r="DH16" s="25"/>
      <c r="DI16" s="19">
        <v>23171898</v>
      </c>
      <c r="DJ16" s="25"/>
      <c r="DK16" s="19">
        <v>21559027</v>
      </c>
      <c r="DL16" s="25"/>
      <c r="DM16" s="19">
        <v>21540869</v>
      </c>
      <c r="DN16" s="25"/>
      <c r="DO16" s="19">
        <v>16174192</v>
      </c>
      <c r="DP16" s="25"/>
      <c r="DQ16" s="19">
        <v>20627214</v>
      </c>
      <c r="DR16" s="25"/>
      <c r="DS16" s="19">
        <v>19627176</v>
      </c>
      <c r="DT16" s="25"/>
      <c r="DU16" s="19">
        <v>17913577</v>
      </c>
      <c r="DV16" s="25"/>
      <c r="DW16" s="19">
        <v>20035305</v>
      </c>
      <c r="DX16" s="25"/>
      <c r="DY16" s="19">
        <v>18986517</v>
      </c>
      <c r="DZ16" s="25"/>
      <c r="EA16" s="19">
        <v>18476761</v>
      </c>
      <c r="EB16" s="25"/>
      <c r="EC16" s="19">
        <v>17295010</v>
      </c>
      <c r="ED16" s="25"/>
      <c r="EE16" s="19">
        <v>18103470</v>
      </c>
      <c r="EF16" s="25"/>
      <c r="EG16" s="19">
        <v>17594297</v>
      </c>
      <c r="EH16" s="25"/>
      <c r="EI16" s="19">
        <v>19642341</v>
      </c>
      <c r="EJ16" s="25"/>
      <c r="EK16" s="19">
        <v>18305584</v>
      </c>
      <c r="EL16" s="25"/>
      <c r="EM16" s="19">
        <v>13648861</v>
      </c>
      <c r="EN16" s="25"/>
      <c r="EO16" s="19">
        <v>16590471</v>
      </c>
      <c r="EP16" s="25"/>
      <c r="EQ16" s="19">
        <v>18858654</v>
      </c>
      <c r="ER16" s="25"/>
      <c r="ES16" s="19">
        <f>SUM(ES13:ES15)</f>
        <v>15661969</v>
      </c>
      <c r="ET16" s="25"/>
      <c r="EU16" s="225">
        <f>IF( SUM($EQ16:ES16)&lt;0, "n/a", SUM($EQ16:ES16)/EU$74)</f>
        <v>17260311.5</v>
      </c>
      <c r="EV16" s="228"/>
      <c r="EW16" s="61"/>
      <c r="EX16" s="37" t="s">
        <v>44</v>
      </c>
      <c r="EY16" s="38">
        <f>IF(ISERROR(VLOOKUP(EX16,IQSH01E!$A$1:$M$400,2,0)),0,VLOOKUP(EX16,IQSH01E!$A$1:$M$400,2,0))</f>
        <v>15661969</v>
      </c>
      <c r="EZ16" s="188" t="s">
        <v>118</v>
      </c>
    </row>
    <row r="17" spans="1:156" ht="24" customHeight="1" thickBot="1" x14ac:dyDescent="0.35">
      <c r="A17" s="3"/>
      <c r="B17" s="14" t="s">
        <v>89</v>
      </c>
      <c r="C17" s="18">
        <v>186858</v>
      </c>
      <c r="D17" s="92">
        <v>1.0327841977670412E-2</v>
      </c>
      <c r="E17" s="18">
        <v>484266</v>
      </c>
      <c r="F17" s="92">
        <v>2.7981993014930293E-2</v>
      </c>
      <c r="G17" s="18">
        <v>226131</v>
      </c>
      <c r="H17" s="92">
        <v>1.332700397052379E-2</v>
      </c>
      <c r="I17" s="18">
        <v>151404</v>
      </c>
      <c r="J17" s="92">
        <v>1.1655995945889961E-2</v>
      </c>
      <c r="K17" s="18">
        <v>0</v>
      </c>
      <c r="L17" s="92">
        <v>0</v>
      </c>
      <c r="M17" s="18">
        <v>146479</v>
      </c>
      <c r="N17" s="92">
        <v>1.0083039359067972E-2</v>
      </c>
      <c r="O17" s="18">
        <v>75917</v>
      </c>
      <c r="P17" s="92">
        <v>4.4131169611061633E-3</v>
      </c>
      <c r="Q17" s="18">
        <v>205969</v>
      </c>
      <c r="R17" s="92">
        <v>1.272041499977053E-2</v>
      </c>
      <c r="S17" s="18">
        <v>183644</v>
      </c>
      <c r="T17" s="92">
        <v>9.9078150065097376E-3</v>
      </c>
      <c r="U17" s="18">
        <v>35268</v>
      </c>
      <c r="V17" s="92">
        <v>1.9086214253548224E-3</v>
      </c>
      <c r="W17" s="18">
        <v>0</v>
      </c>
      <c r="X17" s="92">
        <v>0</v>
      </c>
      <c r="Y17" s="18">
        <v>0</v>
      </c>
      <c r="Z17" s="92">
        <v>0</v>
      </c>
      <c r="AA17" s="18">
        <v>76557</v>
      </c>
      <c r="AB17" s="92">
        <v>4.2079204133136528E-3</v>
      </c>
      <c r="AC17" s="18">
        <v>96188</v>
      </c>
      <c r="AD17" s="92">
        <v>6.3729918335875208E-3</v>
      </c>
      <c r="AE17" s="18">
        <v>74898</v>
      </c>
      <c r="AF17" s="92">
        <v>3.5289073150953803E-3</v>
      </c>
      <c r="AG17" s="18">
        <v>38157</v>
      </c>
      <c r="AH17" s="92">
        <v>2.0129423738136426E-3</v>
      </c>
      <c r="AI17" s="18">
        <v>38400</v>
      </c>
      <c r="AJ17" s="92">
        <v>2.4293030059415995E-3</v>
      </c>
      <c r="AK17" s="18">
        <v>33998</v>
      </c>
      <c r="AL17" s="92">
        <v>1.6353544306500346E-3</v>
      </c>
      <c r="AM17" s="18">
        <v>0</v>
      </c>
      <c r="AN17" s="92">
        <v>0</v>
      </c>
      <c r="AO17" s="18">
        <v>38586</v>
      </c>
      <c r="AP17" s="92">
        <v>2.0451065360634971E-3</v>
      </c>
      <c r="AQ17" s="18">
        <v>0</v>
      </c>
      <c r="AR17" s="92">
        <v>0</v>
      </c>
      <c r="AS17" s="18">
        <v>0</v>
      </c>
      <c r="AT17" s="92">
        <v>0</v>
      </c>
      <c r="AU17" s="18">
        <v>0</v>
      </c>
      <c r="AV17" s="92">
        <v>0</v>
      </c>
      <c r="AW17" s="18">
        <v>0</v>
      </c>
      <c r="AX17" s="92">
        <v>0</v>
      </c>
      <c r="AY17" s="18">
        <v>0</v>
      </c>
      <c r="AZ17" s="92">
        <v>0</v>
      </c>
      <c r="BA17" s="18">
        <v>0</v>
      </c>
      <c r="BB17" s="92">
        <v>0</v>
      </c>
      <c r="BC17" s="18">
        <v>0</v>
      </c>
      <c r="BD17" s="92">
        <v>0</v>
      </c>
      <c r="BE17" s="18">
        <v>0</v>
      </c>
      <c r="BF17" s="92">
        <v>0</v>
      </c>
      <c r="BG17" s="18">
        <v>0</v>
      </c>
      <c r="BH17" s="92">
        <v>0</v>
      </c>
      <c r="BI17" s="18">
        <v>0</v>
      </c>
      <c r="BJ17" s="92">
        <v>0</v>
      </c>
      <c r="BK17" s="18">
        <v>0</v>
      </c>
      <c r="BL17" s="92">
        <v>0</v>
      </c>
      <c r="BM17" s="18">
        <v>0</v>
      </c>
      <c r="BN17" s="92">
        <v>0</v>
      </c>
      <c r="BO17" s="18">
        <v>0</v>
      </c>
      <c r="BP17" s="92">
        <v>0</v>
      </c>
      <c r="BQ17" s="18">
        <v>0</v>
      </c>
      <c r="BR17" s="92">
        <v>0</v>
      </c>
      <c r="BS17" s="18">
        <v>0</v>
      </c>
      <c r="BT17" s="92">
        <v>0</v>
      </c>
      <c r="BU17" s="18">
        <v>0</v>
      </c>
      <c r="BV17" s="92">
        <v>0</v>
      </c>
      <c r="BW17" s="18">
        <v>0</v>
      </c>
      <c r="BX17" s="92">
        <v>0</v>
      </c>
      <c r="BY17" s="18">
        <v>0</v>
      </c>
      <c r="BZ17" s="92">
        <v>0</v>
      </c>
      <c r="CA17" s="18">
        <v>0</v>
      </c>
      <c r="CB17" s="92">
        <v>0</v>
      </c>
      <c r="CC17" s="18">
        <v>0</v>
      </c>
      <c r="CD17" s="92">
        <v>0</v>
      </c>
      <c r="CE17" s="18">
        <v>0</v>
      </c>
      <c r="CF17" s="92">
        <v>0</v>
      </c>
      <c r="CG17" s="18">
        <v>0</v>
      </c>
      <c r="CH17" s="92">
        <v>0</v>
      </c>
      <c r="CI17" s="18">
        <v>0</v>
      </c>
      <c r="CJ17" s="92">
        <v>0</v>
      </c>
      <c r="CK17" s="18">
        <v>0</v>
      </c>
      <c r="CL17" s="92">
        <v>0</v>
      </c>
      <c r="CM17" s="18">
        <v>0</v>
      </c>
      <c r="CN17" s="92">
        <v>0</v>
      </c>
      <c r="CO17" s="18">
        <v>0</v>
      </c>
      <c r="CP17" s="92">
        <v>0</v>
      </c>
      <c r="CQ17" s="18">
        <v>0</v>
      </c>
      <c r="CR17" s="92">
        <v>0</v>
      </c>
      <c r="CS17" s="18">
        <v>0</v>
      </c>
      <c r="CT17" s="92">
        <v>0</v>
      </c>
      <c r="CU17" s="18">
        <v>0</v>
      </c>
      <c r="CV17" s="92">
        <v>0</v>
      </c>
      <c r="CW17" s="18">
        <v>0</v>
      </c>
      <c r="CX17" s="92">
        <v>0</v>
      </c>
      <c r="CY17" s="18">
        <v>0</v>
      </c>
      <c r="CZ17" s="92">
        <v>0</v>
      </c>
      <c r="DA17" s="18">
        <v>0</v>
      </c>
      <c r="DB17" s="92">
        <v>0</v>
      </c>
      <c r="DC17" s="18">
        <v>0</v>
      </c>
      <c r="DD17" s="92">
        <v>0</v>
      </c>
      <c r="DE17" s="18">
        <v>0</v>
      </c>
      <c r="DF17" s="92">
        <v>0</v>
      </c>
      <c r="DG17" s="18">
        <v>0</v>
      </c>
      <c r="DH17" s="92">
        <v>0</v>
      </c>
      <c r="DI17" s="18">
        <v>0</v>
      </c>
      <c r="DJ17" s="92">
        <v>0</v>
      </c>
      <c r="DK17" s="18">
        <v>0</v>
      </c>
      <c r="DL17" s="92">
        <v>0</v>
      </c>
      <c r="DM17" s="18">
        <v>0</v>
      </c>
      <c r="DN17" s="92">
        <v>0</v>
      </c>
      <c r="DO17" s="18">
        <v>0</v>
      </c>
      <c r="DP17" s="92">
        <v>0</v>
      </c>
      <c r="DQ17" s="18">
        <v>0</v>
      </c>
      <c r="DR17" s="92">
        <v>0</v>
      </c>
      <c r="DS17" s="18">
        <v>0</v>
      </c>
      <c r="DT17" s="92">
        <v>0</v>
      </c>
      <c r="DU17" s="18">
        <v>0</v>
      </c>
      <c r="DV17" s="92">
        <v>0</v>
      </c>
      <c r="DW17" s="18">
        <v>0</v>
      </c>
      <c r="DX17" s="92">
        <v>0</v>
      </c>
      <c r="DY17" s="18">
        <v>0</v>
      </c>
      <c r="DZ17" s="92">
        <v>0</v>
      </c>
      <c r="EA17" s="18">
        <v>0</v>
      </c>
      <c r="EB17" s="92">
        <v>0</v>
      </c>
      <c r="EC17" s="18">
        <v>0</v>
      </c>
      <c r="ED17" s="92">
        <v>0</v>
      </c>
      <c r="EE17" s="18">
        <v>0</v>
      </c>
      <c r="EF17" s="92">
        <v>0</v>
      </c>
      <c r="EG17" s="18">
        <v>0</v>
      </c>
      <c r="EH17" s="92">
        <v>0</v>
      </c>
      <c r="EI17" s="18">
        <v>0</v>
      </c>
      <c r="EJ17" s="92">
        <v>0</v>
      </c>
      <c r="EK17" s="18">
        <v>0</v>
      </c>
      <c r="EL17" s="92">
        <v>0</v>
      </c>
      <c r="EM17" s="18">
        <v>0</v>
      </c>
      <c r="EN17" s="92">
        <v>0</v>
      </c>
      <c r="EO17" s="18">
        <v>0</v>
      </c>
      <c r="EP17" s="92">
        <v>0</v>
      </c>
      <c r="EQ17" s="18">
        <v>0</v>
      </c>
      <c r="ER17" s="92">
        <v>0</v>
      </c>
      <c r="ES17" s="18">
        <f t="shared" ref="ES17:ES23" si="1">+$EY17</f>
        <v>0</v>
      </c>
      <c r="ET17" s="92">
        <f>ES17/ES24</f>
        <v>0</v>
      </c>
      <c r="EU17" s="221">
        <f>IF( SUM($EQ17:ES17)&lt;0, "n/a", SUM($EQ17:ES17)/EU$74)</f>
        <v>0</v>
      </c>
      <c r="EV17" s="222">
        <f>EU17/EU24</f>
        <v>0</v>
      </c>
      <c r="EW17" s="22"/>
      <c r="EX17" s="96" t="s">
        <v>58</v>
      </c>
      <c r="EY17" s="35">
        <f>IF(ISERROR(VLOOKUP(EX17,IQSH01E!$A$1:$M$400,2,0)),0,VLOOKUP(EX17,IQSH01E!$A$1:$M$400,2,0))</f>
        <v>0</v>
      </c>
      <c r="EZ17" s="182" t="s">
        <v>123</v>
      </c>
    </row>
    <row r="18" spans="1:156" ht="24" customHeight="1" thickBot="1" x14ac:dyDescent="0.35">
      <c r="A18" s="3"/>
      <c r="B18" s="14" t="s">
        <v>79</v>
      </c>
      <c r="C18" s="60">
        <v>16202369.120000001</v>
      </c>
      <c r="D18" s="99">
        <v>0.89552231071319843</v>
      </c>
      <c r="E18" s="60">
        <v>15321662.689999999</v>
      </c>
      <c r="F18" s="99">
        <v>0.88532058490312771</v>
      </c>
      <c r="G18" s="60">
        <v>14833164.860000001</v>
      </c>
      <c r="H18" s="99">
        <v>0.87419083179508328</v>
      </c>
      <c r="I18" s="60">
        <v>11334155.140000001</v>
      </c>
      <c r="J18" s="99">
        <v>0.87257183668811822</v>
      </c>
      <c r="K18" s="60">
        <v>11060998.76</v>
      </c>
      <c r="L18" s="99">
        <v>0.90090303643957625</v>
      </c>
      <c r="M18" s="60">
        <v>12905141.76</v>
      </c>
      <c r="N18" s="99">
        <v>0.88833929983432236</v>
      </c>
      <c r="O18" s="60">
        <v>15596671.180000002</v>
      </c>
      <c r="P18" s="99">
        <v>0.90664718207059936</v>
      </c>
      <c r="Q18" s="60">
        <v>14296036.110000001</v>
      </c>
      <c r="R18" s="99">
        <v>0.88290719560179032</v>
      </c>
      <c r="S18" s="60">
        <v>16351935.720000001</v>
      </c>
      <c r="T18" s="99">
        <v>0.8822066286516228</v>
      </c>
      <c r="U18" s="60">
        <v>16306751.259999996</v>
      </c>
      <c r="V18" s="99">
        <v>0.88248312444050525</v>
      </c>
      <c r="W18" s="60">
        <v>13344123.689999999</v>
      </c>
      <c r="X18" s="99">
        <v>0.8840404127299184</v>
      </c>
      <c r="Y18" s="60">
        <v>13012978.639999999</v>
      </c>
      <c r="Z18" s="99">
        <v>0.87836512369608466</v>
      </c>
      <c r="AA18" s="60">
        <v>16403167.68</v>
      </c>
      <c r="AB18" s="99">
        <v>0.90159259275675319</v>
      </c>
      <c r="AC18" s="60">
        <v>13307694.310000001</v>
      </c>
      <c r="AD18" s="99">
        <v>0.88170901943599123</v>
      </c>
      <c r="AE18" s="60">
        <v>19168221.610000003</v>
      </c>
      <c r="AF18" s="99">
        <v>0.90313329403853726</v>
      </c>
      <c r="AG18" s="60">
        <v>17504932.739999998</v>
      </c>
      <c r="AH18" s="99">
        <v>0.92345888993117242</v>
      </c>
      <c r="AI18" s="60">
        <v>14429543.219999999</v>
      </c>
      <c r="AJ18" s="99">
        <v>0.91285762288307881</v>
      </c>
      <c r="AK18" s="60">
        <v>18762586.150000002</v>
      </c>
      <c r="AL18" s="99">
        <v>0.90250833551548559</v>
      </c>
      <c r="AM18" s="60">
        <v>17478652.399999999</v>
      </c>
      <c r="AN18" s="99">
        <v>0.90548227741932674</v>
      </c>
      <c r="AO18" s="60">
        <v>17000714.649999999</v>
      </c>
      <c r="AP18" s="99">
        <v>0.90105926109121048</v>
      </c>
      <c r="AQ18" s="60">
        <v>18288450.159999996</v>
      </c>
      <c r="AR18" s="99">
        <v>0.91473363680925468</v>
      </c>
      <c r="AS18" s="60">
        <v>17054961.640000001</v>
      </c>
      <c r="AT18" s="99">
        <v>0.93545602823185114</v>
      </c>
      <c r="AU18" s="60">
        <v>15047202.049999999</v>
      </c>
      <c r="AV18" s="99">
        <v>0.91908124616945575</v>
      </c>
      <c r="AW18" s="60">
        <v>14251928.530000001</v>
      </c>
      <c r="AX18" s="99">
        <v>0.91554639931188431</v>
      </c>
      <c r="AY18" s="60">
        <v>16930063.43</v>
      </c>
      <c r="AZ18" s="99">
        <v>0.92763726905297172</v>
      </c>
      <c r="BA18" s="60">
        <v>14859222.49</v>
      </c>
      <c r="BB18" s="99">
        <v>0.92940123371734951</v>
      </c>
      <c r="BC18" s="60">
        <v>20820667.419999998</v>
      </c>
      <c r="BD18" s="99">
        <v>0.94411330744297284</v>
      </c>
      <c r="BE18" s="60">
        <v>18346817.509999998</v>
      </c>
      <c r="BF18" s="99">
        <v>0.92894917064588534</v>
      </c>
      <c r="BG18" s="60">
        <v>17193174.219999999</v>
      </c>
      <c r="BH18" s="99">
        <v>0.93131157038254442</v>
      </c>
      <c r="BI18" s="60">
        <v>18760701.699999999</v>
      </c>
      <c r="BJ18" s="99">
        <v>0.93415601801584147</v>
      </c>
      <c r="BK18" s="60">
        <v>14170367.84</v>
      </c>
      <c r="BL18" s="99">
        <v>0.91701469782254774</v>
      </c>
      <c r="BM18" s="60">
        <v>17168359.030000001</v>
      </c>
      <c r="BN18" s="99">
        <v>0.92627737619186101</v>
      </c>
      <c r="BO18" s="60">
        <v>15865198.810000001</v>
      </c>
      <c r="BP18" s="99">
        <v>0.93051453126039896</v>
      </c>
      <c r="BQ18" s="60">
        <v>16568542.140000001</v>
      </c>
      <c r="BR18" s="99">
        <v>0.93303938381067852</v>
      </c>
      <c r="BS18" s="60">
        <v>15537557.530000001</v>
      </c>
      <c r="BT18" s="99">
        <v>0.93353428828944118</v>
      </c>
      <c r="BU18" s="60">
        <v>14339897.48</v>
      </c>
      <c r="BV18" s="99">
        <v>0.93815186106466697</v>
      </c>
      <c r="BW18" s="60">
        <v>15806641.27</v>
      </c>
      <c r="BX18" s="99">
        <v>0.93286258127880273</v>
      </c>
      <c r="BY18" s="60">
        <v>16597934.48</v>
      </c>
      <c r="BZ18" s="99">
        <v>0.93213027857329345</v>
      </c>
      <c r="CA18" s="60">
        <v>19408377.759999998</v>
      </c>
      <c r="CB18" s="99">
        <v>0.93054191024913846</v>
      </c>
      <c r="CC18" s="60">
        <v>14889383.4</v>
      </c>
      <c r="CD18" s="99">
        <v>0.93151916935629731</v>
      </c>
      <c r="CE18" s="60">
        <v>14348763.57</v>
      </c>
      <c r="CF18" s="99">
        <v>0.92521128373776496</v>
      </c>
      <c r="CG18" s="60">
        <v>16335198.439999998</v>
      </c>
      <c r="CH18" s="99">
        <v>0.92295448548442072</v>
      </c>
      <c r="CI18" s="60">
        <v>14924383.77</v>
      </c>
      <c r="CJ18" s="99">
        <v>0.92647601994234408</v>
      </c>
      <c r="CK18" s="60">
        <v>18249206.199999999</v>
      </c>
      <c r="CL18" s="99">
        <v>0.9363780362685814</v>
      </c>
      <c r="CM18" s="60">
        <v>17385848.200000003</v>
      </c>
      <c r="CN18" s="99">
        <v>0.94760380512305831</v>
      </c>
      <c r="CO18" s="60">
        <v>18448196.129999999</v>
      </c>
      <c r="CP18" s="99">
        <v>0.94036672649314235</v>
      </c>
      <c r="CQ18" s="60">
        <v>15618242.169999998</v>
      </c>
      <c r="CR18" s="99">
        <v>0.94030840106899138</v>
      </c>
      <c r="CS18" s="60">
        <v>14822893.970000003</v>
      </c>
      <c r="CT18" s="99">
        <v>0.9364700645789209</v>
      </c>
      <c r="CU18" s="60">
        <v>18128494.010000002</v>
      </c>
      <c r="CV18" s="99">
        <v>0.9365058301357102</v>
      </c>
      <c r="CW18" s="60">
        <v>17859804.899999999</v>
      </c>
      <c r="CX18" s="99">
        <v>0.93398557581056763</v>
      </c>
      <c r="CY18" s="60">
        <v>16565102.650000002</v>
      </c>
      <c r="CZ18" s="99">
        <v>0.93104342423583297</v>
      </c>
      <c r="DA18" s="60">
        <v>17236724</v>
      </c>
      <c r="DB18" s="99">
        <v>0.91474835451200565</v>
      </c>
      <c r="DC18" s="60">
        <v>16678211.999999998</v>
      </c>
      <c r="DD18" s="99">
        <v>0.92209994811520446</v>
      </c>
      <c r="DE18" s="60">
        <v>16015613.489999998</v>
      </c>
      <c r="DF18" s="99">
        <v>0.90600542573673659</v>
      </c>
      <c r="DG18" s="60">
        <v>16219399.999999998</v>
      </c>
      <c r="DH18" s="99">
        <v>0.90958547689094527</v>
      </c>
      <c r="DI18" s="60">
        <v>17128204</v>
      </c>
      <c r="DJ18" s="99">
        <v>0.90863121974043548</v>
      </c>
      <c r="DK18" s="60">
        <v>14713928</v>
      </c>
      <c r="DL18" s="99">
        <v>0.91061109312121769</v>
      </c>
      <c r="DM18" s="60">
        <v>16626903.999999998</v>
      </c>
      <c r="DN18" s="99">
        <v>0.89644055641176201</v>
      </c>
      <c r="DO18" s="60">
        <v>14147610</v>
      </c>
      <c r="DP18" s="99">
        <v>0.90483142512750159</v>
      </c>
      <c r="DQ18" s="60">
        <v>15342336.000000002</v>
      </c>
      <c r="DR18" s="99">
        <v>0.89411741043729043</v>
      </c>
      <c r="DS18" s="60">
        <v>17089312</v>
      </c>
      <c r="DT18" s="99">
        <v>0.88807428325288695</v>
      </c>
      <c r="DU18" s="60">
        <v>15385849.000000002</v>
      </c>
      <c r="DV18" s="99">
        <v>0.88372919307300946</v>
      </c>
      <c r="DW18" s="60">
        <v>15552987.000000002</v>
      </c>
      <c r="DX18" s="99">
        <v>0.88525190595725678</v>
      </c>
      <c r="DY18" s="60">
        <v>15156775.000000002</v>
      </c>
      <c r="DZ18" s="99">
        <v>0.89348885733706951</v>
      </c>
      <c r="EA18" s="60">
        <v>14926615.000000002</v>
      </c>
      <c r="EB18" s="99">
        <v>0.89106103790271818</v>
      </c>
      <c r="EC18" s="60">
        <v>15369478.000000002</v>
      </c>
      <c r="ED18" s="99">
        <v>0.91415056882652257</v>
      </c>
      <c r="EE18" s="60">
        <v>17457504</v>
      </c>
      <c r="EF18" s="99">
        <v>0.91880927431611215</v>
      </c>
      <c r="EG18" s="60">
        <v>16240191.999999998</v>
      </c>
      <c r="EH18" s="99">
        <v>0.91320857019916046</v>
      </c>
      <c r="EI18" s="60">
        <v>14738498</v>
      </c>
      <c r="EJ18" s="99">
        <v>0.90120971955753038</v>
      </c>
      <c r="EK18" s="60">
        <v>15694523.000000002</v>
      </c>
      <c r="EL18" s="99">
        <v>0.9048083059455525</v>
      </c>
      <c r="EM18" s="60">
        <v>13423745.16</v>
      </c>
      <c r="EN18" s="99">
        <v>0.91630124075365882</v>
      </c>
      <c r="EO18" s="60">
        <v>16026054.960000001</v>
      </c>
      <c r="EP18" s="99">
        <v>0.91286962238949476</v>
      </c>
      <c r="EQ18" s="60">
        <v>16171919.999999998</v>
      </c>
      <c r="ER18" s="99">
        <v>0.91433363347525509</v>
      </c>
      <c r="ES18" s="60">
        <f t="shared" si="1"/>
        <v>16294411</v>
      </c>
      <c r="ET18" s="99">
        <f>ES18/ES24</f>
        <v>0.92646298706107388</v>
      </c>
      <c r="EU18" s="221">
        <f>IF( SUM($EQ18:ES18)&lt;0, "n/a", SUM($EQ18:ES18)/EU$74)</f>
        <v>16233165.957166817</v>
      </c>
      <c r="EV18" s="223">
        <f>EU18/EU24</f>
        <v>0.92038122957235291</v>
      </c>
      <c r="EW18" s="22"/>
      <c r="EX18" s="100" t="s">
        <v>113</v>
      </c>
      <c r="EY18" s="150">
        <f>+EY27-EY26-EY25-EY17-EY20-EY21-EY22-EY23-EY19</f>
        <v>16294411</v>
      </c>
      <c r="EZ18" s="183"/>
    </row>
    <row r="19" spans="1:156" ht="24" customHeight="1" x14ac:dyDescent="0.3">
      <c r="A19" s="3"/>
      <c r="B19" s="14" t="s">
        <v>107</v>
      </c>
      <c r="C19" s="60">
        <v>0</v>
      </c>
      <c r="D19" s="99">
        <v>0</v>
      </c>
      <c r="E19" s="60">
        <v>0</v>
      </c>
      <c r="F19" s="99">
        <v>0</v>
      </c>
      <c r="G19" s="60">
        <v>0</v>
      </c>
      <c r="H19" s="99">
        <v>0</v>
      </c>
      <c r="I19" s="60">
        <v>0</v>
      </c>
      <c r="J19" s="99">
        <v>0</v>
      </c>
      <c r="K19" s="60">
        <v>0</v>
      </c>
      <c r="L19" s="99">
        <v>0</v>
      </c>
      <c r="M19" s="60">
        <v>0</v>
      </c>
      <c r="N19" s="99">
        <v>0</v>
      </c>
      <c r="O19" s="60">
        <v>0</v>
      </c>
      <c r="P19" s="99">
        <v>0</v>
      </c>
      <c r="Q19" s="60">
        <v>0</v>
      </c>
      <c r="R19" s="99">
        <v>0</v>
      </c>
      <c r="S19" s="60">
        <v>0</v>
      </c>
      <c r="T19" s="99">
        <v>0</v>
      </c>
      <c r="U19" s="60">
        <v>0</v>
      </c>
      <c r="V19" s="99">
        <v>0</v>
      </c>
      <c r="W19" s="60">
        <v>0</v>
      </c>
      <c r="X19" s="99">
        <v>0</v>
      </c>
      <c r="Y19" s="60">
        <v>0</v>
      </c>
      <c r="Z19" s="99">
        <v>0</v>
      </c>
      <c r="AA19" s="60">
        <v>0</v>
      </c>
      <c r="AB19" s="99">
        <v>0</v>
      </c>
      <c r="AC19" s="60">
        <v>0</v>
      </c>
      <c r="AD19" s="99">
        <v>0</v>
      </c>
      <c r="AE19" s="60">
        <v>0</v>
      </c>
      <c r="AF19" s="99">
        <v>0</v>
      </c>
      <c r="AG19" s="60">
        <v>0</v>
      </c>
      <c r="AH19" s="99">
        <v>0</v>
      </c>
      <c r="AI19" s="60">
        <v>0</v>
      </c>
      <c r="AJ19" s="99">
        <v>0</v>
      </c>
      <c r="AK19" s="60">
        <v>0</v>
      </c>
      <c r="AL19" s="99">
        <v>0</v>
      </c>
      <c r="AM19" s="60">
        <v>0</v>
      </c>
      <c r="AN19" s="99">
        <v>0</v>
      </c>
      <c r="AO19" s="60">
        <v>0</v>
      </c>
      <c r="AP19" s="99">
        <v>0</v>
      </c>
      <c r="AQ19" s="60">
        <v>0</v>
      </c>
      <c r="AR19" s="99">
        <v>0</v>
      </c>
      <c r="AS19" s="60">
        <v>0</v>
      </c>
      <c r="AT19" s="99">
        <v>0</v>
      </c>
      <c r="AU19" s="60">
        <v>0</v>
      </c>
      <c r="AV19" s="99">
        <v>0</v>
      </c>
      <c r="AW19" s="60">
        <v>0</v>
      </c>
      <c r="AX19" s="99">
        <v>0</v>
      </c>
      <c r="AY19" s="60">
        <v>0</v>
      </c>
      <c r="AZ19" s="99">
        <v>0</v>
      </c>
      <c r="BA19" s="60">
        <v>0</v>
      </c>
      <c r="BB19" s="99">
        <v>0</v>
      </c>
      <c r="BC19" s="60">
        <v>0</v>
      </c>
      <c r="BD19" s="99">
        <v>0</v>
      </c>
      <c r="BE19" s="60">
        <v>0</v>
      </c>
      <c r="BF19" s="99">
        <v>0</v>
      </c>
      <c r="BG19" s="60">
        <v>0</v>
      </c>
      <c r="BH19" s="99">
        <v>0</v>
      </c>
      <c r="BI19" s="60">
        <v>0</v>
      </c>
      <c r="BJ19" s="99">
        <v>0</v>
      </c>
      <c r="BK19" s="60">
        <v>0</v>
      </c>
      <c r="BL19" s="99">
        <v>0</v>
      </c>
      <c r="BM19" s="60">
        <v>0</v>
      </c>
      <c r="BN19" s="99">
        <v>0</v>
      </c>
      <c r="BO19" s="60">
        <v>0</v>
      </c>
      <c r="BP19" s="99">
        <v>0</v>
      </c>
      <c r="BQ19" s="60">
        <v>0</v>
      </c>
      <c r="BR19" s="99">
        <v>0</v>
      </c>
      <c r="BS19" s="60">
        <v>0</v>
      </c>
      <c r="BT19" s="99">
        <v>0</v>
      </c>
      <c r="BU19" s="60">
        <v>0</v>
      </c>
      <c r="BV19" s="99">
        <v>0</v>
      </c>
      <c r="BW19" s="60">
        <v>0</v>
      </c>
      <c r="BX19" s="99">
        <v>0</v>
      </c>
      <c r="BY19" s="60">
        <v>0</v>
      </c>
      <c r="BZ19" s="99">
        <v>0</v>
      </c>
      <c r="CA19" s="60">
        <v>0</v>
      </c>
      <c r="CB19" s="99">
        <v>0</v>
      </c>
      <c r="CC19" s="60">
        <v>0</v>
      </c>
      <c r="CD19" s="99">
        <v>0</v>
      </c>
      <c r="CE19" s="60">
        <v>0</v>
      </c>
      <c r="CF19" s="99">
        <v>0</v>
      </c>
      <c r="CG19" s="60">
        <v>0</v>
      </c>
      <c r="CH19" s="99">
        <v>0</v>
      </c>
      <c r="CI19" s="60">
        <v>0</v>
      </c>
      <c r="CJ19" s="99">
        <v>0</v>
      </c>
      <c r="CK19" s="60">
        <v>0</v>
      </c>
      <c r="CL19" s="99">
        <v>0</v>
      </c>
      <c r="CM19" s="60">
        <v>0</v>
      </c>
      <c r="CN19" s="99">
        <v>0</v>
      </c>
      <c r="CO19" s="60">
        <v>0</v>
      </c>
      <c r="CP19" s="99">
        <v>0</v>
      </c>
      <c r="CQ19" s="60">
        <v>0</v>
      </c>
      <c r="CR19" s="99">
        <v>0</v>
      </c>
      <c r="CS19" s="60">
        <v>0</v>
      </c>
      <c r="CT19" s="99">
        <v>0</v>
      </c>
      <c r="CU19" s="60">
        <v>0</v>
      </c>
      <c r="CV19" s="99">
        <v>0</v>
      </c>
      <c r="CW19" s="60">
        <v>0</v>
      </c>
      <c r="CX19" s="99">
        <v>0</v>
      </c>
      <c r="CY19" s="60">
        <v>0</v>
      </c>
      <c r="CZ19" s="99">
        <v>0</v>
      </c>
      <c r="DA19" s="60">
        <v>0</v>
      </c>
      <c r="DB19" s="99">
        <v>0</v>
      </c>
      <c r="DC19" s="60">
        <v>0</v>
      </c>
      <c r="DD19" s="99">
        <v>0</v>
      </c>
      <c r="DE19" s="60">
        <v>0</v>
      </c>
      <c r="DF19" s="99">
        <v>0</v>
      </c>
      <c r="DG19" s="60">
        <v>0</v>
      </c>
      <c r="DH19" s="99">
        <v>0</v>
      </c>
      <c r="DI19" s="60">
        <v>0</v>
      </c>
      <c r="DJ19" s="99">
        <v>0</v>
      </c>
      <c r="DK19" s="60">
        <v>0</v>
      </c>
      <c r="DL19" s="99">
        <v>0</v>
      </c>
      <c r="DM19" s="60">
        <v>0</v>
      </c>
      <c r="DN19" s="99">
        <v>0</v>
      </c>
      <c r="DO19" s="60">
        <v>0</v>
      </c>
      <c r="DP19" s="99">
        <v>0</v>
      </c>
      <c r="DQ19" s="60">
        <v>0</v>
      </c>
      <c r="DR19" s="99">
        <v>0</v>
      </c>
      <c r="DS19" s="60">
        <v>0</v>
      </c>
      <c r="DT19" s="99">
        <v>0</v>
      </c>
      <c r="DU19" s="60">
        <v>0</v>
      </c>
      <c r="DV19" s="99">
        <v>0</v>
      </c>
      <c r="DW19" s="60">
        <v>0</v>
      </c>
      <c r="DX19" s="99">
        <v>0</v>
      </c>
      <c r="DY19" s="60">
        <v>0</v>
      </c>
      <c r="DZ19" s="99">
        <v>0</v>
      </c>
      <c r="EA19" s="60">
        <v>0</v>
      </c>
      <c r="EB19" s="99">
        <v>0</v>
      </c>
      <c r="EC19" s="60">
        <v>0</v>
      </c>
      <c r="ED19" s="99">
        <v>0</v>
      </c>
      <c r="EE19" s="60">
        <v>0</v>
      </c>
      <c r="EF19" s="99">
        <v>0</v>
      </c>
      <c r="EG19" s="60">
        <v>0</v>
      </c>
      <c r="EH19" s="99">
        <v>0</v>
      </c>
      <c r="EI19" s="60">
        <v>0</v>
      </c>
      <c r="EJ19" s="99">
        <v>0</v>
      </c>
      <c r="EK19" s="60">
        <v>0</v>
      </c>
      <c r="EL19" s="99">
        <v>0</v>
      </c>
      <c r="EM19" s="60">
        <v>0</v>
      </c>
      <c r="EN19" s="99">
        <v>0</v>
      </c>
      <c r="EO19" s="60">
        <v>0</v>
      </c>
      <c r="EP19" s="99">
        <v>0</v>
      </c>
      <c r="EQ19" s="60">
        <v>0</v>
      </c>
      <c r="ER19" s="99">
        <v>0</v>
      </c>
      <c r="ES19" s="60">
        <f t="shared" si="1"/>
        <v>0</v>
      </c>
      <c r="ET19" s="99">
        <f>ES19/ES24</f>
        <v>0</v>
      </c>
      <c r="EU19" s="221">
        <f>IF( SUM($EQ19:ES19)&lt;0, "n/a", SUM($EQ19:ES19)/EU$74)</f>
        <v>0</v>
      </c>
      <c r="EV19" s="224">
        <f>EU19/EU24</f>
        <v>0</v>
      </c>
      <c r="EW19" s="22"/>
      <c r="EX19" s="154" t="s">
        <v>116</v>
      </c>
      <c r="EY19" s="151">
        <f>IF(ISERROR(VLOOKUP(EX19,IQSH01E!$A$1:$M$400,2,0)),0,VLOOKUP(EX19,IQSH01E!$A$1:$M$400,2,0))</f>
        <v>0</v>
      </c>
      <c r="EZ19" s="184" t="s">
        <v>117</v>
      </c>
    </row>
    <row r="20" spans="1:156" ht="24" customHeight="1" x14ac:dyDescent="0.3">
      <c r="A20" s="152"/>
      <c r="B20" s="14" t="s">
        <v>80</v>
      </c>
      <c r="C20" s="60">
        <v>1562031.4</v>
      </c>
      <c r="D20" s="99">
        <v>8.6335150024934887E-2</v>
      </c>
      <c r="E20" s="60">
        <v>1367145.91</v>
      </c>
      <c r="F20" s="99">
        <v>7.8996806102453021E-2</v>
      </c>
      <c r="G20" s="60">
        <v>1704613.65</v>
      </c>
      <c r="H20" s="99">
        <v>0.10046120559215256</v>
      </c>
      <c r="I20" s="60">
        <v>1328700.26</v>
      </c>
      <c r="J20" s="99">
        <v>0.10229138492947965</v>
      </c>
      <c r="K20" s="60">
        <v>1137361.8799999999</v>
      </c>
      <c r="L20" s="99">
        <v>9.2636550591442685E-2</v>
      </c>
      <c r="M20" s="60">
        <v>1280980.42</v>
      </c>
      <c r="N20" s="99">
        <v>8.8177663644996351E-2</v>
      </c>
      <c r="O20" s="60">
        <v>1381909.28</v>
      </c>
      <c r="P20" s="99">
        <v>8.0331510495383202E-2</v>
      </c>
      <c r="Q20" s="60">
        <v>1461765.85</v>
      </c>
      <c r="R20" s="99">
        <v>9.0277023457376204E-2</v>
      </c>
      <c r="S20" s="60">
        <v>1951289.97</v>
      </c>
      <c r="T20" s="99">
        <v>0.10527444428795897</v>
      </c>
      <c r="U20" s="60">
        <v>1892452.74</v>
      </c>
      <c r="V20" s="99">
        <v>0.10241510281375295</v>
      </c>
      <c r="W20" s="60">
        <v>1606212.49</v>
      </c>
      <c r="X20" s="99">
        <v>0.10641064078682487</v>
      </c>
      <c r="Y20" s="60">
        <v>1571705.84</v>
      </c>
      <c r="Z20" s="99">
        <v>0.10608882353206252</v>
      </c>
      <c r="AA20" s="60">
        <v>1678014.42</v>
      </c>
      <c r="AB20" s="99">
        <v>9.2231293438257367E-2</v>
      </c>
      <c r="AC20" s="60">
        <v>1515205.9</v>
      </c>
      <c r="AD20" s="99">
        <v>0.10039084737081164</v>
      </c>
      <c r="AE20" s="60">
        <v>1846255.32</v>
      </c>
      <c r="AF20" s="99">
        <v>8.6988489736465099E-2</v>
      </c>
      <c r="AG20" s="60">
        <v>1221785.26</v>
      </c>
      <c r="AH20" s="99">
        <v>6.4454315631598882E-2</v>
      </c>
      <c r="AI20" s="60">
        <v>1252015.57</v>
      </c>
      <c r="AJ20" s="99">
        <v>7.9206385096007428E-2</v>
      </c>
      <c r="AK20" s="60">
        <v>1670968.49</v>
      </c>
      <c r="AL20" s="99">
        <v>8.0376072815992058E-2</v>
      </c>
      <c r="AM20" s="60">
        <v>1678964.48</v>
      </c>
      <c r="AN20" s="99">
        <v>8.69788211507974E-2</v>
      </c>
      <c r="AO20" s="60">
        <v>1668281.22</v>
      </c>
      <c r="AP20" s="99">
        <v>8.8421003136214815E-2</v>
      </c>
      <c r="AQ20" s="60">
        <v>1482770.23</v>
      </c>
      <c r="AR20" s="99">
        <v>7.4163736848896294E-2</v>
      </c>
      <c r="AS20" s="60">
        <v>1090485.72</v>
      </c>
      <c r="AT20" s="99">
        <v>5.9812590729154548E-2</v>
      </c>
      <c r="AU20" s="60">
        <v>1134816.1100000001</v>
      </c>
      <c r="AV20" s="99">
        <v>6.9314428096748676E-2</v>
      </c>
      <c r="AW20" s="60">
        <v>1157576.8700000001</v>
      </c>
      <c r="AX20" s="99">
        <v>7.4362942041446042E-2</v>
      </c>
      <c r="AY20" s="60">
        <v>1194785.57</v>
      </c>
      <c r="AZ20" s="99">
        <v>6.5465060295919877E-2</v>
      </c>
      <c r="BA20" s="60">
        <v>912830.85</v>
      </c>
      <c r="BB20" s="99">
        <v>5.7094919921698864E-2</v>
      </c>
      <c r="BC20" s="60">
        <v>1195174</v>
      </c>
      <c r="BD20" s="99">
        <v>5.4195173254914214E-2</v>
      </c>
      <c r="BE20" s="60">
        <v>1124464.45</v>
      </c>
      <c r="BF20" s="99">
        <v>5.6934687319963519E-2</v>
      </c>
      <c r="BG20" s="60">
        <v>1167407.58</v>
      </c>
      <c r="BH20" s="99">
        <v>6.323557085471597E-2</v>
      </c>
      <c r="BI20" s="60">
        <v>1240229.98</v>
      </c>
      <c r="BJ20" s="99">
        <v>6.1755062154240571E-2</v>
      </c>
      <c r="BK20" s="60">
        <v>1218844.1599999999</v>
      </c>
      <c r="BL20" s="99">
        <v>7.8875723036641851E-2</v>
      </c>
      <c r="BM20" s="60">
        <v>1315311.27</v>
      </c>
      <c r="BN20" s="99">
        <v>7.0964445112212005E-2</v>
      </c>
      <c r="BO20" s="60">
        <v>1138683.4099999999</v>
      </c>
      <c r="BP20" s="99">
        <v>6.6785262019048261E-2</v>
      </c>
      <c r="BQ20" s="60">
        <v>1160871.1200000001</v>
      </c>
      <c r="BR20" s="99">
        <v>6.5373191276345596E-2</v>
      </c>
      <c r="BS20" s="60">
        <v>1105639.99</v>
      </c>
      <c r="BT20" s="99">
        <v>6.6429542685593188E-2</v>
      </c>
      <c r="BU20" s="60">
        <v>923280.52</v>
      </c>
      <c r="BV20" s="99">
        <v>6.0403314551643043E-2</v>
      </c>
      <c r="BW20" s="60">
        <v>1060205.3600000001</v>
      </c>
      <c r="BX20" s="99">
        <v>6.25702761213624E-2</v>
      </c>
      <c r="BY20" s="60">
        <v>1139234.52</v>
      </c>
      <c r="BZ20" s="99">
        <v>6.3978743365175172E-2</v>
      </c>
      <c r="CA20" s="60">
        <v>1426088.96</v>
      </c>
      <c r="CB20" s="99">
        <v>6.8374367061145205E-2</v>
      </c>
      <c r="CC20" s="60">
        <v>1028040.6</v>
      </c>
      <c r="CD20" s="99">
        <v>6.4316936440534503E-2</v>
      </c>
      <c r="CE20" s="60">
        <v>1080440.43</v>
      </c>
      <c r="CF20" s="99">
        <v>6.9667025480334308E-2</v>
      </c>
      <c r="CG20" s="60">
        <v>1362353.56</v>
      </c>
      <c r="CH20" s="99">
        <v>7.6974291658355218E-2</v>
      </c>
      <c r="CI20" s="60">
        <v>1109401.23</v>
      </c>
      <c r="CJ20" s="99">
        <v>6.8869418793399279E-2</v>
      </c>
      <c r="CK20" s="60">
        <v>1160322.8</v>
      </c>
      <c r="CL20" s="99">
        <v>5.9536879193225513E-2</v>
      </c>
      <c r="CM20" s="60">
        <v>959779.95</v>
      </c>
      <c r="CN20" s="99">
        <v>5.2312151943257987E-2</v>
      </c>
      <c r="CO20" s="60">
        <v>1128327.8700000001</v>
      </c>
      <c r="CP20" s="99">
        <v>5.7514673957603901E-2</v>
      </c>
      <c r="CQ20" s="60">
        <v>990738.83</v>
      </c>
      <c r="CR20" s="99">
        <v>5.9648200800965258E-2</v>
      </c>
      <c r="CS20" s="60">
        <v>991717.03</v>
      </c>
      <c r="CT20" s="99">
        <v>6.2653980592975625E-2</v>
      </c>
      <c r="CU20" s="60">
        <v>1190639.99</v>
      </c>
      <c r="CV20" s="99">
        <v>6.1507662556671665E-2</v>
      </c>
      <c r="CW20" s="60">
        <v>1223365.1000000001</v>
      </c>
      <c r="CX20" s="99">
        <v>6.3976362773708287E-2</v>
      </c>
      <c r="CY20" s="60">
        <v>1221160.3500000001</v>
      </c>
      <c r="CZ20" s="99">
        <v>6.8635452361958546E-2</v>
      </c>
      <c r="DA20" s="60">
        <v>1605444.08</v>
      </c>
      <c r="DB20" s="99">
        <v>8.5200489979478752E-2</v>
      </c>
      <c r="DC20" s="60">
        <v>1405548.12</v>
      </c>
      <c r="DD20" s="99">
        <v>7.7709519972849819E-2</v>
      </c>
      <c r="DE20" s="60">
        <v>1656590.51</v>
      </c>
      <c r="DF20" s="99">
        <v>9.3713549669584825E-2</v>
      </c>
      <c r="DG20" s="60">
        <v>1610194</v>
      </c>
      <c r="DH20" s="99">
        <v>9.0299830904776932E-2</v>
      </c>
      <c r="DI20" s="60">
        <v>1721248</v>
      </c>
      <c r="DJ20" s="99">
        <v>9.1310196312221939E-2</v>
      </c>
      <c r="DK20" s="60">
        <v>1437684</v>
      </c>
      <c r="DL20" s="99">
        <v>8.8974949367897183E-2</v>
      </c>
      <c r="DM20" s="60">
        <v>1916642</v>
      </c>
      <c r="DN20" s="99">
        <v>0.10333587184494195</v>
      </c>
      <c r="DO20" s="60">
        <v>1475904</v>
      </c>
      <c r="DP20" s="99">
        <v>9.4393633954525186E-2</v>
      </c>
      <c r="DQ20" s="60">
        <v>1815817</v>
      </c>
      <c r="DR20" s="99">
        <v>0.10582179883611004</v>
      </c>
      <c r="DS20" s="60">
        <v>2151566</v>
      </c>
      <c r="DT20" s="99">
        <v>0.11180967573892273</v>
      </c>
      <c r="DU20" s="60">
        <v>2023181</v>
      </c>
      <c r="DV20" s="99">
        <v>0.11620704925484737</v>
      </c>
      <c r="DW20" s="60">
        <v>2002047</v>
      </c>
      <c r="DX20" s="99">
        <v>0.11395341117214383</v>
      </c>
      <c r="DY20" s="60">
        <v>1806258</v>
      </c>
      <c r="DZ20" s="99">
        <v>0.10647854813942545</v>
      </c>
      <c r="EA20" s="60">
        <v>1824333</v>
      </c>
      <c r="EB20" s="99">
        <v>0.10890560629186051</v>
      </c>
      <c r="EC20" s="60">
        <v>1442628</v>
      </c>
      <c r="ED20" s="99">
        <v>8.5805074629409561E-2</v>
      </c>
      <c r="EE20" s="60">
        <v>1540010</v>
      </c>
      <c r="EF20" s="99">
        <v>8.1052564589964057E-2</v>
      </c>
      <c r="EG20" s="60">
        <v>1514154</v>
      </c>
      <c r="EH20" s="99">
        <v>8.5142984110122569E-2</v>
      </c>
      <c r="EI20" s="60">
        <v>1523091</v>
      </c>
      <c r="EJ20" s="99">
        <v>9.3131906180032628E-2</v>
      </c>
      <c r="EK20" s="60">
        <v>1570494</v>
      </c>
      <c r="EL20" s="99">
        <v>9.0540885864301479E-2</v>
      </c>
      <c r="EM20" s="60">
        <v>1217687</v>
      </c>
      <c r="EN20" s="99">
        <v>8.311898770801758E-2</v>
      </c>
      <c r="EO20" s="60">
        <v>1388073</v>
      </c>
      <c r="EP20" s="99">
        <v>7.9066849484899879E-2</v>
      </c>
      <c r="EQ20" s="60">
        <v>1505310</v>
      </c>
      <c r="ER20" s="99">
        <v>8.5107739947182307E-2</v>
      </c>
      <c r="ES20" s="60">
        <f t="shared" si="1"/>
        <v>1291440</v>
      </c>
      <c r="ET20" s="99">
        <f>ES20/ES24</f>
        <v>7.3428328278337479E-2</v>
      </c>
      <c r="EU20" s="221">
        <f>IF( SUM($EQ20:ES20)&lt;0, "n/a", SUM($EQ20:ES20)/EU$74)</f>
        <v>1398375.04255387</v>
      </c>
      <c r="EV20" s="224">
        <f>EU20/EU24</f>
        <v>7.9284481195167289E-2</v>
      </c>
      <c r="EW20" s="22"/>
      <c r="EX20" s="96" t="s">
        <v>35</v>
      </c>
      <c r="EY20" s="153">
        <f>IF(ISERROR(VLOOKUP(EX20,IQSH01E!$A$1:$M$400,2,0)),0,VLOOKUP(EX20,IQSH01E!$A$1:$M$400,2,0))</f>
        <v>1291440</v>
      </c>
      <c r="EZ20" s="185" t="s">
        <v>118</v>
      </c>
    </row>
    <row r="21" spans="1:156" ht="24" customHeight="1" x14ac:dyDescent="0.3">
      <c r="A21" s="5"/>
      <c r="B21" s="14" t="s">
        <v>81</v>
      </c>
      <c r="C21" s="18">
        <v>133295</v>
      </c>
      <c r="D21" s="92">
        <v>7.3673575464447746E-3</v>
      </c>
      <c r="E21" s="18">
        <v>110892</v>
      </c>
      <c r="F21" s="92">
        <v>6.4075924583011194E-3</v>
      </c>
      <c r="G21" s="18">
        <v>188359</v>
      </c>
      <c r="H21" s="92">
        <v>1.1100915579393762E-2</v>
      </c>
      <c r="I21" s="18">
        <v>172824</v>
      </c>
      <c r="J21" s="92">
        <v>1.3305037141373321E-2</v>
      </c>
      <c r="K21" s="18">
        <v>77504</v>
      </c>
      <c r="L21" s="92">
        <v>6.3125935054541959E-3</v>
      </c>
      <c r="M21" s="18">
        <v>188310</v>
      </c>
      <c r="N21" s="92">
        <v>1.296252119215785E-2</v>
      </c>
      <c r="O21" s="18">
        <v>147113</v>
      </c>
      <c r="P21" s="92">
        <v>8.5517983521373481E-3</v>
      </c>
      <c r="Q21" s="18">
        <v>209637</v>
      </c>
      <c r="R21" s="92">
        <v>1.2946946575974514E-2</v>
      </c>
      <c r="S21" s="18">
        <v>15799</v>
      </c>
      <c r="T21" s="92">
        <v>8.5237508052453306E-4</v>
      </c>
      <c r="U21" s="18">
        <v>240928</v>
      </c>
      <c r="V21" s="92">
        <v>1.3038458170803183E-2</v>
      </c>
      <c r="W21" s="18">
        <v>143564</v>
      </c>
      <c r="X21" s="92">
        <v>9.511031279503826E-3</v>
      </c>
      <c r="Y21" s="18">
        <v>210074</v>
      </c>
      <c r="Z21" s="92">
        <v>1.4179818479693693E-2</v>
      </c>
      <c r="AA21" s="18">
        <v>25040</v>
      </c>
      <c r="AB21" s="92">
        <v>1.3763121223320386E-3</v>
      </c>
      <c r="AC21" s="18">
        <v>173212</v>
      </c>
      <c r="AD21" s="92">
        <v>1.1476261711225535E-2</v>
      </c>
      <c r="AE21" s="18">
        <v>129694</v>
      </c>
      <c r="AF21" s="92">
        <v>6.110685269619753E-3</v>
      </c>
      <c r="AG21" s="18">
        <v>190698</v>
      </c>
      <c r="AH21" s="92">
        <v>1.006012225283733E-2</v>
      </c>
      <c r="AI21" s="18">
        <v>83560</v>
      </c>
      <c r="AJ21" s="92">
        <v>5.2862645618875015E-3</v>
      </c>
      <c r="AK21" s="18">
        <v>320454</v>
      </c>
      <c r="AL21" s="92">
        <v>1.5414314627905353E-2</v>
      </c>
      <c r="AM21" s="18">
        <v>139364</v>
      </c>
      <c r="AN21" s="92">
        <v>7.2197575203376127E-3</v>
      </c>
      <c r="AO21" s="18">
        <v>158630</v>
      </c>
      <c r="AP21" s="92">
        <v>8.4075895354727773E-3</v>
      </c>
      <c r="AQ21" s="18">
        <v>212681</v>
      </c>
      <c r="AR21" s="92">
        <v>1.0637668195402138E-2</v>
      </c>
      <c r="AS21" s="18">
        <v>61588</v>
      </c>
      <c r="AT21" s="92">
        <v>3.3780706801251562E-3</v>
      </c>
      <c r="AU21" s="18">
        <v>189157</v>
      </c>
      <c r="AV21" s="92">
        <v>1.155368624040479E-2</v>
      </c>
      <c r="AW21" s="18">
        <v>116144</v>
      </c>
      <c r="AX21" s="92">
        <v>7.4611110193154671E-3</v>
      </c>
      <c r="AY21" s="18">
        <v>124606</v>
      </c>
      <c r="AZ21" s="92">
        <v>6.8274504714962306E-3</v>
      </c>
      <c r="BA21" s="18">
        <v>213960</v>
      </c>
      <c r="BB21" s="92">
        <v>1.3382576921503792E-2</v>
      </c>
      <c r="BC21" s="18">
        <v>34124</v>
      </c>
      <c r="BD21" s="92">
        <v>1.5473530148335662E-3</v>
      </c>
      <c r="BE21" s="18">
        <v>277758</v>
      </c>
      <c r="BF21" s="92">
        <v>1.4063641478944424E-2</v>
      </c>
      <c r="BG21" s="18">
        <v>100263</v>
      </c>
      <c r="BH21" s="92">
        <v>5.4309978359112472E-3</v>
      </c>
      <c r="BI21" s="18">
        <v>80580</v>
      </c>
      <c r="BJ21" s="92">
        <v>4.0123388312131476E-3</v>
      </c>
      <c r="BK21" s="18">
        <v>25040</v>
      </c>
      <c r="BL21" s="92">
        <v>1.6204270977821416E-3</v>
      </c>
      <c r="BM21" s="18">
        <v>34048</v>
      </c>
      <c r="BN21" s="92">
        <v>1.8369776662679963E-3</v>
      </c>
      <c r="BO21" s="18">
        <v>22805</v>
      </c>
      <c r="BP21" s="92">
        <v>1.3375428911749892E-3</v>
      </c>
      <c r="BQ21" s="18">
        <v>22728</v>
      </c>
      <c r="BR21" s="92">
        <v>1.2799025367508346E-3</v>
      </c>
      <c r="BS21" s="18">
        <v>0</v>
      </c>
      <c r="BT21" s="92">
        <v>0</v>
      </c>
      <c r="BU21" s="18">
        <v>21280</v>
      </c>
      <c r="BV21" s="92">
        <v>1.3921906785805077E-3</v>
      </c>
      <c r="BW21" s="18">
        <v>61672</v>
      </c>
      <c r="BX21" s="92">
        <v>3.6397043578016448E-3</v>
      </c>
      <c r="BY21" s="18">
        <v>44920</v>
      </c>
      <c r="BZ21" s="92">
        <v>2.5226808892375107E-3</v>
      </c>
      <c r="CA21" s="18">
        <v>21768</v>
      </c>
      <c r="CB21" s="92">
        <v>1.0436748785903293E-3</v>
      </c>
      <c r="CC21" s="18">
        <v>65104</v>
      </c>
      <c r="CD21" s="92">
        <v>4.0730782714462422E-3</v>
      </c>
      <c r="CE21" s="18">
        <v>42066</v>
      </c>
      <c r="CF21" s="92">
        <v>2.7124245006786198E-3</v>
      </c>
      <c r="CG21" s="18">
        <v>0</v>
      </c>
      <c r="CH21" s="92">
        <v>0</v>
      </c>
      <c r="CI21" s="18">
        <v>73738</v>
      </c>
      <c r="CJ21" s="92">
        <v>4.5775081779814465E-3</v>
      </c>
      <c r="CK21" s="18">
        <v>75904</v>
      </c>
      <c r="CL21" s="92">
        <v>3.8946810993307976E-3</v>
      </c>
      <c r="CM21" s="18">
        <v>0</v>
      </c>
      <c r="CN21" s="92">
        <v>0</v>
      </c>
      <c r="CO21" s="18">
        <v>39624</v>
      </c>
      <c r="CP21" s="92">
        <v>2.0197688114325287E-3</v>
      </c>
      <c r="CQ21" s="18">
        <v>0</v>
      </c>
      <c r="CR21" s="92">
        <v>0</v>
      </c>
      <c r="CS21" s="18">
        <v>0</v>
      </c>
      <c r="CT21" s="92">
        <v>0</v>
      </c>
      <c r="CU21" s="18">
        <v>37952</v>
      </c>
      <c r="CV21" s="92">
        <v>1.9605748412253507E-3</v>
      </c>
      <c r="CW21" s="18">
        <v>37952</v>
      </c>
      <c r="CX21" s="92">
        <v>1.9847148819169165E-3</v>
      </c>
      <c r="CY21" s="18">
        <v>0</v>
      </c>
      <c r="CZ21" s="92">
        <v>0</v>
      </c>
      <c r="DA21" s="18">
        <v>0</v>
      </c>
      <c r="DB21" s="92">
        <v>0</v>
      </c>
      <c r="DC21" s="18">
        <v>0</v>
      </c>
      <c r="DD21" s="92">
        <v>0</v>
      </c>
      <c r="DE21" s="18">
        <v>0</v>
      </c>
      <c r="DF21" s="92">
        <v>0</v>
      </c>
      <c r="DG21" s="18">
        <v>0</v>
      </c>
      <c r="DH21" s="92">
        <v>0</v>
      </c>
      <c r="DI21" s="18">
        <v>0</v>
      </c>
      <c r="DJ21" s="92">
        <v>0</v>
      </c>
      <c r="DK21" s="18">
        <v>0</v>
      </c>
      <c r="DL21" s="92">
        <v>0</v>
      </c>
      <c r="DM21" s="18">
        <v>0</v>
      </c>
      <c r="DN21" s="92">
        <v>0</v>
      </c>
      <c r="DO21" s="18">
        <v>0</v>
      </c>
      <c r="DP21" s="92">
        <v>0</v>
      </c>
      <c r="DQ21" s="18">
        <v>0</v>
      </c>
      <c r="DR21" s="92">
        <v>0</v>
      </c>
      <c r="DS21" s="18">
        <v>0</v>
      </c>
      <c r="DT21" s="92">
        <v>0</v>
      </c>
      <c r="DU21" s="18">
        <v>0</v>
      </c>
      <c r="DV21" s="92">
        <v>0</v>
      </c>
      <c r="DW21" s="18">
        <v>12610</v>
      </c>
      <c r="DX21" s="92">
        <v>7.1774164886275588E-4</v>
      </c>
      <c r="DY21" s="18">
        <v>0</v>
      </c>
      <c r="DZ21" s="92">
        <v>0</v>
      </c>
      <c r="EA21" s="18">
        <v>0</v>
      </c>
      <c r="EB21" s="92">
        <v>0</v>
      </c>
      <c r="EC21" s="18">
        <v>0</v>
      </c>
      <c r="ED21" s="92">
        <v>0</v>
      </c>
      <c r="EE21" s="18">
        <v>0</v>
      </c>
      <c r="EF21" s="92">
        <v>0</v>
      </c>
      <c r="EG21" s="18">
        <v>0</v>
      </c>
      <c r="EH21" s="92">
        <v>0</v>
      </c>
      <c r="EI21" s="18">
        <v>79839</v>
      </c>
      <c r="EJ21" s="92">
        <v>4.8818870688012899E-3</v>
      </c>
      <c r="EK21" s="18">
        <v>73809</v>
      </c>
      <c r="EL21" s="92">
        <v>4.2551784628010215E-3</v>
      </c>
      <c r="EM21" s="18">
        <v>0</v>
      </c>
      <c r="EN21" s="92">
        <v>0</v>
      </c>
      <c r="EO21" s="18">
        <v>114913</v>
      </c>
      <c r="EP21" s="92">
        <v>6.5456275533479144E-3</v>
      </c>
      <c r="EQ21" s="18">
        <v>0</v>
      </c>
      <c r="ER21" s="92">
        <v>0</v>
      </c>
      <c r="ES21" s="18">
        <f t="shared" si="1"/>
        <v>0</v>
      </c>
      <c r="ET21" s="92">
        <f>ES21/ES24</f>
        <v>0</v>
      </c>
      <c r="EU21" s="221">
        <f>IF( SUM($EQ21:ES21)&lt;0, "n/a", SUM($EQ21:ES21)/EU$74)</f>
        <v>0</v>
      </c>
      <c r="EV21" s="224">
        <f>EU21/EU24</f>
        <v>0</v>
      </c>
      <c r="EW21" s="22"/>
      <c r="EX21" s="96" t="s">
        <v>57</v>
      </c>
      <c r="EY21" s="35">
        <f>IF(ISERROR(VLOOKUP(EX21,IQSH01E!$A$1:$M$400,2,0)),0,VLOOKUP(EX21,IQSH01E!$A$1:$M$400,2,0))</f>
        <v>0</v>
      </c>
      <c r="EZ21" s="182" t="s">
        <v>123</v>
      </c>
    </row>
    <row r="22" spans="1:156" ht="24" customHeight="1" x14ac:dyDescent="0.3">
      <c r="A22" s="5" t="s">
        <v>73</v>
      </c>
      <c r="B22" s="14" t="s">
        <v>82</v>
      </c>
      <c r="C22" s="18">
        <v>8093.56</v>
      </c>
      <c r="D22" s="92">
        <v>4.473397377516304E-4</v>
      </c>
      <c r="E22" s="18">
        <v>9600.51</v>
      </c>
      <c r="F22" s="92">
        <v>5.5473934523540456E-4</v>
      </c>
      <c r="G22" s="18">
        <v>784.12</v>
      </c>
      <c r="H22" s="92">
        <v>4.6212020259792397E-5</v>
      </c>
      <c r="I22" s="18">
        <v>2282.8200000000002</v>
      </c>
      <c r="J22" s="92">
        <v>1.7574529513881087E-4</v>
      </c>
      <c r="K22" s="18">
        <v>1814.88</v>
      </c>
      <c r="L22" s="92">
        <v>1.4781946352676909E-4</v>
      </c>
      <c r="M22" s="18">
        <v>567.33000000000004</v>
      </c>
      <c r="N22" s="92">
        <v>3.9052770155312589E-5</v>
      </c>
      <c r="O22" s="18">
        <v>970.09</v>
      </c>
      <c r="P22" s="92">
        <v>5.6392120773996318E-5</v>
      </c>
      <c r="Q22" s="18">
        <v>1071.21</v>
      </c>
      <c r="R22" s="92">
        <v>6.6156731119266441E-5</v>
      </c>
      <c r="S22" s="18">
        <v>1286.6600000000001</v>
      </c>
      <c r="T22" s="92">
        <v>6.9416856833198035E-5</v>
      </c>
      <c r="U22" s="18">
        <v>2858.46</v>
      </c>
      <c r="V22" s="92">
        <v>1.5469314958375144E-4</v>
      </c>
      <c r="W22" s="18">
        <v>572.30999999999995</v>
      </c>
      <c r="X22" s="92">
        <v>3.7915203752840784E-5</v>
      </c>
      <c r="Y22" s="18">
        <v>388.76</v>
      </c>
      <c r="Z22" s="92">
        <v>2.624097333399526E-5</v>
      </c>
      <c r="AA22" s="18">
        <v>1868.42</v>
      </c>
      <c r="AB22" s="92">
        <v>1.026968488661193E-4</v>
      </c>
      <c r="AC22" s="18">
        <v>767.93</v>
      </c>
      <c r="AD22" s="92">
        <v>5.0879648384069375E-5</v>
      </c>
      <c r="AE22" s="18">
        <v>696.58</v>
      </c>
      <c r="AF22" s="92">
        <v>3.2820185553007293E-5</v>
      </c>
      <c r="AG22" s="18">
        <v>260.26</v>
      </c>
      <c r="AH22" s="92">
        <v>1.3729810577580485E-5</v>
      </c>
      <c r="AI22" s="18">
        <v>1825.25</v>
      </c>
      <c r="AJ22" s="92">
        <v>1.154709716561173E-4</v>
      </c>
      <c r="AK22" s="18">
        <v>1370.49</v>
      </c>
      <c r="AL22" s="92">
        <v>6.5922609967102947E-5</v>
      </c>
      <c r="AM22" s="18">
        <v>4501.6000000000004</v>
      </c>
      <c r="AN22" s="92">
        <v>2.3320556566654084E-4</v>
      </c>
      <c r="AO22" s="18">
        <v>1264.8699999999999</v>
      </c>
      <c r="AP22" s="92">
        <v>6.7039701038476015E-5</v>
      </c>
      <c r="AQ22" s="18">
        <v>368</v>
      </c>
      <c r="AR22" s="92">
        <v>1.8406260530597404E-5</v>
      </c>
      <c r="AS22" s="18">
        <v>953.16</v>
      </c>
      <c r="AT22" s="92">
        <v>5.2280344376633331E-5</v>
      </c>
      <c r="AU22" s="18">
        <v>829.07</v>
      </c>
      <c r="AV22" s="92">
        <v>5.0639493390846754E-5</v>
      </c>
      <c r="AW22" s="18">
        <v>40933.07</v>
      </c>
      <c r="AX22" s="92">
        <v>2.6295476273540722E-3</v>
      </c>
      <c r="AY22" s="18">
        <v>1281.57</v>
      </c>
      <c r="AZ22" s="92">
        <v>7.0220179612180979E-5</v>
      </c>
      <c r="BA22" s="18">
        <v>1938.85</v>
      </c>
      <c r="BB22" s="92">
        <v>1.2126943944782961E-4</v>
      </c>
      <c r="BC22" s="18">
        <v>1520.32</v>
      </c>
      <c r="BD22" s="92">
        <v>6.8938920862494639E-5</v>
      </c>
      <c r="BE22" s="18">
        <v>1036.8900000000001</v>
      </c>
      <c r="BF22" s="92">
        <v>5.2500555206700387E-5</v>
      </c>
      <c r="BG22" s="18">
        <v>403.58</v>
      </c>
      <c r="BH22" s="92">
        <v>2.1860926828611364E-5</v>
      </c>
      <c r="BI22" s="18">
        <v>1537.98</v>
      </c>
      <c r="BJ22" s="92">
        <v>7.658099870475548E-5</v>
      </c>
      <c r="BK22" s="18">
        <v>36000.160000000003</v>
      </c>
      <c r="BL22" s="92">
        <v>2.3296978749398063E-3</v>
      </c>
      <c r="BM22" s="18">
        <v>17074.27</v>
      </c>
      <c r="BN22" s="92">
        <v>9.2120102965900091E-4</v>
      </c>
      <c r="BO22" s="18">
        <v>23233.31</v>
      </c>
      <c r="BP22" s="92">
        <v>1.362663829377978E-3</v>
      </c>
      <c r="BQ22" s="18">
        <v>5460.86</v>
      </c>
      <c r="BR22" s="92">
        <v>3.0752237622497193E-4</v>
      </c>
      <c r="BS22" s="18">
        <v>601.99</v>
      </c>
      <c r="BT22" s="92">
        <v>3.6169024965622165E-5</v>
      </c>
      <c r="BU22" s="18">
        <v>804.52</v>
      </c>
      <c r="BV22" s="92">
        <v>5.2633705109567199E-5</v>
      </c>
      <c r="BW22" s="18">
        <v>4118.7299999999996</v>
      </c>
      <c r="BX22" s="92">
        <v>2.4307561826450197E-4</v>
      </c>
      <c r="BY22" s="18">
        <v>1172.52</v>
      </c>
      <c r="BZ22" s="92">
        <v>6.5848036425840734E-5</v>
      </c>
      <c r="CA22" s="18">
        <v>835.28</v>
      </c>
      <c r="CB22" s="92">
        <v>4.0047811125915577E-5</v>
      </c>
      <c r="CC22" s="18">
        <v>1451.6</v>
      </c>
      <c r="CD22" s="92">
        <v>9.0815931722034978E-5</v>
      </c>
      <c r="CE22" s="18">
        <v>37364.43</v>
      </c>
      <c r="CF22" s="92">
        <v>2.4092662812221569E-3</v>
      </c>
      <c r="CG22" s="18">
        <v>1260.56</v>
      </c>
      <c r="CH22" s="92">
        <v>7.1222857224270209E-5</v>
      </c>
      <c r="CI22" s="18">
        <v>1241.23</v>
      </c>
      <c r="CJ22" s="92">
        <v>7.7053086275135089E-5</v>
      </c>
      <c r="CK22" s="18">
        <v>3710.8</v>
      </c>
      <c r="CL22" s="92">
        <v>1.9040343886220389E-4</v>
      </c>
      <c r="CM22" s="18">
        <v>1541.95</v>
      </c>
      <c r="CN22" s="92">
        <v>8.4042933683816439E-5</v>
      </c>
      <c r="CO22" s="18">
        <v>1938.87</v>
      </c>
      <c r="CP22" s="92">
        <v>9.8830737821072753E-5</v>
      </c>
      <c r="CQ22" s="18">
        <v>720.83</v>
      </c>
      <c r="CR22" s="92">
        <v>4.3398130043373578E-5</v>
      </c>
      <c r="CS22" s="18">
        <v>13865.03</v>
      </c>
      <c r="CT22" s="92">
        <v>8.7595482810356193E-4</v>
      </c>
      <c r="CU22" s="18">
        <v>501.99</v>
      </c>
      <c r="CV22" s="92">
        <v>2.5932466392988874E-5</v>
      </c>
      <c r="CW22" s="18">
        <v>1020.1</v>
      </c>
      <c r="CX22" s="92">
        <v>5.3346533807004811E-5</v>
      </c>
      <c r="CY22" s="18">
        <v>5713.42</v>
      </c>
      <c r="CZ22" s="92">
        <v>3.2112340220828586E-4</v>
      </c>
      <c r="DA22" s="18">
        <v>963.93</v>
      </c>
      <c r="DB22" s="92">
        <v>5.1155508515699249E-5</v>
      </c>
      <c r="DC22" s="18">
        <v>3446.19</v>
      </c>
      <c r="DD22" s="92">
        <v>1.9053191194566522E-4</v>
      </c>
      <c r="DE22" s="18">
        <v>3687.72</v>
      </c>
      <c r="DF22" s="92">
        <v>2.086148201993028E-4</v>
      </c>
      <c r="DG22" s="18">
        <v>2045.15</v>
      </c>
      <c r="DH22" s="92">
        <v>1.1469220427781033E-4</v>
      </c>
      <c r="DI22" s="18">
        <v>1104.3399999999999</v>
      </c>
      <c r="DJ22" s="92">
        <v>5.858394734253238E-5</v>
      </c>
      <c r="DK22" s="18">
        <v>6688.85</v>
      </c>
      <c r="DL22" s="92">
        <v>4.1395751088518697E-4</v>
      </c>
      <c r="DM22" s="18">
        <v>4146.74</v>
      </c>
      <c r="DN22" s="92">
        <v>2.2357174329598045E-4</v>
      </c>
      <c r="DO22" s="18">
        <v>1136.69</v>
      </c>
      <c r="DP22" s="92">
        <v>7.2698698411122434E-5</v>
      </c>
      <c r="DQ22" s="18">
        <v>1043.1199999999999</v>
      </c>
      <c r="DR22" s="92">
        <v>6.0790726599609485E-5</v>
      </c>
      <c r="DS22" s="18">
        <v>2232.9899999999998</v>
      </c>
      <c r="DT22" s="92">
        <v>1.1604100819043293E-4</v>
      </c>
      <c r="DU22" s="18">
        <v>1110.03</v>
      </c>
      <c r="DV22" s="92">
        <v>6.3757672143203311E-5</v>
      </c>
      <c r="DW22" s="18">
        <v>1351.78</v>
      </c>
      <c r="DX22" s="92">
        <v>7.694122173669279E-5</v>
      </c>
      <c r="DY22" s="18">
        <v>552.91999999999996</v>
      </c>
      <c r="DZ22" s="92">
        <v>3.2594523505086821E-5</v>
      </c>
      <c r="EA22" s="18">
        <v>558.76</v>
      </c>
      <c r="EB22" s="92">
        <v>3.3355805421290949E-5</v>
      </c>
      <c r="EC22" s="18">
        <v>745.76</v>
      </c>
      <c r="ED22" s="92">
        <v>4.4356544067929137E-5</v>
      </c>
      <c r="EE22" s="18">
        <v>2625.08</v>
      </c>
      <c r="EF22" s="92">
        <v>1.3816109392395038E-4</v>
      </c>
      <c r="EG22" s="18">
        <v>7894.4</v>
      </c>
      <c r="EH22" s="92">
        <v>4.4391308529974599E-4</v>
      </c>
      <c r="EI22" s="18">
        <v>12698.77</v>
      </c>
      <c r="EJ22" s="92">
        <v>7.7648719363571377E-4</v>
      </c>
      <c r="EK22" s="18">
        <v>1786.98</v>
      </c>
      <c r="EL22" s="92">
        <v>1.0302156660374981E-4</v>
      </c>
      <c r="EM22" s="18">
        <v>927.61</v>
      </c>
      <c r="EN22" s="92">
        <v>6.3318409564883411E-5</v>
      </c>
      <c r="EO22" s="18">
        <v>26647.79</v>
      </c>
      <c r="EP22" s="92">
        <v>1.5179005722575254E-3</v>
      </c>
      <c r="EQ22" s="18">
        <v>9880.49</v>
      </c>
      <c r="ER22" s="92">
        <v>5.5862657756258532E-4</v>
      </c>
      <c r="ES22" s="18">
        <f t="shared" si="1"/>
        <v>1911.52</v>
      </c>
      <c r="ET22" s="92">
        <f>ES22/ES24</f>
        <v>1.0868466058865117E-4</v>
      </c>
      <c r="EU22" s="221">
        <f>IF( SUM($EQ22:ES22)&lt;0, "n/a", SUM($EQ22:ES22)/EU$74)</f>
        <v>5896.0052793132891</v>
      </c>
      <c r="EV22" s="224">
        <f>EU22/EU24</f>
        <v>3.3428923247985767E-4</v>
      </c>
      <c r="EW22" s="22"/>
      <c r="EX22" s="96" t="s">
        <v>18</v>
      </c>
      <c r="EY22" s="35">
        <f>IF(ISERROR(VLOOKUP(EX22,IQSH01E!$A$1:$M$400,2,0)),0,VLOOKUP(EX22,IQSH01E!$A$1:$M$400,2,0))</f>
        <v>1911.52</v>
      </c>
      <c r="EZ22" s="182" t="s">
        <v>118</v>
      </c>
    </row>
    <row r="23" spans="1:156" ht="24" customHeight="1" x14ac:dyDescent="0.3">
      <c r="A23" s="3"/>
      <c r="B23" s="14" t="s">
        <v>102</v>
      </c>
      <c r="C23" s="18">
        <v>0</v>
      </c>
      <c r="D23" s="92">
        <v>0</v>
      </c>
      <c r="E23" s="18">
        <v>12777</v>
      </c>
      <c r="F23" s="92">
        <v>7.3828417595239878E-4</v>
      </c>
      <c r="G23" s="18">
        <v>14827.06</v>
      </c>
      <c r="H23" s="92">
        <v>8.738310425867947E-4</v>
      </c>
      <c r="I23" s="18">
        <v>0</v>
      </c>
      <c r="J23" s="92">
        <v>0</v>
      </c>
      <c r="K23" s="18">
        <v>0</v>
      </c>
      <c r="L23" s="92">
        <v>0</v>
      </c>
      <c r="M23" s="18">
        <v>5788</v>
      </c>
      <c r="N23" s="92">
        <v>3.9842319930014146E-4</v>
      </c>
      <c r="O23" s="18">
        <v>0</v>
      </c>
      <c r="P23" s="92">
        <v>0</v>
      </c>
      <c r="Q23" s="18">
        <v>17524</v>
      </c>
      <c r="R23" s="92">
        <v>1.0822626339690865E-3</v>
      </c>
      <c r="S23" s="18">
        <v>31312</v>
      </c>
      <c r="T23" s="92">
        <v>1.6893201165506791E-3</v>
      </c>
      <c r="U23" s="18">
        <v>0</v>
      </c>
      <c r="V23" s="92">
        <v>0</v>
      </c>
      <c r="W23" s="18">
        <v>0</v>
      </c>
      <c r="X23" s="92">
        <v>0</v>
      </c>
      <c r="Y23" s="18">
        <v>19852</v>
      </c>
      <c r="Z23" s="92">
        <v>1.339993318825172E-3</v>
      </c>
      <c r="AA23" s="18">
        <v>8900</v>
      </c>
      <c r="AB23" s="92">
        <v>4.8918442047744175E-4</v>
      </c>
      <c r="AC23" s="18">
        <v>0</v>
      </c>
      <c r="AD23" s="92">
        <v>0</v>
      </c>
      <c r="AE23" s="18">
        <v>4368</v>
      </c>
      <c r="AF23" s="92">
        <v>2.0580345472958719E-4</v>
      </c>
      <c r="AG23" s="18">
        <v>0</v>
      </c>
      <c r="AH23" s="92">
        <v>0</v>
      </c>
      <c r="AI23" s="18">
        <v>1659</v>
      </c>
      <c r="AJ23" s="92">
        <v>1.0495348142857067E-4</v>
      </c>
      <c r="AK23" s="18">
        <v>0</v>
      </c>
      <c r="AL23" s="92">
        <v>0</v>
      </c>
      <c r="AM23" s="18">
        <v>1658.88</v>
      </c>
      <c r="AN23" s="92">
        <v>8.5938343871714784E-5</v>
      </c>
      <c r="AO23" s="18">
        <v>0</v>
      </c>
      <c r="AP23" s="92">
        <v>0</v>
      </c>
      <c r="AQ23" s="18">
        <v>8928</v>
      </c>
      <c r="AR23" s="92">
        <v>4.4655188591623268E-4</v>
      </c>
      <c r="AS23" s="18">
        <v>23720</v>
      </c>
      <c r="AT23" s="92">
        <v>1.3010300144925748E-3</v>
      </c>
      <c r="AU23" s="18">
        <v>0</v>
      </c>
      <c r="AV23" s="92">
        <v>0</v>
      </c>
      <c r="AW23" s="18">
        <v>0</v>
      </c>
      <c r="AX23" s="92">
        <v>0</v>
      </c>
      <c r="AY23" s="18">
        <v>0</v>
      </c>
      <c r="AZ23" s="92">
        <v>0</v>
      </c>
      <c r="BA23" s="18">
        <v>0</v>
      </c>
      <c r="BB23" s="92">
        <v>0</v>
      </c>
      <c r="BC23" s="18">
        <v>1659</v>
      </c>
      <c r="BD23" s="92">
        <v>7.5227366416858704E-5</v>
      </c>
      <c r="BE23" s="18">
        <v>0</v>
      </c>
      <c r="BF23" s="92">
        <v>0</v>
      </c>
      <c r="BG23" s="18">
        <v>0</v>
      </c>
      <c r="BH23" s="92">
        <v>0</v>
      </c>
      <c r="BI23" s="18">
        <v>0</v>
      </c>
      <c r="BJ23" s="92">
        <v>0</v>
      </c>
      <c r="BK23" s="18">
        <v>2464</v>
      </c>
      <c r="BL23" s="92">
        <v>1.5945416808846633E-4</v>
      </c>
      <c r="BM23" s="18">
        <v>0</v>
      </c>
      <c r="BN23" s="92">
        <v>0</v>
      </c>
      <c r="BO23" s="18">
        <v>0</v>
      </c>
      <c r="BP23" s="92">
        <v>0</v>
      </c>
      <c r="BQ23" s="18">
        <v>0</v>
      </c>
      <c r="BR23" s="92">
        <v>0</v>
      </c>
      <c r="BS23" s="18">
        <v>0</v>
      </c>
      <c r="BT23" s="92">
        <v>0</v>
      </c>
      <c r="BU23" s="18">
        <v>0</v>
      </c>
      <c r="BV23" s="92">
        <v>0</v>
      </c>
      <c r="BW23" s="18">
        <v>11596</v>
      </c>
      <c r="BX23" s="92">
        <v>6.8436262376877469E-4</v>
      </c>
      <c r="BY23" s="18">
        <v>23192</v>
      </c>
      <c r="BZ23" s="92">
        <v>1.3024491358681288E-3</v>
      </c>
      <c r="CA23" s="18">
        <v>0</v>
      </c>
      <c r="CB23" s="92">
        <v>0</v>
      </c>
      <c r="CC23" s="18">
        <v>0</v>
      </c>
      <c r="CD23" s="92">
        <v>0</v>
      </c>
      <c r="CE23" s="18">
        <v>0</v>
      </c>
      <c r="CF23" s="92">
        <v>0</v>
      </c>
      <c r="CG23" s="18">
        <v>0</v>
      </c>
      <c r="CH23" s="92">
        <v>0</v>
      </c>
      <c r="CI23" s="18">
        <v>0</v>
      </c>
      <c r="CJ23" s="92">
        <v>0</v>
      </c>
      <c r="CK23" s="18">
        <v>0</v>
      </c>
      <c r="CL23" s="92">
        <v>0</v>
      </c>
      <c r="CM23" s="18">
        <v>0</v>
      </c>
      <c r="CN23" s="92">
        <v>0</v>
      </c>
      <c r="CO23" s="18">
        <v>0</v>
      </c>
      <c r="CP23" s="92">
        <v>0</v>
      </c>
      <c r="CQ23" s="18">
        <v>0</v>
      </c>
      <c r="CR23" s="92">
        <v>0</v>
      </c>
      <c r="CS23" s="18">
        <v>0</v>
      </c>
      <c r="CT23" s="92">
        <v>0</v>
      </c>
      <c r="CU23" s="18">
        <v>0</v>
      </c>
      <c r="CV23" s="92">
        <v>0</v>
      </c>
      <c r="CW23" s="18">
        <v>0</v>
      </c>
      <c r="CX23" s="92">
        <v>0</v>
      </c>
      <c r="CY23" s="18">
        <v>0</v>
      </c>
      <c r="CZ23" s="92">
        <v>0</v>
      </c>
      <c r="DA23" s="18">
        <v>0</v>
      </c>
      <c r="DB23" s="92">
        <v>0</v>
      </c>
      <c r="DC23" s="18">
        <v>0</v>
      </c>
      <c r="DD23" s="92">
        <v>0</v>
      </c>
      <c r="DE23" s="18">
        <v>1280</v>
      </c>
      <c r="DF23" s="92">
        <v>7.2409773479306338E-5</v>
      </c>
      <c r="DG23" s="18">
        <v>0</v>
      </c>
      <c r="DH23" s="92">
        <v>0</v>
      </c>
      <c r="DI23" s="18">
        <v>0</v>
      </c>
      <c r="DJ23" s="92">
        <v>0</v>
      </c>
      <c r="DK23" s="18">
        <v>0</v>
      </c>
      <c r="DL23" s="92">
        <v>0</v>
      </c>
      <c r="DM23" s="18">
        <v>0</v>
      </c>
      <c r="DN23" s="92">
        <v>0</v>
      </c>
      <c r="DO23" s="18">
        <v>10980</v>
      </c>
      <c r="DP23" s="92">
        <v>7.0224221956217102E-4</v>
      </c>
      <c r="DQ23" s="18">
        <v>0</v>
      </c>
      <c r="DR23" s="92">
        <v>0</v>
      </c>
      <c r="DS23" s="18">
        <v>0</v>
      </c>
      <c r="DT23" s="92">
        <v>0</v>
      </c>
      <c r="DU23" s="18">
        <v>0</v>
      </c>
      <c r="DV23" s="92">
        <v>0</v>
      </c>
      <c r="DW23" s="18">
        <v>0</v>
      </c>
      <c r="DX23" s="92">
        <v>0</v>
      </c>
      <c r="DY23" s="18">
        <v>0</v>
      </c>
      <c r="DZ23" s="92">
        <v>0</v>
      </c>
      <c r="EA23" s="18">
        <v>0</v>
      </c>
      <c r="EB23" s="92">
        <v>0</v>
      </c>
      <c r="EC23" s="18">
        <v>0</v>
      </c>
      <c r="ED23" s="92">
        <v>0</v>
      </c>
      <c r="EE23" s="18">
        <v>0</v>
      </c>
      <c r="EF23" s="92">
        <v>0</v>
      </c>
      <c r="EG23" s="18">
        <v>21421</v>
      </c>
      <c r="EH23" s="92">
        <v>1.2045326054172399E-3</v>
      </c>
      <c r="EI23" s="18">
        <v>0</v>
      </c>
      <c r="EJ23" s="92">
        <v>0</v>
      </c>
      <c r="EK23" s="18">
        <v>5075.49</v>
      </c>
      <c r="EL23" s="92">
        <v>2.9260816074139949E-4</v>
      </c>
      <c r="EM23" s="18">
        <v>7566</v>
      </c>
      <c r="EN23" s="92">
        <v>5.1645312875875414E-4</v>
      </c>
      <c r="EO23" s="18">
        <v>0</v>
      </c>
      <c r="EP23" s="92">
        <v>0</v>
      </c>
      <c r="EQ23" s="18">
        <v>0</v>
      </c>
      <c r="ER23" s="92">
        <v>0</v>
      </c>
      <c r="ES23" s="18">
        <f t="shared" si="1"/>
        <v>0</v>
      </c>
      <c r="ET23" s="92">
        <f>ES23/ES24</f>
        <v>0</v>
      </c>
      <c r="EU23" s="221">
        <f>IF( SUM($EQ23:ES23)&lt;0, "n/a", SUM($EQ23:ES23)/EU$74)</f>
        <v>0</v>
      </c>
      <c r="EV23" s="224">
        <f>EU23/EU24</f>
        <v>0</v>
      </c>
      <c r="EW23" s="22"/>
      <c r="EX23" s="96" t="s">
        <v>119</v>
      </c>
      <c r="EY23" s="35">
        <f>IF(ISERROR(VLOOKUP(EX23,IQSH01E!$A$1:$M$400,2,0)),0,VLOOKUP(EX23,IQSH01E!$A$1:$M$400,2,0))</f>
        <v>0</v>
      </c>
      <c r="EZ23" s="182" t="s">
        <v>123</v>
      </c>
    </row>
    <row r="24" spans="1:156" ht="24" customHeight="1" thickBot="1" x14ac:dyDescent="0.35">
      <c r="A24" s="3"/>
      <c r="B24" s="15" t="s">
        <v>83</v>
      </c>
      <c r="C24" s="19">
        <v>18092647.079999998</v>
      </c>
      <c r="D24" s="95">
        <v>1</v>
      </c>
      <c r="E24" s="19">
        <v>17306344.109999999</v>
      </c>
      <c r="F24" s="95">
        <v>1</v>
      </c>
      <c r="G24" s="19">
        <v>16967879.690000001</v>
      </c>
      <c r="H24" s="95">
        <v>1</v>
      </c>
      <c r="I24" s="19">
        <v>12989366.220000001</v>
      </c>
      <c r="J24" s="95">
        <v>1</v>
      </c>
      <c r="K24" s="19">
        <v>12277679.520000001</v>
      </c>
      <c r="L24" s="95">
        <v>1</v>
      </c>
      <c r="M24" s="19">
        <v>14527266.51</v>
      </c>
      <c r="N24" s="95">
        <v>1</v>
      </c>
      <c r="O24" s="19">
        <v>17202580.550000001</v>
      </c>
      <c r="P24" s="95">
        <v>1</v>
      </c>
      <c r="Q24" s="19">
        <v>16192003.170000002</v>
      </c>
      <c r="R24" s="95">
        <v>1</v>
      </c>
      <c r="S24" s="19">
        <v>18535267.350000001</v>
      </c>
      <c r="T24" s="95">
        <v>1</v>
      </c>
      <c r="U24" s="19">
        <v>18478258.459999997</v>
      </c>
      <c r="V24" s="95">
        <v>1</v>
      </c>
      <c r="W24" s="19">
        <v>15094472.49</v>
      </c>
      <c r="X24" s="95">
        <v>1</v>
      </c>
      <c r="Y24" s="19">
        <v>14814999.239999998</v>
      </c>
      <c r="Z24" s="95">
        <v>1</v>
      </c>
      <c r="AA24" s="19">
        <v>18193547.520000003</v>
      </c>
      <c r="AB24" s="95">
        <v>1</v>
      </c>
      <c r="AC24" s="19">
        <v>15093068.140000001</v>
      </c>
      <c r="AD24" s="95">
        <v>1</v>
      </c>
      <c r="AE24" s="19">
        <v>21224133.510000002</v>
      </c>
      <c r="AF24" s="95">
        <v>1</v>
      </c>
      <c r="AG24" s="19">
        <v>18955833.260000002</v>
      </c>
      <c r="AH24" s="95">
        <v>1</v>
      </c>
      <c r="AI24" s="19">
        <v>15807003.039999999</v>
      </c>
      <c r="AJ24" s="95">
        <v>1</v>
      </c>
      <c r="AK24" s="19">
        <v>20789377.129999999</v>
      </c>
      <c r="AL24" s="95">
        <v>1</v>
      </c>
      <c r="AM24" s="19">
        <v>19303141.359999999</v>
      </c>
      <c r="AN24" s="95">
        <v>1</v>
      </c>
      <c r="AO24" s="19">
        <v>18867476.739999998</v>
      </c>
      <c r="AP24" s="95">
        <v>1</v>
      </c>
      <c r="AQ24" s="19">
        <v>19993197.389999997</v>
      </c>
      <c r="AR24" s="95">
        <v>1</v>
      </c>
      <c r="AS24" s="19">
        <v>18231708.52</v>
      </c>
      <c r="AT24" s="95">
        <v>1</v>
      </c>
      <c r="AU24" s="19">
        <v>16372004.229999999</v>
      </c>
      <c r="AV24" s="95">
        <v>1</v>
      </c>
      <c r="AW24" s="19">
        <v>15566582.470000003</v>
      </c>
      <c r="AX24" s="95">
        <v>1</v>
      </c>
      <c r="AY24" s="19">
        <v>18250736.57</v>
      </c>
      <c r="AZ24" s="95">
        <v>1</v>
      </c>
      <c r="BA24" s="19">
        <v>15987952.189999999</v>
      </c>
      <c r="BB24" s="95">
        <v>1</v>
      </c>
      <c r="BC24" s="19">
        <v>22053144.739999998</v>
      </c>
      <c r="BD24" s="95">
        <v>1</v>
      </c>
      <c r="BE24" s="19">
        <v>19750076.849999998</v>
      </c>
      <c r="BF24" s="95">
        <v>1</v>
      </c>
      <c r="BG24" s="19">
        <v>18461248.379999995</v>
      </c>
      <c r="BH24" s="95">
        <v>1</v>
      </c>
      <c r="BI24" s="19">
        <v>20083049.66</v>
      </c>
      <c r="BJ24" s="95">
        <v>1</v>
      </c>
      <c r="BK24" s="19">
        <v>15452716.16</v>
      </c>
      <c r="BL24" s="95">
        <v>1</v>
      </c>
      <c r="BM24" s="19">
        <v>18534792.57</v>
      </c>
      <c r="BN24" s="95">
        <v>1</v>
      </c>
      <c r="BO24" s="19">
        <v>17049920.529999997</v>
      </c>
      <c r="BP24" s="95">
        <v>1</v>
      </c>
      <c r="BQ24" s="19">
        <v>17757602.120000001</v>
      </c>
      <c r="BR24" s="95">
        <v>1</v>
      </c>
      <c r="BS24" s="19">
        <v>16643799.510000002</v>
      </c>
      <c r="BT24" s="95">
        <v>1</v>
      </c>
      <c r="BU24" s="19">
        <v>15285262.52</v>
      </c>
      <c r="BV24" s="95">
        <v>1</v>
      </c>
      <c r="BW24" s="19">
        <v>16944233.359999999</v>
      </c>
      <c r="BX24" s="95">
        <v>1</v>
      </c>
      <c r="BY24" s="19">
        <v>17806453.52</v>
      </c>
      <c r="BZ24" s="95">
        <v>1</v>
      </c>
      <c r="CA24" s="19">
        <v>20857070</v>
      </c>
      <c r="CB24" s="95">
        <v>1</v>
      </c>
      <c r="CC24" s="19">
        <v>15983979.6</v>
      </c>
      <c r="CD24" s="95">
        <v>1</v>
      </c>
      <c r="CE24" s="19">
        <v>15508634.43</v>
      </c>
      <c r="CF24" s="95">
        <v>1</v>
      </c>
      <c r="CG24" s="19">
        <v>17698812.559999995</v>
      </c>
      <c r="CH24" s="95">
        <v>1</v>
      </c>
      <c r="CI24" s="19">
        <v>16108764.23</v>
      </c>
      <c r="CJ24" s="95">
        <v>1</v>
      </c>
      <c r="CK24" s="19">
        <v>19489143.800000001</v>
      </c>
      <c r="CL24" s="95">
        <v>1</v>
      </c>
      <c r="CM24" s="19">
        <v>18347170.100000001</v>
      </c>
      <c r="CN24" s="95">
        <v>1</v>
      </c>
      <c r="CO24" s="19">
        <v>19618086.870000001</v>
      </c>
      <c r="CP24" s="95">
        <v>1</v>
      </c>
      <c r="CQ24" s="19">
        <v>16609701.829999998</v>
      </c>
      <c r="CR24" s="95">
        <v>1</v>
      </c>
      <c r="CS24" s="19">
        <v>15828476.030000001</v>
      </c>
      <c r="CT24" s="95">
        <v>1</v>
      </c>
      <c r="CU24" s="19">
        <v>19357587.989999998</v>
      </c>
      <c r="CV24" s="95">
        <v>1</v>
      </c>
      <c r="CW24" s="19">
        <v>19122142.100000001</v>
      </c>
      <c r="CX24" s="95">
        <v>1</v>
      </c>
      <c r="CY24" s="19">
        <v>17791976.420000006</v>
      </c>
      <c r="CZ24" s="95">
        <v>1</v>
      </c>
      <c r="DA24" s="19">
        <v>18843132.009999998</v>
      </c>
      <c r="DB24" s="95">
        <v>1</v>
      </c>
      <c r="DC24" s="19">
        <v>18087206.309999999</v>
      </c>
      <c r="DD24" s="95">
        <v>1</v>
      </c>
      <c r="DE24" s="19">
        <v>17677171.719999999</v>
      </c>
      <c r="DF24" s="95">
        <v>1</v>
      </c>
      <c r="DG24" s="19">
        <v>17831639.149999999</v>
      </c>
      <c r="DH24" s="95">
        <v>1</v>
      </c>
      <c r="DI24" s="19">
        <v>18850556.34</v>
      </c>
      <c r="DJ24" s="95">
        <v>1</v>
      </c>
      <c r="DK24" s="19">
        <v>16158300.85</v>
      </c>
      <c r="DL24" s="95">
        <v>1</v>
      </c>
      <c r="DM24" s="19">
        <v>18547692.739999998</v>
      </c>
      <c r="DN24" s="95">
        <v>1</v>
      </c>
      <c r="DO24" s="19">
        <v>15635630.689999999</v>
      </c>
      <c r="DP24" s="95">
        <v>1</v>
      </c>
      <c r="DQ24" s="19">
        <v>17159196.120000001</v>
      </c>
      <c r="DR24" s="95">
        <v>1</v>
      </c>
      <c r="DS24" s="19">
        <v>19243110.989999998</v>
      </c>
      <c r="DT24" s="95">
        <v>1</v>
      </c>
      <c r="DU24" s="19">
        <v>17410140.030000001</v>
      </c>
      <c r="DV24" s="95">
        <v>1</v>
      </c>
      <c r="DW24" s="19">
        <v>17568995.780000001</v>
      </c>
      <c r="DX24" s="95">
        <v>1</v>
      </c>
      <c r="DY24" s="19">
        <v>16963585.920000002</v>
      </c>
      <c r="DZ24" s="95">
        <v>1</v>
      </c>
      <c r="EA24" s="19">
        <v>16751506.760000002</v>
      </c>
      <c r="EB24" s="95">
        <v>1</v>
      </c>
      <c r="EC24" s="19">
        <v>16812851.760000002</v>
      </c>
      <c r="ED24" s="95">
        <v>1</v>
      </c>
      <c r="EE24" s="19">
        <v>19000139.079999998</v>
      </c>
      <c r="EF24" s="95">
        <v>1</v>
      </c>
      <c r="EG24" s="19">
        <v>17783661.399999999</v>
      </c>
      <c r="EH24" s="95">
        <v>1</v>
      </c>
      <c r="EI24" s="19">
        <v>16354126.77</v>
      </c>
      <c r="EJ24" s="95">
        <v>1</v>
      </c>
      <c r="EK24" s="19">
        <v>17345688.469999999</v>
      </c>
      <c r="EL24" s="95">
        <v>1</v>
      </c>
      <c r="EM24" s="19">
        <v>14649925.77</v>
      </c>
      <c r="EN24" s="95">
        <v>1</v>
      </c>
      <c r="EO24" s="19">
        <v>17555688.75</v>
      </c>
      <c r="EP24" s="95">
        <v>1</v>
      </c>
      <c r="EQ24" s="19">
        <v>17687110.489999998</v>
      </c>
      <c r="ER24" s="95">
        <v>1</v>
      </c>
      <c r="ES24" s="19">
        <f>SUM(ES17:ES23)</f>
        <v>17587762.52</v>
      </c>
      <c r="ET24" s="95">
        <f>ES24/ES24</f>
        <v>1</v>
      </c>
      <c r="EU24" s="225">
        <f>IF( SUM($EQ24:ES24)&lt;0, "n/a", SUM($EQ24:ES24)/EU$74)</f>
        <v>17637437.004999999</v>
      </c>
      <c r="EV24" s="226">
        <f>EU24/EU24</f>
        <v>1</v>
      </c>
      <c r="EW24" s="22"/>
      <c r="EX24" s="100" t="s">
        <v>148</v>
      </c>
      <c r="EY24" s="103">
        <f>IF(ISERROR(VLOOKUP(EX24,IQSH01E!$A$1:$M$400,2,0)),0,VLOOKUP(EX24,IQSH01E!$A$1:$M$400,2,0))</f>
        <v>0</v>
      </c>
      <c r="EZ24" s="186"/>
    </row>
    <row r="25" spans="1:156" ht="24" customHeight="1" x14ac:dyDescent="0.3">
      <c r="A25" s="3"/>
      <c r="B25" s="14" t="s">
        <v>88</v>
      </c>
      <c r="C25" s="18">
        <v>893728.52</v>
      </c>
      <c r="D25" s="24"/>
      <c r="E25" s="18">
        <v>786606.78</v>
      </c>
      <c r="F25" s="24"/>
      <c r="G25" s="18">
        <v>673124.24</v>
      </c>
      <c r="H25" s="24"/>
      <c r="I25" s="18">
        <v>628177</v>
      </c>
      <c r="J25" s="24"/>
      <c r="K25" s="18">
        <v>644433.76</v>
      </c>
      <c r="L25" s="24"/>
      <c r="M25" s="18">
        <v>822100.75</v>
      </c>
      <c r="N25" s="24"/>
      <c r="O25" s="18">
        <v>620435</v>
      </c>
      <c r="P25" s="24"/>
      <c r="Q25" s="18">
        <v>497795</v>
      </c>
      <c r="R25" s="24"/>
      <c r="S25" s="18">
        <v>718634.32</v>
      </c>
      <c r="T25" s="24"/>
      <c r="U25" s="18">
        <v>770340.39</v>
      </c>
      <c r="V25" s="24"/>
      <c r="W25" s="18">
        <v>468678</v>
      </c>
      <c r="X25" s="24"/>
      <c r="Y25" s="18">
        <v>727137.8</v>
      </c>
      <c r="Z25" s="24"/>
      <c r="AA25" s="18">
        <v>872419.45</v>
      </c>
      <c r="AB25" s="24"/>
      <c r="AC25" s="18">
        <v>603396</v>
      </c>
      <c r="AD25" s="24"/>
      <c r="AE25" s="18">
        <v>751557</v>
      </c>
      <c r="AF25" s="24"/>
      <c r="AG25" s="18">
        <v>330451.33</v>
      </c>
      <c r="AH25" s="24"/>
      <c r="AI25" s="18">
        <v>318268</v>
      </c>
      <c r="AJ25" s="24"/>
      <c r="AK25" s="18">
        <v>753966</v>
      </c>
      <c r="AL25" s="24"/>
      <c r="AM25" s="18">
        <v>595369</v>
      </c>
      <c r="AN25" s="24"/>
      <c r="AO25" s="18">
        <v>627756</v>
      </c>
      <c r="AP25" s="24"/>
      <c r="AQ25" s="18">
        <v>473744.6</v>
      </c>
      <c r="AR25" s="24"/>
      <c r="AS25" s="18">
        <v>554924.80000000005</v>
      </c>
      <c r="AT25" s="24"/>
      <c r="AU25" s="18">
        <v>774488.85</v>
      </c>
      <c r="AV25" s="24"/>
      <c r="AW25" s="18">
        <v>426515</v>
      </c>
      <c r="AX25" s="24"/>
      <c r="AY25" s="18">
        <v>548575.75</v>
      </c>
      <c r="AZ25" s="24"/>
      <c r="BA25" s="18">
        <v>634314.84</v>
      </c>
      <c r="BB25" s="24"/>
      <c r="BC25" s="18">
        <v>1004928</v>
      </c>
      <c r="BD25" s="24"/>
      <c r="BE25" s="18">
        <v>522233.35</v>
      </c>
      <c r="BF25" s="24"/>
      <c r="BG25" s="18">
        <v>695655</v>
      </c>
      <c r="BH25" s="24"/>
      <c r="BI25" s="18">
        <v>717600.3</v>
      </c>
      <c r="BJ25" s="24"/>
      <c r="BK25" s="18">
        <v>793738.8</v>
      </c>
      <c r="BL25" s="24"/>
      <c r="BM25" s="18">
        <v>793099.18</v>
      </c>
      <c r="BN25" s="24"/>
      <c r="BO25" s="18">
        <v>753944</v>
      </c>
      <c r="BP25" s="24"/>
      <c r="BQ25" s="18">
        <v>793586</v>
      </c>
      <c r="BR25" s="24"/>
      <c r="BS25" s="18">
        <v>525704</v>
      </c>
      <c r="BT25" s="24"/>
      <c r="BU25" s="18">
        <v>668393</v>
      </c>
      <c r="BV25" s="24"/>
      <c r="BW25" s="18">
        <v>636427</v>
      </c>
      <c r="BX25" s="24"/>
      <c r="BY25" s="18">
        <v>561613</v>
      </c>
      <c r="BZ25" s="24"/>
      <c r="CA25" s="18">
        <v>777161.2</v>
      </c>
      <c r="CB25" s="24"/>
      <c r="CC25" s="18">
        <v>595122</v>
      </c>
      <c r="CD25" s="24"/>
      <c r="CE25" s="18">
        <v>544950</v>
      </c>
      <c r="CF25" s="24"/>
      <c r="CG25" s="18">
        <v>662867</v>
      </c>
      <c r="CH25" s="24"/>
      <c r="CI25" s="18">
        <v>632718</v>
      </c>
      <c r="CJ25" s="24"/>
      <c r="CK25" s="18">
        <v>560043</v>
      </c>
      <c r="CL25" s="24"/>
      <c r="CM25" s="18">
        <v>775281</v>
      </c>
      <c r="CN25" s="24"/>
      <c r="CO25" s="18">
        <v>541911</v>
      </c>
      <c r="CP25" s="24"/>
      <c r="CQ25" s="18">
        <v>677146</v>
      </c>
      <c r="CR25" s="24"/>
      <c r="CS25" s="18">
        <v>392667.87</v>
      </c>
      <c r="CT25" s="24"/>
      <c r="CU25" s="18">
        <v>714243</v>
      </c>
      <c r="CV25" s="24"/>
      <c r="CW25" s="18">
        <v>558949</v>
      </c>
      <c r="CX25" s="24"/>
      <c r="CY25" s="18">
        <v>714536</v>
      </c>
      <c r="CZ25" s="24"/>
      <c r="DA25" s="18">
        <v>667426</v>
      </c>
      <c r="DB25" s="24"/>
      <c r="DC25" s="18">
        <v>633530</v>
      </c>
      <c r="DD25" s="24"/>
      <c r="DE25" s="18">
        <v>533467</v>
      </c>
      <c r="DF25" s="24"/>
      <c r="DG25" s="18">
        <v>697743.98</v>
      </c>
      <c r="DH25" s="24"/>
      <c r="DI25" s="18">
        <v>652017</v>
      </c>
      <c r="DJ25" s="24"/>
      <c r="DK25" s="18">
        <v>563428</v>
      </c>
      <c r="DL25" s="24"/>
      <c r="DM25" s="18">
        <v>627842</v>
      </c>
      <c r="DN25" s="24"/>
      <c r="DO25" s="18">
        <v>500326</v>
      </c>
      <c r="DP25" s="24"/>
      <c r="DQ25" s="18">
        <v>624083.24</v>
      </c>
      <c r="DR25" s="24"/>
      <c r="DS25" s="18">
        <v>642999</v>
      </c>
      <c r="DT25" s="24"/>
      <c r="DU25" s="18">
        <v>668314</v>
      </c>
      <c r="DV25" s="24"/>
      <c r="DW25" s="18">
        <v>482361</v>
      </c>
      <c r="DX25" s="24"/>
      <c r="DY25" s="18">
        <v>574408</v>
      </c>
      <c r="DZ25" s="24"/>
      <c r="EA25" s="18">
        <v>525550</v>
      </c>
      <c r="EB25" s="24"/>
      <c r="EC25" s="18">
        <v>583534</v>
      </c>
      <c r="ED25" s="24"/>
      <c r="EE25" s="18">
        <v>861893</v>
      </c>
      <c r="EF25" s="24"/>
      <c r="EG25" s="18">
        <v>776624</v>
      </c>
      <c r="EH25" s="24"/>
      <c r="EI25" s="18">
        <v>950217</v>
      </c>
      <c r="EJ25" s="24"/>
      <c r="EK25" s="18">
        <v>898016.49</v>
      </c>
      <c r="EL25" s="24"/>
      <c r="EM25" s="18">
        <v>608623</v>
      </c>
      <c r="EN25" s="24"/>
      <c r="EO25" s="18">
        <v>750750</v>
      </c>
      <c r="EP25" s="24"/>
      <c r="EQ25" s="18">
        <v>556123</v>
      </c>
      <c r="ER25" s="24"/>
      <c r="ES25" s="18">
        <f>+$EY25</f>
        <v>592413</v>
      </c>
      <c r="ET25" s="24"/>
      <c r="EU25" s="221">
        <f>IF( SUM($EQ25:ES25)&lt;0, "n/a", SUM($EQ25:ES25)/EU$74)</f>
        <v>574268</v>
      </c>
      <c r="EV25" s="227"/>
      <c r="EW25" s="22"/>
      <c r="EX25" s="96" t="s">
        <v>7</v>
      </c>
      <c r="EY25" s="35">
        <f>IF(ISERROR(VLOOKUP(EX25,IQSH01E!$A$1:$M$400,2,0)),0,VLOOKUP(EX25,IQSH01E!$A$1:$M$400,2,0))</f>
        <v>592413</v>
      </c>
      <c r="EZ25" s="182" t="s">
        <v>118</v>
      </c>
    </row>
    <row r="26" spans="1:156" ht="24" customHeight="1" x14ac:dyDescent="0.3">
      <c r="A26" s="3"/>
      <c r="B26" s="14" t="s">
        <v>71</v>
      </c>
      <c r="C26" s="18">
        <v>129287</v>
      </c>
      <c r="D26" s="24"/>
      <c r="E26" s="18">
        <v>97515</v>
      </c>
      <c r="F26" s="24"/>
      <c r="G26" s="18">
        <v>121385</v>
      </c>
      <c r="H26" s="24"/>
      <c r="I26" s="18">
        <v>53965</v>
      </c>
      <c r="J26" s="24"/>
      <c r="K26" s="18">
        <v>34849</v>
      </c>
      <c r="L26" s="24"/>
      <c r="M26" s="18">
        <v>230918</v>
      </c>
      <c r="N26" s="24"/>
      <c r="O26" s="18">
        <v>174306</v>
      </c>
      <c r="P26" s="24"/>
      <c r="Q26" s="18">
        <v>96785</v>
      </c>
      <c r="R26" s="24"/>
      <c r="S26" s="18">
        <v>117620.52</v>
      </c>
      <c r="T26" s="24"/>
      <c r="U26" s="18">
        <v>78316.960000000006</v>
      </c>
      <c r="V26" s="24"/>
      <c r="W26" s="18">
        <v>57532</v>
      </c>
      <c r="X26" s="24"/>
      <c r="Y26" s="18">
        <v>99256</v>
      </c>
      <c r="Z26" s="24"/>
      <c r="AA26" s="18">
        <v>295787</v>
      </c>
      <c r="AB26" s="24"/>
      <c r="AC26" s="18">
        <v>159679</v>
      </c>
      <c r="AD26" s="24"/>
      <c r="AE26" s="18">
        <v>21211</v>
      </c>
      <c r="AF26" s="24"/>
      <c r="AG26" s="18">
        <v>230381</v>
      </c>
      <c r="AH26" s="24"/>
      <c r="AI26" s="18">
        <v>228826</v>
      </c>
      <c r="AJ26" s="24"/>
      <c r="AK26" s="18">
        <v>64303</v>
      </c>
      <c r="AL26" s="24"/>
      <c r="AM26" s="18">
        <v>258096</v>
      </c>
      <c r="AN26" s="24"/>
      <c r="AO26" s="18">
        <v>0</v>
      </c>
      <c r="AP26" s="24"/>
      <c r="AQ26" s="18">
        <v>0</v>
      </c>
      <c r="AR26" s="24"/>
      <c r="AS26" s="18">
        <v>0</v>
      </c>
      <c r="AT26" s="24"/>
      <c r="AU26" s="18">
        <v>0</v>
      </c>
      <c r="AV26" s="24"/>
      <c r="AW26" s="18">
        <v>0</v>
      </c>
      <c r="AX26" s="24"/>
      <c r="AY26" s="18">
        <v>0</v>
      </c>
      <c r="AZ26" s="24"/>
      <c r="BA26" s="18">
        <v>0</v>
      </c>
      <c r="BB26" s="24"/>
      <c r="BC26" s="18">
        <v>0</v>
      </c>
      <c r="BD26" s="24"/>
      <c r="BE26" s="18">
        <v>0</v>
      </c>
      <c r="BF26" s="24"/>
      <c r="BG26" s="18">
        <v>0</v>
      </c>
      <c r="BH26" s="24"/>
      <c r="BI26" s="18">
        <v>0</v>
      </c>
      <c r="BJ26" s="24"/>
      <c r="BK26" s="18">
        <v>0</v>
      </c>
      <c r="BL26" s="24"/>
      <c r="BM26" s="18">
        <v>0</v>
      </c>
      <c r="BN26" s="24"/>
      <c r="BO26" s="18">
        <v>0</v>
      </c>
      <c r="BP26" s="24"/>
      <c r="BQ26" s="18">
        <v>0</v>
      </c>
      <c r="BR26" s="24"/>
      <c r="BS26" s="18">
        <v>0</v>
      </c>
      <c r="BT26" s="24"/>
      <c r="BU26" s="18">
        <v>0</v>
      </c>
      <c r="BV26" s="24"/>
      <c r="BW26" s="18">
        <v>0</v>
      </c>
      <c r="BX26" s="24"/>
      <c r="BY26" s="18">
        <v>0</v>
      </c>
      <c r="BZ26" s="24"/>
      <c r="CA26" s="18">
        <v>0</v>
      </c>
      <c r="CB26" s="24"/>
      <c r="CC26" s="18">
        <v>0</v>
      </c>
      <c r="CD26" s="24"/>
      <c r="CE26" s="18">
        <v>0</v>
      </c>
      <c r="CF26" s="24"/>
      <c r="CG26" s="18">
        <v>0</v>
      </c>
      <c r="CH26" s="24"/>
      <c r="CI26" s="18">
        <v>0</v>
      </c>
      <c r="CJ26" s="24"/>
      <c r="CK26" s="18">
        <v>0</v>
      </c>
      <c r="CL26" s="24"/>
      <c r="CM26" s="18">
        <v>0</v>
      </c>
      <c r="CN26" s="24"/>
      <c r="CO26" s="18">
        <v>0</v>
      </c>
      <c r="CP26" s="24"/>
      <c r="CQ26" s="18">
        <v>0</v>
      </c>
      <c r="CR26" s="24"/>
      <c r="CS26" s="18">
        <v>0</v>
      </c>
      <c r="CT26" s="24"/>
      <c r="CU26" s="18">
        <v>0</v>
      </c>
      <c r="CV26" s="24"/>
      <c r="CW26" s="18">
        <v>0</v>
      </c>
      <c r="CX26" s="24"/>
      <c r="CY26" s="18">
        <v>0</v>
      </c>
      <c r="CZ26" s="24"/>
      <c r="DA26" s="18">
        <v>0</v>
      </c>
      <c r="DB26" s="24"/>
      <c r="DC26" s="18">
        <v>0</v>
      </c>
      <c r="DD26" s="24"/>
      <c r="DE26" s="18">
        <v>0</v>
      </c>
      <c r="DF26" s="24"/>
      <c r="DG26" s="18">
        <v>0</v>
      </c>
      <c r="DH26" s="24"/>
      <c r="DI26" s="18">
        <v>0</v>
      </c>
      <c r="DJ26" s="24"/>
      <c r="DK26" s="18">
        <v>0</v>
      </c>
      <c r="DL26" s="24"/>
      <c r="DM26" s="18">
        <v>0</v>
      </c>
      <c r="DN26" s="24"/>
      <c r="DO26" s="18">
        <v>0</v>
      </c>
      <c r="DP26" s="24"/>
      <c r="DQ26" s="18">
        <v>0</v>
      </c>
      <c r="DR26" s="24"/>
      <c r="DS26" s="18">
        <v>0</v>
      </c>
      <c r="DT26" s="24"/>
      <c r="DU26" s="18">
        <v>0</v>
      </c>
      <c r="DV26" s="24"/>
      <c r="DW26" s="18">
        <v>0</v>
      </c>
      <c r="DX26" s="24"/>
      <c r="DY26" s="18">
        <v>0</v>
      </c>
      <c r="DZ26" s="24"/>
      <c r="EA26" s="18">
        <v>0</v>
      </c>
      <c r="EB26" s="24"/>
      <c r="EC26" s="18">
        <v>0</v>
      </c>
      <c r="ED26" s="24"/>
      <c r="EE26" s="18">
        <v>0</v>
      </c>
      <c r="EF26" s="24"/>
      <c r="EG26" s="18">
        <v>0</v>
      </c>
      <c r="EH26" s="24"/>
      <c r="EI26" s="18">
        <v>0</v>
      </c>
      <c r="EJ26" s="24"/>
      <c r="EK26" s="18">
        <v>0</v>
      </c>
      <c r="EL26" s="24"/>
      <c r="EM26" s="18">
        <v>0</v>
      </c>
      <c r="EN26" s="24"/>
      <c r="EO26" s="18">
        <v>0</v>
      </c>
      <c r="EP26" s="24"/>
      <c r="EQ26" s="18">
        <v>0</v>
      </c>
      <c r="ER26" s="24"/>
      <c r="ES26" s="18">
        <f>+$EY26</f>
        <v>0</v>
      </c>
      <c r="ET26" s="24"/>
      <c r="EU26" s="221">
        <f>IF( SUM($EQ26:ES26)&lt;0, "n/a", SUM($EQ26:ES26)/EU$74)</f>
        <v>0</v>
      </c>
      <c r="EV26" s="224"/>
      <c r="EW26" s="22"/>
      <c r="EX26" s="154" t="s">
        <v>2</v>
      </c>
      <c r="EY26" s="34">
        <f>IF(ISERROR(VLOOKUP(EX26,IQSH01E!$A$1:$M$400,2,0)),0,VLOOKUP(EX26,IQSH01E!$A$1:$M$400,2,0))</f>
        <v>0</v>
      </c>
      <c r="EZ26" s="187" t="s">
        <v>117</v>
      </c>
    </row>
    <row r="27" spans="1:156" ht="24" customHeight="1" thickBot="1" x14ac:dyDescent="0.35">
      <c r="A27" s="7"/>
      <c r="B27" s="16" t="s">
        <v>84</v>
      </c>
      <c r="C27" s="19">
        <v>19115662.599999998</v>
      </c>
      <c r="D27" s="25"/>
      <c r="E27" s="19">
        <v>18190465.890000001</v>
      </c>
      <c r="F27" s="25"/>
      <c r="G27" s="19">
        <v>17762388.93</v>
      </c>
      <c r="H27" s="25"/>
      <c r="I27" s="19">
        <v>13671508.220000001</v>
      </c>
      <c r="J27" s="25"/>
      <c r="K27" s="19">
        <v>12956962.280000001</v>
      </c>
      <c r="L27" s="25"/>
      <c r="M27" s="19">
        <v>15580285.26</v>
      </c>
      <c r="N27" s="25"/>
      <c r="O27" s="19">
        <v>17997321.550000001</v>
      </c>
      <c r="P27" s="25"/>
      <c r="Q27" s="19">
        <v>16786583.170000002</v>
      </c>
      <c r="R27" s="25"/>
      <c r="S27" s="19">
        <v>19371522.190000001</v>
      </c>
      <c r="T27" s="25"/>
      <c r="U27" s="19">
        <v>19326915.809999999</v>
      </c>
      <c r="V27" s="25"/>
      <c r="W27" s="19">
        <v>15620682.49</v>
      </c>
      <c r="X27" s="25"/>
      <c r="Y27" s="19">
        <v>15641393.039999999</v>
      </c>
      <c r="Z27" s="25"/>
      <c r="AA27" s="19">
        <v>19361753.970000003</v>
      </c>
      <c r="AB27" s="25"/>
      <c r="AC27" s="19">
        <v>15856143.140000001</v>
      </c>
      <c r="AD27" s="25"/>
      <c r="AE27" s="19">
        <v>21996901.510000002</v>
      </c>
      <c r="AF27" s="25"/>
      <c r="AG27" s="19">
        <v>19516665.59</v>
      </c>
      <c r="AH27" s="25"/>
      <c r="AI27" s="19">
        <v>16354097.039999999</v>
      </c>
      <c r="AJ27" s="25"/>
      <c r="AK27" s="19">
        <v>21607646.129999999</v>
      </c>
      <c r="AL27" s="25"/>
      <c r="AM27" s="19">
        <v>20156606.359999999</v>
      </c>
      <c r="AN27" s="25"/>
      <c r="AO27" s="19">
        <v>19495232.739999998</v>
      </c>
      <c r="AP27" s="25"/>
      <c r="AQ27" s="19">
        <v>20466941.989999998</v>
      </c>
      <c r="AR27" s="25"/>
      <c r="AS27" s="19">
        <v>18786633.32</v>
      </c>
      <c r="AT27" s="25"/>
      <c r="AU27" s="19">
        <v>17146493.079999998</v>
      </c>
      <c r="AV27" s="25"/>
      <c r="AW27" s="19">
        <v>15993097.470000003</v>
      </c>
      <c r="AX27" s="25"/>
      <c r="AY27" s="19">
        <v>18799312.32</v>
      </c>
      <c r="AZ27" s="25"/>
      <c r="BA27" s="19">
        <v>16622267.029999999</v>
      </c>
      <c r="BB27" s="25"/>
      <c r="BC27" s="19">
        <v>23058072.739999998</v>
      </c>
      <c r="BD27" s="25"/>
      <c r="BE27" s="19">
        <v>20272310.199999999</v>
      </c>
      <c r="BF27" s="25"/>
      <c r="BG27" s="19">
        <v>19156903.379999995</v>
      </c>
      <c r="BH27" s="25"/>
      <c r="BI27" s="19">
        <v>20800649.960000001</v>
      </c>
      <c r="BJ27" s="25"/>
      <c r="BK27" s="19">
        <v>16246454.960000001</v>
      </c>
      <c r="BL27" s="25"/>
      <c r="BM27" s="19">
        <v>19327891.75</v>
      </c>
      <c r="BN27" s="25"/>
      <c r="BO27" s="19">
        <v>17803864.529999997</v>
      </c>
      <c r="BP27" s="25"/>
      <c r="BQ27" s="19">
        <v>18551188.120000001</v>
      </c>
      <c r="BR27" s="25"/>
      <c r="BS27" s="19">
        <v>17169503.510000002</v>
      </c>
      <c r="BT27" s="25"/>
      <c r="BU27" s="19">
        <v>15953655.52</v>
      </c>
      <c r="BV27" s="25"/>
      <c r="BW27" s="19">
        <v>17580660.359999999</v>
      </c>
      <c r="BX27" s="25"/>
      <c r="BY27" s="19">
        <v>18368066.52</v>
      </c>
      <c r="BZ27" s="25"/>
      <c r="CA27" s="19">
        <v>21634231.199999999</v>
      </c>
      <c r="CB27" s="25"/>
      <c r="CC27" s="19">
        <v>16579101.6</v>
      </c>
      <c r="CD27" s="25"/>
      <c r="CE27" s="19">
        <v>16053584.43</v>
      </c>
      <c r="CF27" s="25"/>
      <c r="CG27" s="19">
        <v>18361679.559999995</v>
      </c>
      <c r="CH27" s="25"/>
      <c r="CI27" s="19">
        <v>16741482.23</v>
      </c>
      <c r="CJ27" s="25"/>
      <c r="CK27" s="19">
        <v>20049186.800000001</v>
      </c>
      <c r="CL27" s="25"/>
      <c r="CM27" s="19">
        <v>19122451.100000001</v>
      </c>
      <c r="CN27" s="25"/>
      <c r="CO27" s="19">
        <v>20159997.870000001</v>
      </c>
      <c r="CP27" s="25"/>
      <c r="CQ27" s="19">
        <v>17286847.829999998</v>
      </c>
      <c r="CR27" s="25"/>
      <c r="CS27" s="19">
        <v>16221143.9</v>
      </c>
      <c r="CT27" s="25"/>
      <c r="CU27" s="19">
        <v>20071830.989999998</v>
      </c>
      <c r="CV27" s="25"/>
      <c r="CW27" s="19">
        <v>19681091.100000001</v>
      </c>
      <c r="CX27" s="25"/>
      <c r="CY27" s="19">
        <v>18506512.420000006</v>
      </c>
      <c r="CZ27" s="25"/>
      <c r="DA27" s="19">
        <v>19510558.009999998</v>
      </c>
      <c r="DB27" s="25"/>
      <c r="DC27" s="19">
        <v>18720736.309999999</v>
      </c>
      <c r="DD27" s="25"/>
      <c r="DE27" s="19">
        <v>18210638.719999999</v>
      </c>
      <c r="DF27" s="25"/>
      <c r="DG27" s="19">
        <v>18529383.129999999</v>
      </c>
      <c r="DH27" s="25"/>
      <c r="DI27" s="19">
        <v>19502573.34</v>
      </c>
      <c r="DJ27" s="25"/>
      <c r="DK27" s="19">
        <v>16721728.85</v>
      </c>
      <c r="DL27" s="25"/>
      <c r="DM27" s="19">
        <v>19175534.739999998</v>
      </c>
      <c r="DN27" s="25"/>
      <c r="DO27" s="19">
        <v>16135956.689999999</v>
      </c>
      <c r="DP27" s="25"/>
      <c r="DQ27" s="19">
        <v>17783279.359999999</v>
      </c>
      <c r="DR27" s="25"/>
      <c r="DS27" s="19">
        <v>19886109.989999998</v>
      </c>
      <c r="DT27" s="25"/>
      <c r="DU27" s="19">
        <v>18078454.030000001</v>
      </c>
      <c r="DV27" s="25"/>
      <c r="DW27" s="19">
        <v>18051356.780000001</v>
      </c>
      <c r="DX27" s="25"/>
      <c r="DY27" s="19">
        <v>17537993.920000002</v>
      </c>
      <c r="DZ27" s="25"/>
      <c r="EA27" s="19">
        <v>17277056.760000002</v>
      </c>
      <c r="EB27" s="25"/>
      <c r="EC27" s="19">
        <v>17396385.760000002</v>
      </c>
      <c r="ED27" s="25"/>
      <c r="EE27" s="19">
        <v>19862032.079999998</v>
      </c>
      <c r="EF27" s="25"/>
      <c r="EG27" s="19">
        <v>18560285.399999999</v>
      </c>
      <c r="EH27" s="25"/>
      <c r="EI27" s="19">
        <v>17304343.77</v>
      </c>
      <c r="EJ27" s="25"/>
      <c r="EK27" s="19">
        <v>18243704.959999997</v>
      </c>
      <c r="EL27" s="25"/>
      <c r="EM27" s="19">
        <v>15258548.77</v>
      </c>
      <c r="EN27" s="25"/>
      <c r="EO27" s="19">
        <v>18306438.75</v>
      </c>
      <c r="EP27" s="25"/>
      <c r="EQ27" s="19">
        <v>18243233.489999998</v>
      </c>
      <c r="ER27" s="25"/>
      <c r="ES27" s="19">
        <f>SUM(ES24:ES26)</f>
        <v>18180175.52</v>
      </c>
      <c r="ET27" s="25"/>
      <c r="EU27" s="225">
        <f>IF( SUM($EQ27:ES27)&lt;0, "n/a", SUM($EQ27:ES27)/EU$74)</f>
        <v>18211704.504999999</v>
      </c>
      <c r="EV27" s="228"/>
      <c r="EW27" s="61"/>
      <c r="EX27" s="37" t="s">
        <v>46</v>
      </c>
      <c r="EY27" s="38">
        <f>IF(ISERROR(VLOOKUP(EX27,IQSH01E!$A$1:$M$400,2,0)),0,VLOOKUP(EX27,IQSH01E!$A$1:$M$400,2,0))</f>
        <v>18180175.52</v>
      </c>
      <c r="EZ27" s="188" t="s">
        <v>118</v>
      </c>
    </row>
    <row r="28" spans="1:156" ht="24" customHeight="1" thickBot="1" x14ac:dyDescent="0.35">
      <c r="A28" s="3"/>
      <c r="B28" s="14" t="s">
        <v>89</v>
      </c>
      <c r="C28" s="18">
        <v>0</v>
      </c>
      <c r="D28" s="92">
        <v>0</v>
      </c>
      <c r="E28" s="18">
        <v>0</v>
      </c>
      <c r="F28" s="92">
        <v>0</v>
      </c>
      <c r="G28" s="18">
        <v>0</v>
      </c>
      <c r="H28" s="92">
        <v>0</v>
      </c>
      <c r="I28" s="18">
        <v>0</v>
      </c>
      <c r="J28" s="92">
        <v>0</v>
      </c>
      <c r="K28" s="18">
        <v>0</v>
      </c>
      <c r="L28" s="92">
        <v>0</v>
      </c>
      <c r="M28" s="18">
        <v>175769</v>
      </c>
      <c r="N28" s="92">
        <v>0.10425355995577636</v>
      </c>
      <c r="O28" s="18">
        <v>178340</v>
      </c>
      <c r="P28" s="92">
        <v>9.1362330482252119E-2</v>
      </c>
      <c r="Q28" s="18">
        <v>129477</v>
      </c>
      <c r="R28" s="92">
        <v>6.4273289927504723E-2</v>
      </c>
      <c r="S28" s="18">
        <v>42000</v>
      </c>
      <c r="T28" s="92">
        <v>2.1313024389204242E-2</v>
      </c>
      <c r="U28" s="18">
        <v>206538</v>
      </c>
      <c r="V28" s="92">
        <v>0.11160373428176353</v>
      </c>
      <c r="W28" s="18">
        <v>208060</v>
      </c>
      <c r="X28" s="92">
        <v>0.11158521150025957</v>
      </c>
      <c r="Y28" s="18">
        <v>127208</v>
      </c>
      <c r="Z28" s="92">
        <v>7.3913061162116822E-2</v>
      </c>
      <c r="AA28" s="18">
        <v>212101</v>
      </c>
      <c r="AB28" s="92">
        <v>0.10383558317528793</v>
      </c>
      <c r="AC28" s="18">
        <v>125276</v>
      </c>
      <c r="AD28" s="92">
        <v>6.5046543409361848E-2</v>
      </c>
      <c r="AE28" s="18">
        <v>123680</v>
      </c>
      <c r="AF28" s="92">
        <v>5.9121448016577718E-2</v>
      </c>
      <c r="AG28" s="18">
        <v>123431</v>
      </c>
      <c r="AH28" s="92">
        <v>6.3591709806119751E-2</v>
      </c>
      <c r="AI28" s="18">
        <v>128535</v>
      </c>
      <c r="AJ28" s="92">
        <v>6.3177188087977676E-2</v>
      </c>
      <c r="AK28" s="18">
        <v>207557</v>
      </c>
      <c r="AL28" s="92">
        <v>0.10553003475179289</v>
      </c>
      <c r="AM28" s="18">
        <v>118056</v>
      </c>
      <c r="AN28" s="92">
        <v>5.9640658666148004E-2</v>
      </c>
      <c r="AO28" s="18">
        <v>83137</v>
      </c>
      <c r="AP28" s="92">
        <v>3.7695700295219584E-2</v>
      </c>
      <c r="AQ28" s="18">
        <v>208353</v>
      </c>
      <c r="AR28" s="92">
        <v>0.11936340434308106</v>
      </c>
      <c r="AS28" s="18">
        <v>168862</v>
      </c>
      <c r="AT28" s="92">
        <v>7.7240454380368362E-2</v>
      </c>
      <c r="AU28" s="18">
        <v>163964</v>
      </c>
      <c r="AV28" s="92">
        <v>7.4079663062321457E-2</v>
      </c>
      <c r="AW28" s="18">
        <v>123503</v>
      </c>
      <c r="AX28" s="92">
        <v>6.2563068119648069E-2</v>
      </c>
      <c r="AY28" s="18">
        <v>204001</v>
      </c>
      <c r="AZ28" s="92">
        <v>9.5528179269924782E-2</v>
      </c>
      <c r="BA28" s="18">
        <v>208506</v>
      </c>
      <c r="BB28" s="92">
        <v>0.14947888214520758</v>
      </c>
      <c r="BC28" s="18">
        <v>338041</v>
      </c>
      <c r="BD28" s="92">
        <v>0.16392934629220304</v>
      </c>
      <c r="BE28" s="18">
        <v>252045</v>
      </c>
      <c r="BF28" s="92">
        <v>0.12727045040141102</v>
      </c>
      <c r="BG28" s="18">
        <v>375382</v>
      </c>
      <c r="BH28" s="92">
        <v>0.15813834356254663</v>
      </c>
      <c r="BI28" s="18">
        <v>213977</v>
      </c>
      <c r="BJ28" s="92">
        <v>9.0111552405710657E-2</v>
      </c>
      <c r="BK28" s="18">
        <v>173761</v>
      </c>
      <c r="BL28" s="92">
        <v>7.7659172230212362E-2</v>
      </c>
      <c r="BM28" s="18">
        <v>257294</v>
      </c>
      <c r="BN28" s="92">
        <v>0.12599419228151276</v>
      </c>
      <c r="BO28" s="18">
        <v>171458</v>
      </c>
      <c r="BP28" s="92">
        <v>9.3251505714481514E-2</v>
      </c>
      <c r="BQ28" s="18">
        <v>215262</v>
      </c>
      <c r="BR28" s="92">
        <v>0.10252797750368652</v>
      </c>
      <c r="BS28" s="18">
        <v>173325</v>
      </c>
      <c r="BT28" s="92">
        <v>0.10240774145213676</v>
      </c>
      <c r="BU28" s="18">
        <v>85995</v>
      </c>
      <c r="BV28" s="92">
        <v>5.852046225687077E-2</v>
      </c>
      <c r="BW28" s="18">
        <v>210724</v>
      </c>
      <c r="BX28" s="92">
        <v>0.11425968751609729</v>
      </c>
      <c r="BY28" s="18">
        <v>0</v>
      </c>
      <c r="BZ28" s="92">
        <v>0</v>
      </c>
      <c r="CA28" s="18">
        <v>0</v>
      </c>
      <c r="CB28" s="92">
        <v>0</v>
      </c>
      <c r="CC28" s="18">
        <v>0</v>
      </c>
      <c r="CD28" s="92">
        <v>0</v>
      </c>
      <c r="CE28" s="18">
        <v>0</v>
      </c>
      <c r="CF28" s="92">
        <v>0</v>
      </c>
      <c r="CG28" s="18">
        <v>0</v>
      </c>
      <c r="CH28" s="92">
        <v>0</v>
      </c>
      <c r="CI28" s="18">
        <v>0</v>
      </c>
      <c r="CJ28" s="92">
        <v>0</v>
      </c>
      <c r="CK28" s="18">
        <v>0</v>
      </c>
      <c r="CL28" s="92">
        <v>0</v>
      </c>
      <c r="CM28" s="18">
        <v>0</v>
      </c>
      <c r="CN28" s="92">
        <v>0</v>
      </c>
      <c r="CO28" s="18">
        <v>0</v>
      </c>
      <c r="CP28" s="92">
        <v>0</v>
      </c>
      <c r="CQ28" s="18">
        <v>0</v>
      </c>
      <c r="CR28" s="92">
        <v>0</v>
      </c>
      <c r="CS28" s="18">
        <v>0</v>
      </c>
      <c r="CT28" s="92">
        <v>0</v>
      </c>
      <c r="CU28" s="18">
        <v>0</v>
      </c>
      <c r="CV28" s="92">
        <v>0</v>
      </c>
      <c r="CW28" s="18">
        <v>0</v>
      </c>
      <c r="CX28" s="92">
        <v>0</v>
      </c>
      <c r="CY28" s="18">
        <v>0</v>
      </c>
      <c r="CZ28" s="92">
        <v>0</v>
      </c>
      <c r="DA28" s="18">
        <v>0</v>
      </c>
      <c r="DB28" s="92">
        <v>0</v>
      </c>
      <c r="DC28" s="18">
        <v>0</v>
      </c>
      <c r="DD28" s="92">
        <v>0</v>
      </c>
      <c r="DE28" s="18">
        <v>0</v>
      </c>
      <c r="DF28" s="92">
        <v>0</v>
      </c>
      <c r="DG28" s="18">
        <v>0</v>
      </c>
      <c r="DH28" s="92">
        <v>0</v>
      </c>
      <c r="DI28" s="18">
        <v>0</v>
      </c>
      <c r="DJ28" s="92">
        <v>0</v>
      </c>
      <c r="DK28" s="18">
        <v>0</v>
      </c>
      <c r="DL28" s="92">
        <v>0</v>
      </c>
      <c r="DM28" s="18">
        <v>0</v>
      </c>
      <c r="DN28" s="92">
        <v>0</v>
      </c>
      <c r="DO28" s="18">
        <v>0</v>
      </c>
      <c r="DP28" s="92">
        <v>0</v>
      </c>
      <c r="DQ28" s="18">
        <v>0</v>
      </c>
      <c r="DR28" s="92">
        <v>0</v>
      </c>
      <c r="DS28" s="18">
        <v>0</v>
      </c>
      <c r="DT28" s="92">
        <v>0</v>
      </c>
      <c r="DU28" s="18">
        <v>0</v>
      </c>
      <c r="DV28" s="92">
        <v>0</v>
      </c>
      <c r="DW28" s="18">
        <v>0</v>
      </c>
      <c r="DX28" s="92">
        <v>0</v>
      </c>
      <c r="DY28" s="18">
        <v>0</v>
      </c>
      <c r="DZ28" s="92">
        <v>0</v>
      </c>
      <c r="EA28" s="18">
        <v>0</v>
      </c>
      <c r="EB28" s="92">
        <v>0</v>
      </c>
      <c r="EC28" s="18">
        <v>0</v>
      </c>
      <c r="ED28" s="92">
        <v>0</v>
      </c>
      <c r="EE28" s="18">
        <v>0</v>
      </c>
      <c r="EF28" s="92">
        <v>0</v>
      </c>
      <c r="EG28" s="18">
        <v>0</v>
      </c>
      <c r="EH28" s="92">
        <v>0</v>
      </c>
      <c r="EI28" s="18">
        <v>0</v>
      </c>
      <c r="EJ28" s="92">
        <v>0</v>
      </c>
      <c r="EK28" s="18">
        <v>0</v>
      </c>
      <c r="EL28" s="92">
        <v>0</v>
      </c>
      <c r="EM28" s="18">
        <v>0</v>
      </c>
      <c r="EN28" s="92">
        <v>0</v>
      </c>
      <c r="EO28" s="18">
        <v>0</v>
      </c>
      <c r="EP28" s="92">
        <v>0</v>
      </c>
      <c r="EQ28" s="18">
        <v>0</v>
      </c>
      <c r="ER28" s="92">
        <v>0</v>
      </c>
      <c r="ES28" s="18">
        <f t="shared" ref="ES28:ES34" si="2">+$EY28</f>
        <v>0</v>
      </c>
      <c r="ET28" s="92">
        <f>ES28/ES35</f>
        <v>0</v>
      </c>
      <c r="EU28" s="221">
        <f>IF( SUM($EQ28:ES28)&lt;0, "n/a", SUM($EQ28:ES28)/EU$74)</f>
        <v>0</v>
      </c>
      <c r="EV28" s="222">
        <f>EU28/EU35</f>
        <v>0</v>
      </c>
      <c r="EW28" s="22"/>
      <c r="EX28" s="96" t="s">
        <v>27</v>
      </c>
      <c r="EY28" s="35">
        <f>IF(ISERROR(VLOOKUP(EX28,IQSH01E!$A$1:$M$400,2,0)),0,VLOOKUP(EX28,IQSH01E!$A$1:$M$400,2,0))</f>
        <v>0</v>
      </c>
      <c r="EZ28" s="182" t="s">
        <v>123</v>
      </c>
    </row>
    <row r="29" spans="1:156" ht="24" customHeight="1" thickBot="1" x14ac:dyDescent="0.35">
      <c r="A29" s="3"/>
      <c r="B29" s="14" t="s">
        <v>79</v>
      </c>
      <c r="C29" s="60">
        <v>1799419</v>
      </c>
      <c r="D29" s="99">
        <v>0.85611729168341788</v>
      </c>
      <c r="E29" s="60">
        <v>1439418</v>
      </c>
      <c r="F29" s="99">
        <v>0.81019798775768659</v>
      </c>
      <c r="G29" s="60">
        <v>1515582</v>
      </c>
      <c r="H29" s="99">
        <v>0.81437412112266316</v>
      </c>
      <c r="I29" s="60">
        <v>1431701</v>
      </c>
      <c r="J29" s="99">
        <v>0.90039218004560762</v>
      </c>
      <c r="K29" s="60">
        <v>1520288</v>
      </c>
      <c r="L29" s="99">
        <v>0.88232225009909737</v>
      </c>
      <c r="M29" s="60">
        <v>1307521</v>
      </c>
      <c r="N29" s="99">
        <v>0.77552764689414322</v>
      </c>
      <c r="O29" s="60">
        <v>1458439</v>
      </c>
      <c r="P29" s="99">
        <v>0.74714806496694686</v>
      </c>
      <c r="Q29" s="60">
        <v>1508365</v>
      </c>
      <c r="R29" s="99">
        <v>0.74876295374082391</v>
      </c>
      <c r="S29" s="60">
        <v>1491711</v>
      </c>
      <c r="T29" s="99">
        <v>0.75697316487248212</v>
      </c>
      <c r="U29" s="60">
        <v>1522845</v>
      </c>
      <c r="V29" s="99">
        <v>0.82287612319433801</v>
      </c>
      <c r="W29" s="60">
        <v>1393919</v>
      </c>
      <c r="X29" s="99">
        <v>0.74757640310117435</v>
      </c>
      <c r="Y29" s="60">
        <v>1390011</v>
      </c>
      <c r="Z29" s="99">
        <v>0.80765335559882379</v>
      </c>
      <c r="AA29" s="60">
        <v>1481643</v>
      </c>
      <c r="AB29" s="99">
        <v>0.72534907880011479</v>
      </c>
      <c r="AC29" s="60">
        <v>1445910</v>
      </c>
      <c r="AD29" s="99">
        <v>0.75075391600171137</v>
      </c>
      <c r="AE29" s="60">
        <v>1744922</v>
      </c>
      <c r="AF29" s="99">
        <v>0.83410668916544972</v>
      </c>
      <c r="AG29" s="60">
        <v>1387512</v>
      </c>
      <c r="AH29" s="99">
        <v>0.7148468412028488</v>
      </c>
      <c r="AI29" s="60">
        <v>1547546</v>
      </c>
      <c r="AJ29" s="99">
        <v>0.76064577521140164</v>
      </c>
      <c r="AK29" s="60">
        <v>1419644</v>
      </c>
      <c r="AL29" s="99">
        <v>0.7218021105295136</v>
      </c>
      <c r="AM29" s="60">
        <v>1590067</v>
      </c>
      <c r="AN29" s="99">
        <v>0.80328524770707088</v>
      </c>
      <c r="AO29" s="60">
        <v>1797192</v>
      </c>
      <c r="AP29" s="99">
        <v>0.81487678175741574</v>
      </c>
      <c r="AQ29" s="60">
        <v>1341586</v>
      </c>
      <c r="AR29" s="99">
        <v>0.76858155236073755</v>
      </c>
      <c r="AS29" s="60">
        <v>1653176</v>
      </c>
      <c r="AT29" s="99">
        <v>0.75619183363172204</v>
      </c>
      <c r="AU29" s="60">
        <v>1781374</v>
      </c>
      <c r="AV29" s="99">
        <v>0.80483268100302396</v>
      </c>
      <c r="AW29" s="60">
        <v>1656410</v>
      </c>
      <c r="AX29" s="99">
        <v>0.839089671215001</v>
      </c>
      <c r="AY29" s="60">
        <v>1653428</v>
      </c>
      <c r="AZ29" s="99">
        <v>0.77425584381406565</v>
      </c>
      <c r="BA29" s="60">
        <v>1084618</v>
      </c>
      <c r="BB29" s="99">
        <v>0.77756748580170709</v>
      </c>
      <c r="BC29" s="60">
        <v>1522931</v>
      </c>
      <c r="BD29" s="99">
        <v>0.73852900470100102</v>
      </c>
      <c r="BE29" s="60">
        <v>1450038</v>
      </c>
      <c r="BF29" s="99">
        <v>0.73219857310861658</v>
      </c>
      <c r="BG29" s="60">
        <v>1851600</v>
      </c>
      <c r="BH29" s="99">
        <v>0.78002929533225174</v>
      </c>
      <c r="BI29" s="60">
        <v>2072994</v>
      </c>
      <c r="BJ29" s="99">
        <v>0.87299432867889426</v>
      </c>
      <c r="BK29" s="60">
        <v>1864503</v>
      </c>
      <c r="BL29" s="99">
        <v>0.83330413384331137</v>
      </c>
      <c r="BM29" s="60">
        <v>1596014</v>
      </c>
      <c r="BN29" s="99">
        <v>0.78155143454564147</v>
      </c>
      <c r="BO29" s="60">
        <v>1497543</v>
      </c>
      <c r="BP29" s="99">
        <v>0.81447432970279476</v>
      </c>
      <c r="BQ29" s="60">
        <v>1738701</v>
      </c>
      <c r="BR29" s="99">
        <v>0.82813268023913766</v>
      </c>
      <c r="BS29" s="60">
        <v>1428749</v>
      </c>
      <c r="BT29" s="99">
        <v>0.8441653436722858</v>
      </c>
      <c r="BU29" s="60">
        <v>1285245</v>
      </c>
      <c r="BV29" s="99">
        <v>0.87462214679146311</v>
      </c>
      <c r="BW29" s="60">
        <v>1463561</v>
      </c>
      <c r="BX29" s="99">
        <v>0.7935784368213723</v>
      </c>
      <c r="BY29" s="60">
        <v>1113083</v>
      </c>
      <c r="BZ29" s="99">
        <v>0.92050125122600301</v>
      </c>
      <c r="CA29" s="60">
        <v>1313477</v>
      </c>
      <c r="CB29" s="99">
        <v>0.9240038381828849</v>
      </c>
      <c r="CC29" s="60">
        <v>1178922</v>
      </c>
      <c r="CD29" s="99">
        <v>0.90077315747610964</v>
      </c>
      <c r="CE29" s="60">
        <v>1263495</v>
      </c>
      <c r="CF29" s="99">
        <v>0.9119783982607742</v>
      </c>
      <c r="CG29" s="60">
        <v>1014215</v>
      </c>
      <c r="CH29" s="99">
        <v>0.84243843362925952</v>
      </c>
      <c r="CI29" s="60">
        <v>1208754</v>
      </c>
      <c r="CJ29" s="99">
        <v>0.90549475245522171</v>
      </c>
      <c r="CK29" s="60">
        <v>1723306</v>
      </c>
      <c r="CL29" s="99">
        <v>0.95421574403430354</v>
      </c>
      <c r="CM29" s="60">
        <v>1323689</v>
      </c>
      <c r="CN29" s="99">
        <v>0.88920364659151441</v>
      </c>
      <c r="CO29" s="60">
        <v>1825324</v>
      </c>
      <c r="CP29" s="99">
        <v>0.91309663399778296</v>
      </c>
      <c r="CQ29" s="60">
        <v>911720</v>
      </c>
      <c r="CR29" s="99">
        <v>0.86766682020457342</v>
      </c>
      <c r="CS29" s="60">
        <v>1495916</v>
      </c>
      <c r="CT29" s="99">
        <v>0.94841318900920124</v>
      </c>
      <c r="CU29" s="60">
        <v>1433780</v>
      </c>
      <c r="CV29" s="99">
        <v>0.97173076623307086</v>
      </c>
      <c r="CW29" s="60">
        <v>1520920</v>
      </c>
      <c r="CX29" s="99">
        <v>0.91211837892266012</v>
      </c>
      <c r="CY29" s="60">
        <v>1297918</v>
      </c>
      <c r="CZ29" s="99">
        <v>0.98340978349979613</v>
      </c>
      <c r="DA29" s="60">
        <v>1404460</v>
      </c>
      <c r="DB29" s="99">
        <v>0.91408227951082677</v>
      </c>
      <c r="DC29" s="60">
        <v>1387752</v>
      </c>
      <c r="DD29" s="99">
        <v>0.86777183527147417</v>
      </c>
      <c r="DE29" s="60">
        <v>1272537</v>
      </c>
      <c r="DF29" s="99">
        <v>0.95070166840489978</v>
      </c>
      <c r="DG29" s="60">
        <v>1577328</v>
      </c>
      <c r="DH29" s="99">
        <v>0.91499242982359463</v>
      </c>
      <c r="DI29" s="60">
        <v>1657111</v>
      </c>
      <c r="DJ29" s="99">
        <v>0.93947669494167929</v>
      </c>
      <c r="DK29" s="60">
        <v>1293021</v>
      </c>
      <c r="DL29" s="99">
        <v>0.9033254832153953</v>
      </c>
      <c r="DM29" s="60">
        <v>1324551</v>
      </c>
      <c r="DN29" s="99">
        <v>0.90732179468122343</v>
      </c>
      <c r="DO29" s="60">
        <v>1556641</v>
      </c>
      <c r="DP29" s="99">
        <v>0.94709927305383101</v>
      </c>
      <c r="DQ29" s="60">
        <v>1431844</v>
      </c>
      <c r="DR29" s="99">
        <v>0.96012048410901241</v>
      </c>
      <c r="DS29" s="60">
        <v>1095801</v>
      </c>
      <c r="DT29" s="99">
        <v>0.9137378246922454</v>
      </c>
      <c r="DU29" s="60">
        <v>1246002</v>
      </c>
      <c r="DV29" s="99">
        <v>0.82896144470583222</v>
      </c>
      <c r="DW29" s="60">
        <v>1403480</v>
      </c>
      <c r="DX29" s="99">
        <v>0.91275059539371428</v>
      </c>
      <c r="DY29" s="60">
        <v>1355154</v>
      </c>
      <c r="DZ29" s="99">
        <v>0.90652361944783932</v>
      </c>
      <c r="EA29" s="60">
        <v>1196560</v>
      </c>
      <c r="EB29" s="99">
        <v>0.85398666520119959</v>
      </c>
      <c r="EC29" s="60">
        <v>1397681</v>
      </c>
      <c r="ED29" s="99">
        <v>0.90819839372043454</v>
      </c>
      <c r="EE29" s="60">
        <v>1430111</v>
      </c>
      <c r="EF29" s="99">
        <v>0.90993025894096158</v>
      </c>
      <c r="EG29" s="60">
        <v>1001478</v>
      </c>
      <c r="EH29" s="99">
        <v>0.91564037719909375</v>
      </c>
      <c r="EI29" s="60">
        <v>1029075</v>
      </c>
      <c r="EJ29" s="99">
        <v>0.89830748159651386</v>
      </c>
      <c r="EK29" s="60">
        <v>1349471</v>
      </c>
      <c r="EL29" s="99">
        <v>0.86337576622647094</v>
      </c>
      <c r="EM29" s="60">
        <v>885645</v>
      </c>
      <c r="EN29" s="99">
        <v>0.91294667017147801</v>
      </c>
      <c r="EO29" s="60">
        <v>994031</v>
      </c>
      <c r="EP29" s="99">
        <v>0.92067016028793658</v>
      </c>
      <c r="EQ29" s="60">
        <v>955206</v>
      </c>
      <c r="ER29" s="99">
        <v>0.91498859145134748</v>
      </c>
      <c r="ES29" s="60">
        <f t="shared" si="2"/>
        <v>1127132</v>
      </c>
      <c r="ET29" s="99">
        <f>ES29/ES35</f>
        <v>0.91079239355198949</v>
      </c>
      <c r="EU29" s="221">
        <f>IF( SUM($EQ29:ES29)&lt;0, "n/a", SUM($EQ29:ES29)/EU$74)</f>
        <v>1041169.4574942957</v>
      </c>
      <c r="EV29" s="223">
        <f>EU29/EU35</f>
        <v>0.91271247792603027</v>
      </c>
      <c r="EW29" s="22"/>
      <c r="EX29" s="100" t="s">
        <v>113</v>
      </c>
      <c r="EY29" s="150">
        <f>+EY38-EY37-EY36-EY28-EY31-EY32-EY33-EY34-EY30</f>
        <v>1127132</v>
      </c>
      <c r="EZ29" s="183"/>
    </row>
    <row r="30" spans="1:156" ht="24" customHeight="1" x14ac:dyDescent="0.3">
      <c r="A30" s="3"/>
      <c r="B30" s="14" t="s">
        <v>107</v>
      </c>
      <c r="C30" s="60">
        <v>185200</v>
      </c>
      <c r="D30" s="99">
        <v>8.8113397946653335E-2</v>
      </c>
      <c r="E30" s="60">
        <v>184800</v>
      </c>
      <c r="F30" s="99">
        <v>0.10401744881446563</v>
      </c>
      <c r="G30" s="60">
        <v>187800</v>
      </c>
      <c r="H30" s="99">
        <v>0.10091137262572143</v>
      </c>
      <c r="I30" s="60">
        <v>0</v>
      </c>
      <c r="J30" s="99">
        <v>0</v>
      </c>
      <c r="K30" s="60">
        <v>0</v>
      </c>
      <c r="L30" s="99">
        <v>0</v>
      </c>
      <c r="M30" s="60">
        <v>0</v>
      </c>
      <c r="N30" s="99">
        <v>0</v>
      </c>
      <c r="O30" s="60">
        <v>190950</v>
      </c>
      <c r="P30" s="99">
        <v>9.7822344990389387E-2</v>
      </c>
      <c r="Q30" s="60">
        <v>185550</v>
      </c>
      <c r="R30" s="99">
        <v>9.2108319979984865E-2</v>
      </c>
      <c r="S30" s="60">
        <v>185800</v>
      </c>
      <c r="T30" s="99">
        <v>9.4284760274146381E-2</v>
      </c>
      <c r="U30" s="60">
        <v>0</v>
      </c>
      <c r="V30" s="99">
        <v>0</v>
      </c>
      <c r="W30" s="60">
        <v>188750</v>
      </c>
      <c r="X30" s="99">
        <v>0.10122901408571564</v>
      </c>
      <c r="Y30" s="60">
        <v>0</v>
      </c>
      <c r="Z30" s="99">
        <v>0</v>
      </c>
      <c r="AA30" s="60">
        <v>177650</v>
      </c>
      <c r="AB30" s="99">
        <v>8.6969846210484161E-2</v>
      </c>
      <c r="AC30" s="60">
        <v>185200</v>
      </c>
      <c r="AD30" s="99">
        <v>9.6160636030954177E-2</v>
      </c>
      <c r="AE30" s="60">
        <v>0</v>
      </c>
      <c r="AF30" s="99">
        <v>0</v>
      </c>
      <c r="AG30" s="60">
        <v>190650</v>
      </c>
      <c r="AH30" s="99">
        <v>9.8222970522289635E-2</v>
      </c>
      <c r="AI30" s="60">
        <v>193050</v>
      </c>
      <c r="AJ30" s="99">
        <v>9.4887432686693057E-2</v>
      </c>
      <c r="AK30" s="60">
        <v>192850</v>
      </c>
      <c r="AL30" s="99">
        <v>9.8052425126029269E-2</v>
      </c>
      <c r="AM30" s="60">
        <v>0</v>
      </c>
      <c r="AN30" s="99">
        <v>0</v>
      </c>
      <c r="AO30" s="60">
        <v>193450</v>
      </c>
      <c r="AP30" s="99">
        <v>8.7713451557191485E-2</v>
      </c>
      <c r="AQ30" s="60">
        <v>0</v>
      </c>
      <c r="AR30" s="99">
        <v>0</v>
      </c>
      <c r="AS30" s="60">
        <v>189100</v>
      </c>
      <c r="AT30" s="99">
        <v>8.6497672201724829E-2</v>
      </c>
      <c r="AU30" s="60">
        <v>186500</v>
      </c>
      <c r="AV30" s="99">
        <v>8.4261527903216255E-2</v>
      </c>
      <c r="AW30" s="60">
        <v>0</v>
      </c>
      <c r="AX30" s="99">
        <v>0</v>
      </c>
      <c r="AY30" s="60">
        <v>0</v>
      </c>
      <c r="AZ30" s="99">
        <v>0</v>
      </c>
      <c r="BA30" s="60">
        <v>0</v>
      </c>
      <c r="BB30" s="99">
        <v>0</v>
      </c>
      <c r="BC30" s="60">
        <v>0</v>
      </c>
      <c r="BD30" s="99">
        <v>0</v>
      </c>
      <c r="BE30" s="60">
        <v>0</v>
      </c>
      <c r="BF30" s="99">
        <v>0</v>
      </c>
      <c r="BG30" s="60">
        <v>0</v>
      </c>
      <c r="BH30" s="99">
        <v>0</v>
      </c>
      <c r="BI30" s="60">
        <v>0</v>
      </c>
      <c r="BJ30" s="99">
        <v>0</v>
      </c>
      <c r="BK30" s="60">
        <v>0</v>
      </c>
      <c r="BL30" s="99">
        <v>0</v>
      </c>
      <c r="BM30" s="60">
        <v>0</v>
      </c>
      <c r="BN30" s="99">
        <v>0</v>
      </c>
      <c r="BO30" s="60">
        <v>0</v>
      </c>
      <c r="BP30" s="99">
        <v>0</v>
      </c>
      <c r="BQ30" s="60">
        <v>0</v>
      </c>
      <c r="BR30" s="99">
        <v>0</v>
      </c>
      <c r="BS30" s="60">
        <v>0</v>
      </c>
      <c r="BT30" s="99">
        <v>0</v>
      </c>
      <c r="BU30" s="60">
        <v>0</v>
      </c>
      <c r="BV30" s="99">
        <v>0</v>
      </c>
      <c r="BW30" s="60">
        <v>0</v>
      </c>
      <c r="BX30" s="99">
        <v>0</v>
      </c>
      <c r="BY30" s="60">
        <v>0</v>
      </c>
      <c r="BZ30" s="99">
        <v>0</v>
      </c>
      <c r="CA30" s="60">
        <v>0</v>
      </c>
      <c r="CB30" s="99">
        <v>0</v>
      </c>
      <c r="CC30" s="60">
        <v>0</v>
      </c>
      <c r="CD30" s="99">
        <v>0</v>
      </c>
      <c r="CE30" s="60">
        <v>0</v>
      </c>
      <c r="CF30" s="99">
        <v>0</v>
      </c>
      <c r="CG30" s="60">
        <v>0</v>
      </c>
      <c r="CH30" s="99">
        <v>0</v>
      </c>
      <c r="CI30" s="60">
        <v>0</v>
      </c>
      <c r="CJ30" s="99">
        <v>0</v>
      </c>
      <c r="CK30" s="60">
        <v>0</v>
      </c>
      <c r="CL30" s="99">
        <v>0</v>
      </c>
      <c r="CM30" s="60">
        <v>0</v>
      </c>
      <c r="CN30" s="99">
        <v>0</v>
      </c>
      <c r="CO30" s="60">
        <v>0</v>
      </c>
      <c r="CP30" s="99">
        <v>0</v>
      </c>
      <c r="CQ30" s="60">
        <v>0</v>
      </c>
      <c r="CR30" s="99">
        <v>0</v>
      </c>
      <c r="CS30" s="60">
        <v>0</v>
      </c>
      <c r="CT30" s="99">
        <v>0</v>
      </c>
      <c r="CU30" s="60">
        <v>0</v>
      </c>
      <c r="CV30" s="99">
        <v>0</v>
      </c>
      <c r="CW30" s="60">
        <v>0</v>
      </c>
      <c r="CX30" s="99">
        <v>0</v>
      </c>
      <c r="CY30" s="60">
        <v>0</v>
      </c>
      <c r="CZ30" s="99">
        <v>0</v>
      </c>
      <c r="DA30" s="60">
        <v>0</v>
      </c>
      <c r="DB30" s="99">
        <v>0</v>
      </c>
      <c r="DC30" s="60">
        <v>0</v>
      </c>
      <c r="DD30" s="99">
        <v>0</v>
      </c>
      <c r="DE30" s="60">
        <v>0</v>
      </c>
      <c r="DF30" s="99">
        <v>0</v>
      </c>
      <c r="DG30" s="60">
        <v>0</v>
      </c>
      <c r="DH30" s="99">
        <v>0</v>
      </c>
      <c r="DI30" s="60">
        <v>0</v>
      </c>
      <c r="DJ30" s="99">
        <v>0</v>
      </c>
      <c r="DK30" s="60">
        <v>0</v>
      </c>
      <c r="DL30" s="99">
        <v>0</v>
      </c>
      <c r="DM30" s="60">
        <v>0</v>
      </c>
      <c r="DN30" s="99">
        <v>0</v>
      </c>
      <c r="DO30" s="60">
        <v>0</v>
      </c>
      <c r="DP30" s="99">
        <v>0</v>
      </c>
      <c r="DQ30" s="60">
        <v>0</v>
      </c>
      <c r="DR30" s="99">
        <v>0</v>
      </c>
      <c r="DS30" s="60">
        <v>0</v>
      </c>
      <c r="DT30" s="99">
        <v>0</v>
      </c>
      <c r="DU30" s="60">
        <v>0</v>
      </c>
      <c r="DV30" s="99">
        <v>0</v>
      </c>
      <c r="DW30" s="60">
        <v>0</v>
      </c>
      <c r="DX30" s="99">
        <v>0</v>
      </c>
      <c r="DY30" s="60">
        <v>0</v>
      </c>
      <c r="DZ30" s="99">
        <v>0</v>
      </c>
      <c r="EA30" s="60">
        <v>0</v>
      </c>
      <c r="EB30" s="99">
        <v>0</v>
      </c>
      <c r="EC30" s="60">
        <v>0</v>
      </c>
      <c r="ED30" s="99">
        <v>0</v>
      </c>
      <c r="EE30" s="60">
        <v>0</v>
      </c>
      <c r="EF30" s="99">
        <v>0</v>
      </c>
      <c r="EG30" s="60">
        <v>0</v>
      </c>
      <c r="EH30" s="99">
        <v>0</v>
      </c>
      <c r="EI30" s="60">
        <v>0</v>
      </c>
      <c r="EJ30" s="99">
        <v>0</v>
      </c>
      <c r="EK30" s="60">
        <v>0</v>
      </c>
      <c r="EL30" s="99">
        <v>0</v>
      </c>
      <c r="EM30" s="60">
        <v>0</v>
      </c>
      <c r="EN30" s="99">
        <v>0</v>
      </c>
      <c r="EO30" s="60">
        <v>0</v>
      </c>
      <c r="EP30" s="99">
        <v>0</v>
      </c>
      <c r="EQ30" s="60">
        <v>0</v>
      </c>
      <c r="ER30" s="99">
        <v>0</v>
      </c>
      <c r="ES30" s="60">
        <f t="shared" si="2"/>
        <v>0</v>
      </c>
      <c r="ET30" s="99">
        <f>ES30/ES35</f>
        <v>0</v>
      </c>
      <c r="EU30" s="221">
        <f>IF( SUM($EQ30:ES30)&lt;0, "n/a", SUM($EQ30:ES30)/EU$74)</f>
        <v>0</v>
      </c>
      <c r="EV30" s="224">
        <f>EU30/EU35</f>
        <v>0</v>
      </c>
      <c r="EW30" s="22"/>
      <c r="EX30" s="154" t="s">
        <v>111</v>
      </c>
      <c r="EY30" s="151">
        <f>IF(ISERROR(VLOOKUP(EX30,IQSH01E!$A$1:$M$400,2,0)),0,VLOOKUP(EX30,IQSH01E!$A$1:$M$400,2,0))</f>
        <v>0</v>
      </c>
      <c r="EZ30" s="184" t="s">
        <v>117</v>
      </c>
    </row>
    <row r="31" spans="1:156" ht="24" customHeight="1" x14ac:dyDescent="0.3">
      <c r="A31" s="152"/>
      <c r="B31" s="14" t="s">
        <v>80</v>
      </c>
      <c r="C31" s="60">
        <v>116345</v>
      </c>
      <c r="D31" s="99">
        <v>5.5353959417404869E-2</v>
      </c>
      <c r="E31" s="60">
        <v>108565</v>
      </c>
      <c r="F31" s="99">
        <v>6.1107436853584746E-2</v>
      </c>
      <c r="G31" s="60">
        <v>79463</v>
      </c>
      <c r="H31" s="99">
        <v>4.2698191709039948E-2</v>
      </c>
      <c r="I31" s="60">
        <v>118917</v>
      </c>
      <c r="J31" s="99">
        <v>7.47865209806262E-2</v>
      </c>
      <c r="K31" s="60">
        <v>81378</v>
      </c>
      <c r="L31" s="99">
        <v>4.7228959294925925E-2</v>
      </c>
      <c r="M31" s="60">
        <v>160944</v>
      </c>
      <c r="N31" s="99">
        <v>9.5460433600478303E-2</v>
      </c>
      <c r="O31" s="60">
        <v>124059</v>
      </c>
      <c r="P31" s="99">
        <v>6.3554555104282359E-2</v>
      </c>
      <c r="Q31" s="60">
        <v>110869</v>
      </c>
      <c r="R31" s="99">
        <v>5.5036148358183469E-2</v>
      </c>
      <c r="S31" s="60">
        <v>171188</v>
      </c>
      <c r="T31" s="99">
        <v>8.6869857598549899E-2</v>
      </c>
      <c r="U31" s="60">
        <v>121254</v>
      </c>
      <c r="V31" s="99">
        <v>6.5520142523898525E-2</v>
      </c>
      <c r="W31" s="60">
        <v>73855</v>
      </c>
      <c r="X31" s="99">
        <v>3.9609371312850479E-2</v>
      </c>
      <c r="Y31" s="60">
        <v>121397</v>
      </c>
      <c r="Z31" s="99">
        <v>7.0536632019192941E-2</v>
      </c>
      <c r="AA31" s="60">
        <v>171218</v>
      </c>
      <c r="AB31" s="99">
        <v>8.3821013951402637E-2</v>
      </c>
      <c r="AC31" s="60">
        <v>126858</v>
      </c>
      <c r="AD31" s="99">
        <v>6.5867958777617627E-2</v>
      </c>
      <c r="AE31" s="60">
        <v>179728</v>
      </c>
      <c r="AF31" s="99">
        <v>8.5913483256173026E-2</v>
      </c>
      <c r="AG31" s="60">
        <v>197075</v>
      </c>
      <c r="AH31" s="99">
        <v>0.1015331335729359</v>
      </c>
      <c r="AI31" s="60">
        <v>124962</v>
      </c>
      <c r="AJ31" s="99">
        <v>6.1420996443380144E-2</v>
      </c>
      <c r="AK31" s="60">
        <v>105999</v>
      </c>
      <c r="AL31" s="99">
        <v>5.3894005760611756E-2</v>
      </c>
      <c r="AM31" s="60">
        <v>231342</v>
      </c>
      <c r="AN31" s="99">
        <v>0.11687156313227631</v>
      </c>
      <c r="AO31" s="60">
        <v>131653</v>
      </c>
      <c r="AP31" s="99">
        <v>5.9693662640780201E-2</v>
      </c>
      <c r="AQ31" s="60">
        <v>93905</v>
      </c>
      <c r="AR31" s="99">
        <v>5.379725986588639E-2</v>
      </c>
      <c r="AS31" s="60">
        <v>93925</v>
      </c>
      <c r="AT31" s="99">
        <v>4.296295008750399E-2</v>
      </c>
      <c r="AU31" s="60">
        <v>41509</v>
      </c>
      <c r="AV31" s="99">
        <v>1.8753950465064898E-2</v>
      </c>
      <c r="AW31" s="60">
        <v>194123</v>
      </c>
      <c r="AX31" s="99">
        <v>9.8337129240507873E-2</v>
      </c>
      <c r="AY31" s="60">
        <v>156369</v>
      </c>
      <c r="AZ31" s="99">
        <v>7.3223395298350841E-2</v>
      </c>
      <c r="BA31" s="60">
        <v>101762</v>
      </c>
      <c r="BB31" s="99">
        <v>7.2953632053085346E-2</v>
      </c>
      <c r="BC31" s="60">
        <v>120712</v>
      </c>
      <c r="BD31" s="99">
        <v>5.8537985775762157E-2</v>
      </c>
      <c r="BE31" s="60">
        <v>157656</v>
      </c>
      <c r="BF31" s="99">
        <v>7.9608602148365806E-2</v>
      </c>
      <c r="BG31" s="60">
        <v>146037</v>
      </c>
      <c r="BH31" s="99">
        <v>6.1521461548086007E-2</v>
      </c>
      <c r="BI31" s="60">
        <v>87508</v>
      </c>
      <c r="BJ31" s="99">
        <v>3.6852006187202024E-2</v>
      </c>
      <c r="BK31" s="60">
        <v>160318</v>
      </c>
      <c r="BL31" s="99">
        <v>7.1651079204212598E-2</v>
      </c>
      <c r="BM31" s="60">
        <v>146929</v>
      </c>
      <c r="BN31" s="99">
        <v>7.1949601147832387E-2</v>
      </c>
      <c r="BO31" s="60">
        <v>89816</v>
      </c>
      <c r="BP31" s="99">
        <v>4.8848564880331458E-2</v>
      </c>
      <c r="BQ31" s="60">
        <v>102971</v>
      </c>
      <c r="BR31" s="99">
        <v>4.9044459177802417E-2</v>
      </c>
      <c r="BS31" s="60">
        <v>90385</v>
      </c>
      <c r="BT31" s="99">
        <v>5.3403281183622558E-2</v>
      </c>
      <c r="BU31" s="60">
        <v>98196</v>
      </c>
      <c r="BV31" s="99">
        <v>6.6823365448871241E-2</v>
      </c>
      <c r="BW31" s="60">
        <v>130170</v>
      </c>
      <c r="BX31" s="99">
        <v>7.0581345855101382E-2</v>
      </c>
      <c r="BY31" s="60">
        <v>96031</v>
      </c>
      <c r="BZ31" s="99">
        <v>7.941605042614458E-2</v>
      </c>
      <c r="CA31" s="60">
        <v>105639</v>
      </c>
      <c r="CB31" s="99">
        <v>7.4314846367162707E-2</v>
      </c>
      <c r="CC31" s="60">
        <v>87447</v>
      </c>
      <c r="CD31" s="99">
        <v>6.6815200922379386E-2</v>
      </c>
      <c r="CE31" s="60">
        <v>81443</v>
      </c>
      <c r="CF31" s="99">
        <v>5.8784765028395226E-2</v>
      </c>
      <c r="CG31" s="60">
        <v>106537</v>
      </c>
      <c r="CH31" s="99">
        <v>8.8492936313858919E-2</v>
      </c>
      <c r="CI31" s="60">
        <v>88536</v>
      </c>
      <c r="CJ31" s="99">
        <v>6.6323572375665774E-2</v>
      </c>
      <c r="CK31" s="60">
        <v>81166</v>
      </c>
      <c r="CL31" s="99">
        <v>4.4942613256315642E-2</v>
      </c>
      <c r="CM31" s="60">
        <v>126124</v>
      </c>
      <c r="CN31" s="99">
        <v>8.4725279671212933E-2</v>
      </c>
      <c r="CO31" s="60">
        <v>86942</v>
      </c>
      <c r="CP31" s="99">
        <v>4.3491702050175884E-2</v>
      </c>
      <c r="CQ31" s="60">
        <v>98204</v>
      </c>
      <c r="CR31" s="99">
        <v>9.3458904500690915E-2</v>
      </c>
      <c r="CS31" s="60">
        <v>81367</v>
      </c>
      <c r="CT31" s="99">
        <v>5.1586810990798732E-2</v>
      </c>
      <c r="CU31" s="60">
        <v>40811</v>
      </c>
      <c r="CV31" s="99">
        <v>2.7659267321860994E-2</v>
      </c>
      <c r="CW31" s="60">
        <v>103858</v>
      </c>
      <c r="CX31" s="99">
        <v>6.2285189620854248E-2</v>
      </c>
      <c r="CY31" s="60">
        <v>21696</v>
      </c>
      <c r="CZ31" s="99">
        <v>1.6438679995817593E-2</v>
      </c>
      <c r="DA31" s="60">
        <v>132010</v>
      </c>
      <c r="DB31" s="99">
        <v>8.5917720489173233E-2</v>
      </c>
      <c r="DC31" s="60">
        <v>128051</v>
      </c>
      <c r="DD31" s="99">
        <v>8.007126005103761E-2</v>
      </c>
      <c r="DE31" s="60">
        <v>65987</v>
      </c>
      <c r="DF31" s="99">
        <v>4.9298331595100275E-2</v>
      </c>
      <c r="DG31" s="60">
        <v>104036</v>
      </c>
      <c r="DH31" s="99">
        <v>6.035025843016005E-2</v>
      </c>
      <c r="DI31" s="60">
        <v>64826</v>
      </c>
      <c r="DJ31" s="99">
        <v>3.6752224942257515E-2</v>
      </c>
      <c r="DK31" s="60">
        <v>99540</v>
      </c>
      <c r="DL31" s="99">
        <v>6.9540261603841275E-2</v>
      </c>
      <c r="DM31" s="60">
        <v>94623</v>
      </c>
      <c r="DN31" s="99">
        <v>6.4817066446004268E-2</v>
      </c>
      <c r="DO31" s="60">
        <v>49409</v>
      </c>
      <c r="DP31" s="99">
        <v>3.006166995621774E-2</v>
      </c>
      <c r="DQ31" s="60">
        <v>57823</v>
      </c>
      <c r="DR31" s="99">
        <v>3.8773111283516515E-2</v>
      </c>
      <c r="DS31" s="60">
        <v>59322</v>
      </c>
      <c r="DT31" s="99">
        <v>4.9465874950281465E-2</v>
      </c>
      <c r="DU31" s="60">
        <v>94225</v>
      </c>
      <c r="DV31" s="99">
        <v>6.2687613765794153E-2</v>
      </c>
      <c r="DW31" s="60">
        <v>132878</v>
      </c>
      <c r="DX31" s="99">
        <v>8.6416958998151716E-2</v>
      </c>
      <c r="DY31" s="60">
        <v>99135</v>
      </c>
      <c r="DZ31" s="99">
        <v>6.6315871859553635E-2</v>
      </c>
      <c r="EA31" s="60">
        <v>124770</v>
      </c>
      <c r="EB31" s="99">
        <v>8.9048535984115856E-2</v>
      </c>
      <c r="EC31" s="60">
        <v>99029</v>
      </c>
      <c r="ED31" s="99">
        <v>6.4348001247595779E-2</v>
      </c>
      <c r="EE31" s="60">
        <v>98450</v>
      </c>
      <c r="EF31" s="99">
        <v>6.2640336304481029E-2</v>
      </c>
      <c r="EG31" s="60">
        <v>91943</v>
      </c>
      <c r="EH31" s="99">
        <v>8.406247885706554E-2</v>
      </c>
      <c r="EI31" s="60">
        <v>75444</v>
      </c>
      <c r="EJ31" s="99">
        <v>6.5857114050547713E-2</v>
      </c>
      <c r="EK31" s="60">
        <v>47724</v>
      </c>
      <c r="EL31" s="99">
        <v>3.0533257155872264E-2</v>
      </c>
      <c r="EM31" s="60">
        <v>42855</v>
      </c>
      <c r="EN31" s="99">
        <v>4.4176085847262382E-2</v>
      </c>
      <c r="EO31" s="60">
        <v>85616</v>
      </c>
      <c r="EP31" s="99">
        <v>7.9297422759664421E-2</v>
      </c>
      <c r="EQ31" s="60">
        <v>84432</v>
      </c>
      <c r="ER31" s="99">
        <v>8.087712676995347E-2</v>
      </c>
      <c r="ES31" s="60">
        <f t="shared" si="2"/>
        <v>67897</v>
      </c>
      <c r="ET31" s="99">
        <f>ES31/ES35</f>
        <v>5.4864976901551399E-2</v>
      </c>
      <c r="EU31" s="221">
        <f>IF( SUM($EQ31:ES31)&lt;0, "n/a", SUM($EQ31:ES31)/EU$74)</f>
        <v>76164.540438563388</v>
      </c>
      <c r="EV31" s="224">
        <f>EU31/EU35</f>
        <v>6.6767542913790667E-2</v>
      </c>
      <c r="EW31" s="22"/>
      <c r="EX31" s="96" t="s">
        <v>34</v>
      </c>
      <c r="EY31" s="153">
        <f>IF(ISERROR(VLOOKUP(EX31,IQSH01E!$A$1:$M$400,2,0)),0,VLOOKUP(EX31,IQSH01E!$A$1:$M$400,2,0))</f>
        <v>67897</v>
      </c>
      <c r="EZ31" s="185" t="s">
        <v>118</v>
      </c>
    </row>
    <row r="32" spans="1:156" ht="24" customHeight="1" x14ac:dyDescent="0.3">
      <c r="A32" s="5"/>
      <c r="B32" s="14" t="s">
        <v>81</v>
      </c>
      <c r="C32" s="18">
        <v>0</v>
      </c>
      <c r="D32" s="92">
        <v>0</v>
      </c>
      <c r="E32" s="18">
        <v>43842</v>
      </c>
      <c r="F32" s="92">
        <v>2.4677126574262999E-2</v>
      </c>
      <c r="G32" s="18">
        <v>78064</v>
      </c>
      <c r="H32" s="92">
        <v>4.1946461089746104E-2</v>
      </c>
      <c r="I32" s="18">
        <v>39468</v>
      </c>
      <c r="J32" s="92">
        <v>2.4821298973766198E-2</v>
      </c>
      <c r="K32" s="18">
        <v>121387</v>
      </c>
      <c r="L32" s="92">
        <v>7.044879060597671E-2</v>
      </c>
      <c r="M32" s="18">
        <v>41660</v>
      </c>
      <c r="N32" s="92">
        <v>2.4709723032830835E-2</v>
      </c>
      <c r="O32" s="18">
        <v>0</v>
      </c>
      <c r="P32" s="92">
        <v>0</v>
      </c>
      <c r="Q32" s="18">
        <v>80165</v>
      </c>
      <c r="R32" s="92">
        <v>3.9794467643198529E-2</v>
      </c>
      <c r="S32" s="18">
        <v>79827</v>
      </c>
      <c r="T32" s="92">
        <v>4.0508447569452551E-2</v>
      </c>
      <c r="U32" s="18">
        <v>0</v>
      </c>
      <c r="V32" s="92">
        <v>0</v>
      </c>
      <c r="W32" s="18">
        <v>0</v>
      </c>
      <c r="X32" s="92">
        <v>0</v>
      </c>
      <c r="Y32" s="18">
        <v>82320</v>
      </c>
      <c r="Z32" s="92">
        <v>4.7831293588968121E-2</v>
      </c>
      <c r="AA32" s="18">
        <v>0</v>
      </c>
      <c r="AB32" s="92">
        <v>0</v>
      </c>
      <c r="AC32" s="18">
        <v>42120</v>
      </c>
      <c r="AD32" s="92">
        <v>2.1869794760387633E-2</v>
      </c>
      <c r="AE32" s="18">
        <v>41970</v>
      </c>
      <c r="AF32" s="92">
        <v>2.0062477144694103E-2</v>
      </c>
      <c r="AG32" s="18">
        <v>41474</v>
      </c>
      <c r="AH32" s="92">
        <v>2.1367424492218411E-2</v>
      </c>
      <c r="AI32" s="18">
        <v>40393</v>
      </c>
      <c r="AJ32" s="92">
        <v>1.9853862048762456E-2</v>
      </c>
      <c r="AK32" s="18">
        <v>40755</v>
      </c>
      <c r="AL32" s="92">
        <v>2.0721423832052492E-2</v>
      </c>
      <c r="AM32" s="18">
        <v>39980</v>
      </c>
      <c r="AN32" s="92">
        <v>2.0197478598907276E-2</v>
      </c>
      <c r="AO32" s="18">
        <v>0</v>
      </c>
      <c r="AP32" s="92">
        <v>0</v>
      </c>
      <c r="AQ32" s="18">
        <v>101541</v>
      </c>
      <c r="AR32" s="92">
        <v>5.8171849891294071E-2</v>
      </c>
      <c r="AS32" s="18">
        <v>80473</v>
      </c>
      <c r="AT32" s="92">
        <v>3.6809768244787953E-2</v>
      </c>
      <c r="AU32" s="18">
        <v>40000</v>
      </c>
      <c r="AV32" s="92">
        <v>1.807217756637346E-2</v>
      </c>
      <c r="AW32" s="18">
        <v>0</v>
      </c>
      <c r="AX32" s="92">
        <v>0</v>
      </c>
      <c r="AY32" s="18">
        <v>121708</v>
      </c>
      <c r="AZ32" s="92">
        <v>5.6992581617658765E-2</v>
      </c>
      <c r="BA32" s="18">
        <v>0</v>
      </c>
      <c r="BB32" s="92">
        <v>0</v>
      </c>
      <c r="BC32" s="18">
        <v>80400</v>
      </c>
      <c r="BD32" s="92">
        <v>3.8989115053774913E-2</v>
      </c>
      <c r="BE32" s="18">
        <v>120100</v>
      </c>
      <c r="BF32" s="92">
        <v>6.0644651126622096E-2</v>
      </c>
      <c r="BG32" s="18">
        <v>0</v>
      </c>
      <c r="BH32" s="92">
        <v>0</v>
      </c>
      <c r="BI32" s="18">
        <v>0</v>
      </c>
      <c r="BJ32" s="92">
        <v>0</v>
      </c>
      <c r="BK32" s="18">
        <v>38900</v>
      </c>
      <c r="BL32" s="92">
        <v>1.7385614722263687E-2</v>
      </c>
      <c r="BM32" s="18">
        <v>41873</v>
      </c>
      <c r="BN32" s="92">
        <v>2.0504772025013343E-2</v>
      </c>
      <c r="BO32" s="18">
        <v>79825</v>
      </c>
      <c r="BP32" s="92">
        <v>4.3414722227358808E-2</v>
      </c>
      <c r="BQ32" s="18">
        <v>42410</v>
      </c>
      <c r="BR32" s="92">
        <v>2.0199624299371673E-2</v>
      </c>
      <c r="BS32" s="18">
        <v>0</v>
      </c>
      <c r="BT32" s="92">
        <v>0</v>
      </c>
      <c r="BU32" s="18">
        <v>0</v>
      </c>
      <c r="BV32" s="92">
        <v>0</v>
      </c>
      <c r="BW32" s="18">
        <v>39800</v>
      </c>
      <c r="BX32" s="92">
        <v>2.1580529807429017E-2</v>
      </c>
      <c r="BY32" s="18">
        <v>0</v>
      </c>
      <c r="BZ32" s="92">
        <v>0</v>
      </c>
      <c r="CA32" s="18">
        <v>0</v>
      </c>
      <c r="CB32" s="92">
        <v>0</v>
      </c>
      <c r="CC32" s="18">
        <v>39400</v>
      </c>
      <c r="CD32" s="92">
        <v>3.0104164995274258E-2</v>
      </c>
      <c r="CE32" s="18">
        <v>39356</v>
      </c>
      <c r="CF32" s="92">
        <v>2.8406777899359338E-2</v>
      </c>
      <c r="CG32" s="18">
        <v>82100</v>
      </c>
      <c r="CH32" s="92">
        <v>6.8194806230397115E-2</v>
      </c>
      <c r="CI32" s="18">
        <v>36230</v>
      </c>
      <c r="CJ32" s="92">
        <v>2.7140406469349995E-2</v>
      </c>
      <c r="CK32" s="18">
        <v>0</v>
      </c>
      <c r="CL32" s="92">
        <v>0</v>
      </c>
      <c r="CM32" s="18">
        <v>38810</v>
      </c>
      <c r="CN32" s="92">
        <v>2.6071073737272635E-2</v>
      </c>
      <c r="CO32" s="18">
        <v>83979</v>
      </c>
      <c r="CP32" s="92">
        <v>4.2009496520343685E-2</v>
      </c>
      <c r="CQ32" s="18">
        <v>40828</v>
      </c>
      <c r="CR32" s="92">
        <v>3.8855241669934107E-2</v>
      </c>
      <c r="CS32" s="18">
        <v>0</v>
      </c>
      <c r="CT32" s="92">
        <v>0</v>
      </c>
      <c r="CU32" s="18">
        <v>0</v>
      </c>
      <c r="CV32" s="92">
        <v>0</v>
      </c>
      <c r="CW32" s="18">
        <v>42671</v>
      </c>
      <c r="CX32" s="92">
        <v>2.5590434307530201E-2</v>
      </c>
      <c r="CY32" s="18">
        <v>0</v>
      </c>
      <c r="CZ32" s="92">
        <v>0</v>
      </c>
      <c r="DA32" s="18">
        <v>0</v>
      </c>
      <c r="DB32" s="92">
        <v>0</v>
      </c>
      <c r="DC32" s="18">
        <v>83400</v>
      </c>
      <c r="DD32" s="92">
        <v>5.2150651601756616E-2</v>
      </c>
      <c r="DE32" s="18">
        <v>0</v>
      </c>
      <c r="DF32" s="92">
        <v>0</v>
      </c>
      <c r="DG32" s="18">
        <v>42400</v>
      </c>
      <c r="DH32" s="92">
        <v>2.4595822190768446E-2</v>
      </c>
      <c r="DI32" s="18">
        <v>41044</v>
      </c>
      <c r="DJ32" s="92">
        <v>2.3269341321846444E-2</v>
      </c>
      <c r="DK32" s="18">
        <v>38800</v>
      </c>
      <c r="DL32" s="92">
        <v>2.7106310530731779E-2</v>
      </c>
      <c r="DM32" s="18">
        <v>40648</v>
      </c>
      <c r="DN32" s="92">
        <v>2.7844013790486264E-2</v>
      </c>
      <c r="DO32" s="18">
        <v>37138</v>
      </c>
      <c r="DP32" s="92">
        <v>2.2595686996984644E-2</v>
      </c>
      <c r="DQ32" s="18">
        <v>0</v>
      </c>
      <c r="DR32" s="92">
        <v>0</v>
      </c>
      <c r="DS32" s="18">
        <v>42828</v>
      </c>
      <c r="DT32" s="92">
        <v>3.5712290421271276E-2</v>
      </c>
      <c r="DU32" s="18">
        <v>161761</v>
      </c>
      <c r="DV32" s="92">
        <v>0.10761911478236803</v>
      </c>
      <c r="DW32" s="18">
        <v>0</v>
      </c>
      <c r="DX32" s="92">
        <v>0</v>
      </c>
      <c r="DY32" s="18">
        <v>40362</v>
      </c>
      <c r="DZ32" s="92">
        <v>2.6999961870129662E-2</v>
      </c>
      <c r="EA32" s="18">
        <v>79516</v>
      </c>
      <c r="EB32" s="92">
        <v>5.6750688365095427E-2</v>
      </c>
      <c r="EC32" s="18">
        <v>42200</v>
      </c>
      <c r="ED32" s="92">
        <v>2.7421115558559028E-2</v>
      </c>
      <c r="EE32" s="18">
        <v>43110</v>
      </c>
      <c r="EF32" s="92">
        <v>2.7429404754557411E-2</v>
      </c>
      <c r="EG32" s="18">
        <v>0</v>
      </c>
      <c r="EH32" s="92">
        <v>0</v>
      </c>
      <c r="EI32" s="18">
        <v>40802</v>
      </c>
      <c r="EJ32" s="92">
        <v>3.5617172571582208E-2</v>
      </c>
      <c r="EK32" s="18">
        <v>164792</v>
      </c>
      <c r="EL32" s="92">
        <v>0.10543199466160637</v>
      </c>
      <c r="EM32" s="18">
        <v>40000</v>
      </c>
      <c r="EN32" s="92">
        <v>4.1233075111200453E-2</v>
      </c>
      <c r="EO32" s="18">
        <v>0</v>
      </c>
      <c r="EP32" s="92">
        <v>0</v>
      </c>
      <c r="EQ32" s="18">
        <v>0</v>
      </c>
      <c r="ER32" s="92">
        <v>0</v>
      </c>
      <c r="ES32" s="18">
        <f t="shared" si="2"/>
        <v>42350</v>
      </c>
      <c r="ET32" s="92">
        <f>ES32/ES35</f>
        <v>3.4221420265706903E-2</v>
      </c>
      <c r="EU32" s="221">
        <f>IF( SUM($EQ32:ES32)&lt;0, "n/a", SUM($EQ32:ES32)/EU$74)</f>
        <v>21175</v>
      </c>
      <c r="EV32" s="224">
        <f>EU32/EU35</f>
        <v>1.856247950895119E-2</v>
      </c>
      <c r="EW32" s="22"/>
      <c r="EX32" s="96" t="s">
        <v>56</v>
      </c>
      <c r="EY32" s="35">
        <f>IF(ISERROR(VLOOKUP(EX32,IQSH01E!$A$1:$M$400,2,0)),0,VLOOKUP(EX32,IQSH01E!$A$1:$M$400,2,0))</f>
        <v>42350</v>
      </c>
      <c r="EZ32" s="182" t="s">
        <v>123</v>
      </c>
    </row>
    <row r="33" spans="1:156" ht="24" customHeight="1" x14ac:dyDescent="0.3">
      <c r="A33" s="5" t="s">
        <v>95</v>
      </c>
      <c r="B33" s="14" t="s">
        <v>82</v>
      </c>
      <c r="C33" s="18">
        <v>873</v>
      </c>
      <c r="D33" s="92">
        <v>4.1535095252391124E-4</v>
      </c>
      <c r="E33" s="18">
        <v>0</v>
      </c>
      <c r="F33" s="92">
        <v>0</v>
      </c>
      <c r="G33" s="18">
        <v>130</v>
      </c>
      <c r="H33" s="92">
        <v>6.9853452829306641E-5</v>
      </c>
      <c r="I33" s="18">
        <v>0</v>
      </c>
      <c r="J33" s="92">
        <v>0</v>
      </c>
      <c r="K33" s="18">
        <v>0</v>
      </c>
      <c r="L33" s="92">
        <v>0</v>
      </c>
      <c r="M33" s="18">
        <v>82</v>
      </c>
      <c r="N33" s="92">
        <v>4.8636516771294491E-5</v>
      </c>
      <c r="O33" s="18">
        <v>220</v>
      </c>
      <c r="P33" s="92">
        <v>1.1270445612927816E-4</v>
      </c>
      <c r="Q33" s="18">
        <v>50</v>
      </c>
      <c r="R33" s="92">
        <v>2.4820350304496056E-5</v>
      </c>
      <c r="S33" s="18">
        <v>100</v>
      </c>
      <c r="T33" s="92">
        <v>5.0745296164772004E-5</v>
      </c>
      <c r="U33" s="18">
        <v>0</v>
      </c>
      <c r="V33" s="92">
        <v>0</v>
      </c>
      <c r="W33" s="18">
        <v>0</v>
      </c>
      <c r="X33" s="92">
        <v>0</v>
      </c>
      <c r="Y33" s="18">
        <v>113</v>
      </c>
      <c r="Z33" s="92">
        <v>6.5657630898364894E-5</v>
      </c>
      <c r="AA33" s="18">
        <v>50</v>
      </c>
      <c r="AB33" s="92">
        <v>2.4477862710521859E-5</v>
      </c>
      <c r="AC33" s="18">
        <v>580</v>
      </c>
      <c r="AD33" s="92">
        <v>3.0115101996735106E-4</v>
      </c>
      <c r="AE33" s="18">
        <v>1665</v>
      </c>
      <c r="AF33" s="92">
        <v>7.9590241710544873E-4</v>
      </c>
      <c r="AG33" s="18">
        <v>850</v>
      </c>
      <c r="AH33" s="92">
        <v>4.3792040358744396E-4</v>
      </c>
      <c r="AI33" s="18">
        <v>30</v>
      </c>
      <c r="AJ33" s="92">
        <v>1.4745521785033885E-5</v>
      </c>
      <c r="AK33" s="18">
        <v>0</v>
      </c>
      <c r="AL33" s="92">
        <v>0</v>
      </c>
      <c r="AM33" s="18">
        <v>10</v>
      </c>
      <c r="AN33" s="92">
        <v>5.0518955975255813E-6</v>
      </c>
      <c r="AO33" s="18">
        <v>45</v>
      </c>
      <c r="AP33" s="92">
        <v>2.0403749392988454E-5</v>
      </c>
      <c r="AQ33" s="18">
        <v>150</v>
      </c>
      <c r="AR33" s="92">
        <v>8.5933539000936676E-5</v>
      </c>
      <c r="AS33" s="18">
        <v>650</v>
      </c>
      <c r="AT33" s="92">
        <v>2.9732145389276118E-4</v>
      </c>
      <c r="AU33" s="18">
        <v>0</v>
      </c>
      <c r="AV33" s="92">
        <v>0</v>
      </c>
      <c r="AW33" s="18">
        <v>20</v>
      </c>
      <c r="AX33" s="92">
        <v>1.0131424843064229E-5</v>
      </c>
      <c r="AY33" s="18">
        <v>0</v>
      </c>
      <c r="AZ33" s="92">
        <v>0</v>
      </c>
      <c r="BA33" s="18">
        <v>0</v>
      </c>
      <c r="BB33" s="92">
        <v>0</v>
      </c>
      <c r="BC33" s="18">
        <v>30</v>
      </c>
      <c r="BD33" s="92">
        <v>1.4548177258871235E-5</v>
      </c>
      <c r="BE33" s="18">
        <v>550</v>
      </c>
      <c r="BF33" s="92">
        <v>2.7772321498453084E-4</v>
      </c>
      <c r="BG33" s="18">
        <v>738</v>
      </c>
      <c r="BH33" s="92">
        <v>3.1089955711557671E-4</v>
      </c>
      <c r="BI33" s="18">
        <v>100</v>
      </c>
      <c r="BJ33" s="92">
        <v>4.2112728193081808E-5</v>
      </c>
      <c r="BK33" s="18">
        <v>0</v>
      </c>
      <c r="BL33" s="92">
        <v>0</v>
      </c>
      <c r="BM33" s="18">
        <v>0</v>
      </c>
      <c r="BN33" s="92">
        <v>0</v>
      </c>
      <c r="BO33" s="18">
        <v>20</v>
      </c>
      <c r="BP33" s="92">
        <v>1.0877475033475429E-5</v>
      </c>
      <c r="BQ33" s="18">
        <v>200</v>
      </c>
      <c r="BR33" s="92">
        <v>9.5258780001752764E-5</v>
      </c>
      <c r="BS33" s="18">
        <v>40</v>
      </c>
      <c r="BT33" s="92">
        <v>2.3633691954914007E-5</v>
      </c>
      <c r="BU33" s="18">
        <v>50</v>
      </c>
      <c r="BV33" s="92">
        <v>3.4025502794854796E-5</v>
      </c>
      <c r="BW33" s="18">
        <v>0</v>
      </c>
      <c r="BX33" s="92">
        <v>0</v>
      </c>
      <c r="BY33" s="18">
        <v>100</v>
      </c>
      <c r="BZ33" s="92">
        <v>8.2698347852406601E-5</v>
      </c>
      <c r="CA33" s="18">
        <v>2390</v>
      </c>
      <c r="CB33" s="92">
        <v>1.6813154499523745E-3</v>
      </c>
      <c r="CC33" s="18">
        <v>3020</v>
      </c>
      <c r="CD33" s="92">
        <v>2.307476606236758E-3</v>
      </c>
      <c r="CE33" s="18">
        <v>1150</v>
      </c>
      <c r="CF33" s="92">
        <v>8.3005881147126838E-4</v>
      </c>
      <c r="CG33" s="18">
        <v>1052</v>
      </c>
      <c r="CH33" s="92">
        <v>8.738238264845038E-4</v>
      </c>
      <c r="CI33" s="18">
        <v>1390</v>
      </c>
      <c r="CJ33" s="92">
        <v>1.0412686997625308E-3</v>
      </c>
      <c r="CK33" s="18">
        <v>1520</v>
      </c>
      <c r="CL33" s="92">
        <v>8.4164270938077242E-4</v>
      </c>
      <c r="CM33" s="18">
        <v>0</v>
      </c>
      <c r="CN33" s="92">
        <v>0</v>
      </c>
      <c r="CO33" s="18">
        <v>2803</v>
      </c>
      <c r="CP33" s="92">
        <v>1.402167431697488E-3</v>
      </c>
      <c r="CQ33" s="18">
        <v>20</v>
      </c>
      <c r="CR33" s="92">
        <v>1.903362480157446E-5</v>
      </c>
      <c r="CS33" s="18">
        <v>0</v>
      </c>
      <c r="CT33" s="92">
        <v>0</v>
      </c>
      <c r="CU33" s="18">
        <v>900</v>
      </c>
      <c r="CV33" s="92">
        <v>6.0996644506811635E-4</v>
      </c>
      <c r="CW33" s="18">
        <v>10</v>
      </c>
      <c r="CX33" s="92">
        <v>5.9971489553866091E-6</v>
      </c>
      <c r="CY33" s="18">
        <v>200</v>
      </c>
      <c r="CZ33" s="92">
        <v>1.5153650438622411E-4</v>
      </c>
      <c r="DA33" s="18">
        <v>0</v>
      </c>
      <c r="DB33" s="92">
        <v>0</v>
      </c>
      <c r="DC33" s="18">
        <v>10</v>
      </c>
      <c r="DD33" s="92">
        <v>6.2530757316254937E-6</v>
      </c>
      <c r="DE33" s="18">
        <v>0</v>
      </c>
      <c r="DF33" s="92">
        <v>0</v>
      </c>
      <c r="DG33" s="18">
        <v>106</v>
      </c>
      <c r="DH33" s="92">
        <v>6.1489555476921113E-5</v>
      </c>
      <c r="DI33" s="18">
        <v>885</v>
      </c>
      <c r="DJ33" s="92">
        <v>5.0173879421679427E-4</v>
      </c>
      <c r="DK33" s="18">
        <v>40</v>
      </c>
      <c r="DL33" s="92">
        <v>2.7944650031682248E-5</v>
      </c>
      <c r="DM33" s="18">
        <v>25</v>
      </c>
      <c r="DN33" s="92">
        <v>1.7125082286020384E-5</v>
      </c>
      <c r="DO33" s="18">
        <v>400</v>
      </c>
      <c r="DP33" s="92">
        <v>2.4336999296660719E-4</v>
      </c>
      <c r="DQ33" s="18">
        <v>1650</v>
      </c>
      <c r="DR33" s="92">
        <v>1.1064046074711145E-3</v>
      </c>
      <c r="DS33" s="18">
        <v>1300</v>
      </c>
      <c r="DT33" s="92">
        <v>1.084009936201846E-3</v>
      </c>
      <c r="DU33" s="18">
        <v>1100</v>
      </c>
      <c r="DV33" s="92">
        <v>7.3182674600555657E-4</v>
      </c>
      <c r="DW33" s="18">
        <v>1280</v>
      </c>
      <c r="DX33" s="92">
        <v>8.3244560813403414E-4</v>
      </c>
      <c r="DY33" s="18">
        <v>240</v>
      </c>
      <c r="DZ33" s="92">
        <v>1.6054682247735789E-4</v>
      </c>
      <c r="EA33" s="18">
        <v>300</v>
      </c>
      <c r="EB33" s="92">
        <v>2.1411044958912206E-4</v>
      </c>
      <c r="EC33" s="18">
        <v>50</v>
      </c>
      <c r="ED33" s="92">
        <v>3.2489473410614963E-5</v>
      </c>
      <c r="EE33" s="18">
        <v>0</v>
      </c>
      <c r="EF33" s="92">
        <v>0</v>
      </c>
      <c r="EG33" s="18">
        <v>325</v>
      </c>
      <c r="EH33" s="92">
        <v>2.9714394384070892E-4</v>
      </c>
      <c r="EI33" s="18">
        <v>250</v>
      </c>
      <c r="EJ33" s="92">
        <v>2.1823178135619705E-4</v>
      </c>
      <c r="EK33" s="18">
        <v>1030</v>
      </c>
      <c r="EL33" s="92">
        <v>6.5898195605038209E-4</v>
      </c>
      <c r="EM33" s="18">
        <v>1595</v>
      </c>
      <c r="EN33" s="92">
        <v>1.644168870059118E-3</v>
      </c>
      <c r="EO33" s="18">
        <v>35</v>
      </c>
      <c r="EP33" s="92">
        <v>3.2416952398947097E-5</v>
      </c>
      <c r="EQ33" s="18">
        <v>4316</v>
      </c>
      <c r="ER33" s="92">
        <v>4.134281778699061E-3</v>
      </c>
      <c r="ES33" s="18">
        <f t="shared" si="2"/>
        <v>150</v>
      </c>
      <c r="ET33" s="92">
        <f>ES33/ES35</f>
        <v>1.2120928075220863E-4</v>
      </c>
      <c r="EU33" s="221">
        <f>IF( SUM($EQ33:ES33)&lt;0, "n/a", SUM($EQ33:ES33)/EU$74)</f>
        <v>2233.0020671408893</v>
      </c>
      <c r="EV33" s="224">
        <f>EU33/EU35</f>
        <v>1.957499651227788E-3</v>
      </c>
      <c r="EW33" s="22"/>
      <c r="EX33" s="96" t="s">
        <v>17</v>
      </c>
      <c r="EY33" s="35">
        <f>IF(ISERROR(VLOOKUP(EX33,IQSH01E!$A$1:$M$400,2,0)),0,VLOOKUP(EX33,IQSH01E!$A$1:$M$400,2,0))</f>
        <v>150</v>
      </c>
      <c r="EZ33" s="182" t="s">
        <v>118</v>
      </c>
    </row>
    <row r="34" spans="1:156" ht="24" customHeight="1" x14ac:dyDescent="0.3">
      <c r="A34" s="3"/>
      <c r="B34" s="14" t="s">
        <v>102</v>
      </c>
      <c r="C34" s="18">
        <v>0</v>
      </c>
      <c r="D34" s="92">
        <v>0</v>
      </c>
      <c r="E34" s="18">
        <v>0</v>
      </c>
      <c r="F34" s="92">
        <v>0</v>
      </c>
      <c r="G34" s="18">
        <v>0</v>
      </c>
      <c r="H34" s="92">
        <v>0</v>
      </c>
      <c r="I34" s="18">
        <v>0</v>
      </c>
      <c r="J34" s="92">
        <v>0</v>
      </c>
      <c r="K34" s="18">
        <v>0</v>
      </c>
      <c r="L34" s="92">
        <v>0</v>
      </c>
      <c r="M34" s="18">
        <v>0</v>
      </c>
      <c r="N34" s="92">
        <v>0</v>
      </c>
      <c r="O34" s="18">
        <v>0</v>
      </c>
      <c r="P34" s="92">
        <v>0</v>
      </c>
      <c r="Q34" s="18">
        <v>0</v>
      </c>
      <c r="R34" s="92">
        <v>0</v>
      </c>
      <c r="S34" s="18">
        <v>0</v>
      </c>
      <c r="T34" s="92">
        <v>0</v>
      </c>
      <c r="U34" s="18">
        <v>0</v>
      </c>
      <c r="V34" s="92">
        <v>0</v>
      </c>
      <c r="W34" s="18">
        <v>0</v>
      </c>
      <c r="X34" s="92">
        <v>0</v>
      </c>
      <c r="Y34" s="18">
        <v>0</v>
      </c>
      <c r="Z34" s="92">
        <v>0</v>
      </c>
      <c r="AA34" s="18">
        <v>0</v>
      </c>
      <c r="AB34" s="92">
        <v>0</v>
      </c>
      <c r="AC34" s="18">
        <v>0</v>
      </c>
      <c r="AD34" s="92">
        <v>0</v>
      </c>
      <c r="AE34" s="18">
        <v>0</v>
      </c>
      <c r="AF34" s="92">
        <v>0</v>
      </c>
      <c r="AG34" s="18">
        <v>0</v>
      </c>
      <c r="AH34" s="92">
        <v>0</v>
      </c>
      <c r="AI34" s="18">
        <v>0</v>
      </c>
      <c r="AJ34" s="92">
        <v>0</v>
      </c>
      <c r="AK34" s="18">
        <v>0</v>
      </c>
      <c r="AL34" s="92">
        <v>0</v>
      </c>
      <c r="AM34" s="18">
        <v>0</v>
      </c>
      <c r="AN34" s="92">
        <v>0</v>
      </c>
      <c r="AO34" s="18">
        <v>0</v>
      </c>
      <c r="AP34" s="92">
        <v>0</v>
      </c>
      <c r="AQ34" s="18">
        <v>0</v>
      </c>
      <c r="AR34" s="92">
        <v>0</v>
      </c>
      <c r="AS34" s="18">
        <v>0</v>
      </c>
      <c r="AT34" s="92">
        <v>0</v>
      </c>
      <c r="AU34" s="18">
        <v>0</v>
      </c>
      <c r="AV34" s="92">
        <v>0</v>
      </c>
      <c r="AW34" s="18">
        <v>0</v>
      </c>
      <c r="AX34" s="92">
        <v>0</v>
      </c>
      <c r="AY34" s="18">
        <v>0</v>
      </c>
      <c r="AZ34" s="92">
        <v>0</v>
      </c>
      <c r="BA34" s="18">
        <v>0</v>
      </c>
      <c r="BB34" s="92">
        <v>0</v>
      </c>
      <c r="BC34" s="18">
        <v>0</v>
      </c>
      <c r="BD34" s="92">
        <v>0</v>
      </c>
      <c r="BE34" s="18">
        <v>0</v>
      </c>
      <c r="BF34" s="92">
        <v>0</v>
      </c>
      <c r="BG34" s="18">
        <v>0</v>
      </c>
      <c r="BH34" s="92">
        <v>0</v>
      </c>
      <c r="BI34" s="18">
        <v>0</v>
      </c>
      <c r="BJ34" s="92">
        <v>0</v>
      </c>
      <c r="BK34" s="18">
        <v>0</v>
      </c>
      <c r="BL34" s="92">
        <v>0</v>
      </c>
      <c r="BM34" s="18">
        <v>0</v>
      </c>
      <c r="BN34" s="92">
        <v>0</v>
      </c>
      <c r="BO34" s="18">
        <v>0</v>
      </c>
      <c r="BP34" s="92">
        <v>0</v>
      </c>
      <c r="BQ34" s="18">
        <v>0</v>
      </c>
      <c r="BR34" s="92">
        <v>0</v>
      </c>
      <c r="BS34" s="18">
        <v>0</v>
      </c>
      <c r="BT34" s="92">
        <v>0</v>
      </c>
      <c r="BU34" s="18">
        <v>0</v>
      </c>
      <c r="BV34" s="92">
        <v>0</v>
      </c>
      <c r="BW34" s="18">
        <v>0</v>
      </c>
      <c r="BX34" s="92">
        <v>0</v>
      </c>
      <c r="BY34" s="18">
        <v>0</v>
      </c>
      <c r="BZ34" s="92">
        <v>0</v>
      </c>
      <c r="CA34" s="18">
        <v>0</v>
      </c>
      <c r="CB34" s="92">
        <v>0</v>
      </c>
      <c r="CC34" s="18">
        <v>0</v>
      </c>
      <c r="CD34" s="92">
        <v>0</v>
      </c>
      <c r="CE34" s="18">
        <v>0</v>
      </c>
      <c r="CF34" s="92">
        <v>0</v>
      </c>
      <c r="CG34" s="18">
        <v>0</v>
      </c>
      <c r="CH34" s="92">
        <v>0</v>
      </c>
      <c r="CI34" s="18">
        <v>0</v>
      </c>
      <c r="CJ34" s="92">
        <v>0</v>
      </c>
      <c r="CK34" s="18">
        <v>0</v>
      </c>
      <c r="CL34" s="92">
        <v>0</v>
      </c>
      <c r="CM34" s="18">
        <v>0</v>
      </c>
      <c r="CN34" s="92">
        <v>0</v>
      </c>
      <c r="CO34" s="18">
        <v>0</v>
      </c>
      <c r="CP34" s="92">
        <v>0</v>
      </c>
      <c r="CQ34" s="18">
        <v>0</v>
      </c>
      <c r="CR34" s="92">
        <v>0</v>
      </c>
      <c r="CS34" s="18">
        <v>0</v>
      </c>
      <c r="CT34" s="92">
        <v>0</v>
      </c>
      <c r="CU34" s="18">
        <v>0</v>
      </c>
      <c r="CV34" s="92">
        <v>0</v>
      </c>
      <c r="CW34" s="18">
        <v>0</v>
      </c>
      <c r="CX34" s="92">
        <v>0</v>
      </c>
      <c r="CY34" s="18">
        <v>0</v>
      </c>
      <c r="CZ34" s="92">
        <v>0</v>
      </c>
      <c r="DA34" s="18">
        <v>0</v>
      </c>
      <c r="DB34" s="92">
        <v>0</v>
      </c>
      <c r="DC34" s="18">
        <v>0</v>
      </c>
      <c r="DD34" s="92">
        <v>0</v>
      </c>
      <c r="DE34" s="18">
        <v>0</v>
      </c>
      <c r="DF34" s="92">
        <v>0</v>
      </c>
      <c r="DG34" s="18">
        <v>0</v>
      </c>
      <c r="DH34" s="92">
        <v>0</v>
      </c>
      <c r="DI34" s="18">
        <v>0</v>
      </c>
      <c r="DJ34" s="92">
        <v>0</v>
      </c>
      <c r="DK34" s="18">
        <v>0</v>
      </c>
      <c r="DL34" s="92">
        <v>0</v>
      </c>
      <c r="DM34" s="18">
        <v>0</v>
      </c>
      <c r="DN34" s="92">
        <v>0</v>
      </c>
      <c r="DO34" s="18">
        <v>0</v>
      </c>
      <c r="DP34" s="92">
        <v>0</v>
      </c>
      <c r="DQ34" s="18">
        <v>0</v>
      </c>
      <c r="DR34" s="92">
        <v>0</v>
      </c>
      <c r="DS34" s="18">
        <v>0</v>
      </c>
      <c r="DT34" s="92">
        <v>0</v>
      </c>
      <c r="DU34" s="18">
        <v>0</v>
      </c>
      <c r="DV34" s="92">
        <v>0</v>
      </c>
      <c r="DW34" s="18">
        <v>0</v>
      </c>
      <c r="DX34" s="92">
        <v>0</v>
      </c>
      <c r="DY34" s="18">
        <v>0</v>
      </c>
      <c r="DZ34" s="92">
        <v>0</v>
      </c>
      <c r="EA34" s="18">
        <v>0</v>
      </c>
      <c r="EB34" s="92">
        <v>0</v>
      </c>
      <c r="EC34" s="18">
        <v>0</v>
      </c>
      <c r="ED34" s="92">
        <v>0</v>
      </c>
      <c r="EE34" s="18">
        <v>0</v>
      </c>
      <c r="EF34" s="92">
        <v>0</v>
      </c>
      <c r="EG34" s="18">
        <v>0</v>
      </c>
      <c r="EH34" s="92">
        <v>0</v>
      </c>
      <c r="EI34" s="18">
        <v>0</v>
      </c>
      <c r="EJ34" s="92">
        <v>0</v>
      </c>
      <c r="EK34" s="18">
        <v>0</v>
      </c>
      <c r="EL34" s="92">
        <v>0</v>
      </c>
      <c r="EM34" s="18">
        <v>0</v>
      </c>
      <c r="EN34" s="92">
        <v>0</v>
      </c>
      <c r="EO34" s="18">
        <v>0</v>
      </c>
      <c r="EP34" s="92">
        <v>0</v>
      </c>
      <c r="EQ34" s="18">
        <v>0</v>
      </c>
      <c r="ER34" s="92">
        <v>0</v>
      </c>
      <c r="ES34" s="18">
        <f t="shared" si="2"/>
        <v>0</v>
      </c>
      <c r="ET34" s="92">
        <f>ES34/ES35</f>
        <v>0</v>
      </c>
      <c r="EU34" s="221">
        <f>IF( SUM($EQ34:ES34)&lt;0, "n/a", SUM($EQ34:ES34)/EU$74)</f>
        <v>0</v>
      </c>
      <c r="EV34" s="224">
        <f>EU34/EU35</f>
        <v>0</v>
      </c>
      <c r="EW34" s="22"/>
      <c r="EX34" s="96" t="s">
        <v>120</v>
      </c>
      <c r="EY34" s="35">
        <f>IF(ISERROR(VLOOKUP(EX34,IQSH01E!$A$1:$M$400,2,0)),0,VLOOKUP(EX34,IQSH01E!$A$1:$M$400,2,0))</f>
        <v>0</v>
      </c>
      <c r="EZ34" s="182" t="s">
        <v>123</v>
      </c>
    </row>
    <row r="35" spans="1:156" ht="24" customHeight="1" thickBot="1" x14ac:dyDescent="0.35">
      <c r="A35" s="3"/>
      <c r="B35" s="15" t="s">
        <v>83</v>
      </c>
      <c r="C35" s="19">
        <v>2101837</v>
      </c>
      <c r="D35" s="95">
        <v>1</v>
      </c>
      <c r="E35" s="19">
        <v>1776625</v>
      </c>
      <c r="F35" s="95">
        <v>1</v>
      </c>
      <c r="G35" s="19">
        <v>1861039</v>
      </c>
      <c r="H35" s="95">
        <v>1</v>
      </c>
      <c r="I35" s="19">
        <v>1590086</v>
      </c>
      <c r="J35" s="95">
        <v>1</v>
      </c>
      <c r="K35" s="19">
        <v>1723053</v>
      </c>
      <c r="L35" s="95">
        <v>1</v>
      </c>
      <c r="M35" s="19">
        <v>1685976</v>
      </c>
      <c r="N35" s="95">
        <v>1</v>
      </c>
      <c r="O35" s="19">
        <v>1952008</v>
      </c>
      <c r="P35" s="95">
        <v>1</v>
      </c>
      <c r="Q35" s="19">
        <v>2014476</v>
      </c>
      <c r="R35" s="95">
        <v>1</v>
      </c>
      <c r="S35" s="19">
        <v>1970626</v>
      </c>
      <c r="T35" s="95">
        <v>1</v>
      </c>
      <c r="U35" s="19">
        <v>1850637</v>
      </c>
      <c r="V35" s="95">
        <v>1</v>
      </c>
      <c r="W35" s="19">
        <v>1864584</v>
      </c>
      <c r="X35" s="95">
        <v>1</v>
      </c>
      <c r="Y35" s="19">
        <v>1721049</v>
      </c>
      <c r="Z35" s="95">
        <v>1</v>
      </c>
      <c r="AA35" s="19">
        <v>2042662</v>
      </c>
      <c r="AB35" s="95">
        <v>1</v>
      </c>
      <c r="AC35" s="19">
        <v>1925944</v>
      </c>
      <c r="AD35" s="95">
        <v>1</v>
      </c>
      <c r="AE35" s="19">
        <v>2091965</v>
      </c>
      <c r="AF35" s="95">
        <v>1</v>
      </c>
      <c r="AG35" s="19">
        <v>1940992</v>
      </c>
      <c r="AH35" s="95">
        <v>1</v>
      </c>
      <c r="AI35" s="19">
        <v>2034516</v>
      </c>
      <c r="AJ35" s="95">
        <v>1</v>
      </c>
      <c r="AK35" s="19">
        <v>1966805</v>
      </c>
      <c r="AL35" s="95">
        <v>1</v>
      </c>
      <c r="AM35" s="19">
        <v>1979455</v>
      </c>
      <c r="AN35" s="95">
        <v>1</v>
      </c>
      <c r="AO35" s="19">
        <v>2205477</v>
      </c>
      <c r="AP35" s="95">
        <v>1</v>
      </c>
      <c r="AQ35" s="19">
        <v>1745535</v>
      </c>
      <c r="AR35" s="95">
        <v>1</v>
      </c>
      <c r="AS35" s="19">
        <v>2186186</v>
      </c>
      <c r="AT35" s="95">
        <v>1</v>
      </c>
      <c r="AU35" s="19">
        <v>2213347</v>
      </c>
      <c r="AV35" s="95">
        <v>1</v>
      </c>
      <c r="AW35" s="19">
        <v>1974056</v>
      </c>
      <c r="AX35" s="95">
        <v>1</v>
      </c>
      <c r="AY35" s="19">
        <v>2135506</v>
      </c>
      <c r="AZ35" s="95">
        <v>1</v>
      </c>
      <c r="BA35" s="19">
        <v>1394886</v>
      </c>
      <c r="BB35" s="95">
        <v>1</v>
      </c>
      <c r="BC35" s="19">
        <v>2062114</v>
      </c>
      <c r="BD35" s="95">
        <v>1</v>
      </c>
      <c r="BE35" s="19">
        <v>1980389</v>
      </c>
      <c r="BF35" s="95">
        <v>1</v>
      </c>
      <c r="BG35" s="19">
        <v>2373757</v>
      </c>
      <c r="BH35" s="95">
        <v>1</v>
      </c>
      <c r="BI35" s="19">
        <v>2374579</v>
      </c>
      <c r="BJ35" s="95">
        <v>1</v>
      </c>
      <c r="BK35" s="19">
        <v>2237482</v>
      </c>
      <c r="BL35" s="95">
        <v>1</v>
      </c>
      <c r="BM35" s="19">
        <v>2042110</v>
      </c>
      <c r="BN35" s="95">
        <v>1</v>
      </c>
      <c r="BO35" s="19">
        <v>1838662</v>
      </c>
      <c r="BP35" s="95">
        <v>1</v>
      </c>
      <c r="BQ35" s="19">
        <v>2099544</v>
      </c>
      <c r="BR35" s="95">
        <v>1</v>
      </c>
      <c r="BS35" s="19">
        <v>1692499</v>
      </c>
      <c r="BT35" s="95">
        <v>1</v>
      </c>
      <c r="BU35" s="19">
        <v>1469486</v>
      </c>
      <c r="BV35" s="95">
        <v>1</v>
      </c>
      <c r="BW35" s="19">
        <v>1844255</v>
      </c>
      <c r="BX35" s="95">
        <v>1</v>
      </c>
      <c r="BY35" s="19">
        <v>1209214</v>
      </c>
      <c r="BZ35" s="95">
        <v>1</v>
      </c>
      <c r="CA35" s="19">
        <v>1421506</v>
      </c>
      <c r="CB35" s="95">
        <v>1</v>
      </c>
      <c r="CC35" s="19">
        <v>1308789</v>
      </c>
      <c r="CD35" s="95">
        <v>1</v>
      </c>
      <c r="CE35" s="19">
        <v>1385444</v>
      </c>
      <c r="CF35" s="95">
        <v>1</v>
      </c>
      <c r="CG35" s="19">
        <v>1203904</v>
      </c>
      <c r="CH35" s="95">
        <v>1</v>
      </c>
      <c r="CI35" s="19">
        <v>1334910</v>
      </c>
      <c r="CJ35" s="95">
        <v>1</v>
      </c>
      <c r="CK35" s="19">
        <v>1805992</v>
      </c>
      <c r="CL35" s="95">
        <v>1</v>
      </c>
      <c r="CM35" s="19">
        <v>1488623</v>
      </c>
      <c r="CN35" s="95">
        <v>1</v>
      </c>
      <c r="CO35" s="19">
        <v>1999048</v>
      </c>
      <c r="CP35" s="95">
        <v>1</v>
      </c>
      <c r="CQ35" s="19">
        <v>1050772</v>
      </c>
      <c r="CR35" s="95">
        <v>1</v>
      </c>
      <c r="CS35" s="19">
        <v>1577283</v>
      </c>
      <c r="CT35" s="95">
        <v>1</v>
      </c>
      <c r="CU35" s="19">
        <v>1475491</v>
      </c>
      <c r="CV35" s="95">
        <v>1</v>
      </c>
      <c r="CW35" s="19">
        <v>1667459</v>
      </c>
      <c r="CX35" s="95">
        <v>1</v>
      </c>
      <c r="CY35" s="19">
        <v>1319814</v>
      </c>
      <c r="CZ35" s="95">
        <v>1</v>
      </c>
      <c r="DA35" s="19">
        <v>1536470</v>
      </c>
      <c r="DB35" s="95">
        <v>1</v>
      </c>
      <c r="DC35" s="19">
        <v>1599213</v>
      </c>
      <c r="DD35" s="95">
        <v>1</v>
      </c>
      <c r="DE35" s="19">
        <v>1338524</v>
      </c>
      <c r="DF35" s="95">
        <v>1</v>
      </c>
      <c r="DG35" s="19">
        <v>1723870</v>
      </c>
      <c r="DH35" s="95">
        <v>1</v>
      </c>
      <c r="DI35" s="19">
        <v>1763866</v>
      </c>
      <c r="DJ35" s="95">
        <v>1</v>
      </c>
      <c r="DK35" s="19">
        <v>1431401</v>
      </c>
      <c r="DL35" s="95">
        <v>1</v>
      </c>
      <c r="DM35" s="19">
        <v>1459847</v>
      </c>
      <c r="DN35" s="95">
        <v>1</v>
      </c>
      <c r="DO35" s="19">
        <v>1643588</v>
      </c>
      <c r="DP35" s="95">
        <v>1</v>
      </c>
      <c r="DQ35" s="19">
        <v>1491317</v>
      </c>
      <c r="DR35" s="95">
        <v>1</v>
      </c>
      <c r="DS35" s="19">
        <v>1199251</v>
      </c>
      <c r="DT35" s="95">
        <v>1</v>
      </c>
      <c r="DU35" s="19">
        <v>1503088</v>
      </c>
      <c r="DV35" s="95">
        <v>1</v>
      </c>
      <c r="DW35" s="19">
        <v>1537638</v>
      </c>
      <c r="DX35" s="95">
        <v>1</v>
      </c>
      <c r="DY35" s="19">
        <v>1494891</v>
      </c>
      <c r="DZ35" s="95">
        <v>1</v>
      </c>
      <c r="EA35" s="19">
        <v>1401146</v>
      </c>
      <c r="EB35" s="95">
        <v>1</v>
      </c>
      <c r="EC35" s="19">
        <v>1538960</v>
      </c>
      <c r="ED35" s="95">
        <v>1</v>
      </c>
      <c r="EE35" s="19">
        <v>1571671</v>
      </c>
      <c r="EF35" s="95">
        <v>1</v>
      </c>
      <c r="EG35" s="19">
        <v>1093746</v>
      </c>
      <c r="EH35" s="95">
        <v>1</v>
      </c>
      <c r="EI35" s="19">
        <v>1145571</v>
      </c>
      <c r="EJ35" s="95">
        <v>1</v>
      </c>
      <c r="EK35" s="19">
        <v>1563017</v>
      </c>
      <c r="EL35" s="95">
        <v>1</v>
      </c>
      <c r="EM35" s="19">
        <v>970095</v>
      </c>
      <c r="EN35" s="95">
        <v>1</v>
      </c>
      <c r="EO35" s="19">
        <v>1079682</v>
      </c>
      <c r="EP35" s="95">
        <v>1</v>
      </c>
      <c r="EQ35" s="19">
        <v>1043954</v>
      </c>
      <c r="ER35" s="95">
        <v>1</v>
      </c>
      <c r="ES35" s="19">
        <f>SUM(ES28:ES34)</f>
        <v>1237529</v>
      </c>
      <c r="ET35" s="95">
        <f>ES35/ES35</f>
        <v>1</v>
      </c>
      <c r="EU35" s="225">
        <f>IF( SUM($EQ35:ES35)&lt;0, "n/a", SUM($EQ35:ES35)/EU$74)</f>
        <v>1140742</v>
      </c>
      <c r="EV35" s="226">
        <f>EU35/EU35</f>
        <v>1</v>
      </c>
      <c r="EW35" s="22"/>
      <c r="EX35" s="100" t="s">
        <v>148</v>
      </c>
      <c r="EY35" s="103">
        <f>IF(ISERROR(VLOOKUP(EX35,IQSH01E!$A$1:$M$400,2,0)),0,VLOOKUP(EX35,IQSH01E!$A$1:$M$400,2,0))</f>
        <v>0</v>
      </c>
      <c r="EZ35" s="186"/>
    </row>
    <row r="36" spans="1:156" ht="24" customHeight="1" x14ac:dyDescent="0.3">
      <c r="A36" s="3"/>
      <c r="B36" s="14" t="s">
        <v>88</v>
      </c>
      <c r="C36" s="18">
        <v>1285414</v>
      </c>
      <c r="D36" s="24"/>
      <c r="E36" s="18">
        <v>1256752</v>
      </c>
      <c r="F36" s="24"/>
      <c r="G36" s="18">
        <v>1299657</v>
      </c>
      <c r="H36" s="24"/>
      <c r="I36" s="18">
        <v>1673143</v>
      </c>
      <c r="J36" s="24"/>
      <c r="K36" s="18">
        <v>1512885</v>
      </c>
      <c r="L36" s="24"/>
      <c r="M36" s="18">
        <v>1690912</v>
      </c>
      <c r="N36" s="24"/>
      <c r="O36" s="18">
        <v>1549693</v>
      </c>
      <c r="P36" s="24"/>
      <c r="Q36" s="18">
        <v>1496470</v>
      </c>
      <c r="R36" s="24"/>
      <c r="S36" s="18">
        <v>1220684</v>
      </c>
      <c r="T36" s="24"/>
      <c r="U36" s="18">
        <v>1209932</v>
      </c>
      <c r="V36" s="24"/>
      <c r="W36" s="18">
        <v>1502950</v>
      </c>
      <c r="X36" s="24"/>
      <c r="Y36" s="18">
        <v>985901</v>
      </c>
      <c r="Z36" s="24"/>
      <c r="AA36" s="18">
        <v>1045355</v>
      </c>
      <c r="AB36" s="24"/>
      <c r="AC36" s="18">
        <v>1059114</v>
      </c>
      <c r="AD36" s="24"/>
      <c r="AE36" s="18">
        <v>1297468</v>
      </c>
      <c r="AF36" s="24"/>
      <c r="AG36" s="18">
        <v>1431803</v>
      </c>
      <c r="AH36" s="24"/>
      <c r="AI36" s="18">
        <v>1213704.5</v>
      </c>
      <c r="AJ36" s="24"/>
      <c r="AK36" s="18">
        <v>1437210</v>
      </c>
      <c r="AL36" s="24"/>
      <c r="AM36" s="18">
        <v>1120193</v>
      </c>
      <c r="AN36" s="24"/>
      <c r="AO36" s="18">
        <v>1356139</v>
      </c>
      <c r="AP36" s="24"/>
      <c r="AQ36" s="18">
        <v>1350222</v>
      </c>
      <c r="AR36" s="24"/>
      <c r="AS36" s="18">
        <v>1314238</v>
      </c>
      <c r="AT36" s="24"/>
      <c r="AU36" s="18">
        <v>1201265</v>
      </c>
      <c r="AV36" s="24"/>
      <c r="AW36" s="18">
        <v>1085314</v>
      </c>
      <c r="AX36" s="24"/>
      <c r="AY36" s="18">
        <v>1181991</v>
      </c>
      <c r="AZ36" s="24"/>
      <c r="BA36" s="18">
        <v>1198239</v>
      </c>
      <c r="BB36" s="24"/>
      <c r="BC36" s="18">
        <v>1919244</v>
      </c>
      <c r="BD36" s="24"/>
      <c r="BE36" s="18">
        <v>1243269</v>
      </c>
      <c r="BF36" s="24"/>
      <c r="BG36" s="18">
        <v>1376515</v>
      </c>
      <c r="BH36" s="24"/>
      <c r="BI36" s="18">
        <v>1513579</v>
      </c>
      <c r="BJ36" s="24"/>
      <c r="BK36" s="18">
        <v>971414</v>
      </c>
      <c r="BL36" s="24"/>
      <c r="BM36" s="18">
        <v>1567365</v>
      </c>
      <c r="BN36" s="24"/>
      <c r="BO36" s="18">
        <v>1213594</v>
      </c>
      <c r="BP36" s="24"/>
      <c r="BQ36" s="18">
        <v>1114380</v>
      </c>
      <c r="BR36" s="24"/>
      <c r="BS36" s="18">
        <v>1070054</v>
      </c>
      <c r="BT36" s="24"/>
      <c r="BU36" s="18">
        <v>753018</v>
      </c>
      <c r="BV36" s="24"/>
      <c r="BW36" s="18">
        <v>980955</v>
      </c>
      <c r="BX36" s="24"/>
      <c r="BY36" s="18">
        <v>1083290</v>
      </c>
      <c r="BZ36" s="24"/>
      <c r="CA36" s="18">
        <v>1336609</v>
      </c>
      <c r="CB36" s="24"/>
      <c r="CC36" s="18">
        <v>1137116</v>
      </c>
      <c r="CD36" s="24"/>
      <c r="CE36" s="18">
        <v>1369248</v>
      </c>
      <c r="CF36" s="24"/>
      <c r="CG36" s="18">
        <v>962883</v>
      </c>
      <c r="CH36" s="24"/>
      <c r="CI36" s="18">
        <v>898241</v>
      </c>
      <c r="CJ36" s="24"/>
      <c r="CK36" s="18">
        <v>1251163</v>
      </c>
      <c r="CL36" s="24"/>
      <c r="CM36" s="18">
        <v>1064633</v>
      </c>
      <c r="CN36" s="24"/>
      <c r="CO36" s="18">
        <v>1157937</v>
      </c>
      <c r="CP36" s="24"/>
      <c r="CQ36" s="18">
        <v>1235725</v>
      </c>
      <c r="CR36" s="24"/>
      <c r="CS36" s="18">
        <v>974591</v>
      </c>
      <c r="CT36" s="24"/>
      <c r="CU36" s="18">
        <v>901544</v>
      </c>
      <c r="CV36" s="24"/>
      <c r="CW36" s="18">
        <v>1304529</v>
      </c>
      <c r="CX36" s="24"/>
      <c r="CY36" s="18">
        <v>1375593</v>
      </c>
      <c r="CZ36" s="24"/>
      <c r="DA36" s="18">
        <v>1307840</v>
      </c>
      <c r="DB36" s="24"/>
      <c r="DC36" s="18">
        <v>1470361</v>
      </c>
      <c r="DD36" s="24"/>
      <c r="DE36" s="18">
        <v>1350825</v>
      </c>
      <c r="DF36" s="24"/>
      <c r="DG36" s="18">
        <v>1044530</v>
      </c>
      <c r="DH36" s="24"/>
      <c r="DI36" s="18">
        <v>1088137</v>
      </c>
      <c r="DJ36" s="24"/>
      <c r="DK36" s="18">
        <v>1217607</v>
      </c>
      <c r="DL36" s="24"/>
      <c r="DM36" s="18">
        <v>1711754</v>
      </c>
      <c r="DN36" s="24"/>
      <c r="DO36" s="18">
        <v>1143473</v>
      </c>
      <c r="DP36" s="24"/>
      <c r="DQ36" s="18">
        <v>968175</v>
      </c>
      <c r="DR36" s="24"/>
      <c r="DS36" s="18">
        <v>1305756</v>
      </c>
      <c r="DT36" s="24"/>
      <c r="DU36" s="18">
        <v>1498528</v>
      </c>
      <c r="DV36" s="24"/>
      <c r="DW36" s="18">
        <v>1484404</v>
      </c>
      <c r="DX36" s="24"/>
      <c r="DY36" s="18">
        <v>1486192</v>
      </c>
      <c r="DZ36" s="24"/>
      <c r="EA36" s="18">
        <v>1485383</v>
      </c>
      <c r="EB36" s="24"/>
      <c r="EC36" s="18">
        <v>1330992</v>
      </c>
      <c r="ED36" s="24"/>
      <c r="EE36" s="18">
        <v>1316908</v>
      </c>
      <c r="EF36" s="24"/>
      <c r="EG36" s="18">
        <v>1281850</v>
      </c>
      <c r="EH36" s="24"/>
      <c r="EI36" s="18">
        <v>1243687</v>
      </c>
      <c r="EJ36" s="24"/>
      <c r="EK36" s="18">
        <v>1712295</v>
      </c>
      <c r="EL36" s="24"/>
      <c r="EM36" s="18">
        <v>1022762</v>
      </c>
      <c r="EN36" s="24"/>
      <c r="EO36" s="18">
        <v>1015234</v>
      </c>
      <c r="EP36" s="24"/>
      <c r="EQ36" s="18">
        <v>1323548</v>
      </c>
      <c r="ER36" s="24"/>
      <c r="ES36" s="18">
        <f>+$EY36</f>
        <v>1170819</v>
      </c>
      <c r="ET36" s="24"/>
      <c r="EU36" s="221">
        <f>IF( SUM($EQ36:ES36)&lt;0, "n/a", SUM($EQ36:ES36)/EU$74)</f>
        <v>1247183.5</v>
      </c>
      <c r="EV36" s="227"/>
      <c r="EW36" s="22"/>
      <c r="EX36" s="96" t="s">
        <v>6</v>
      </c>
      <c r="EY36" s="35">
        <f>IF(ISERROR(VLOOKUP(EX36,IQSH01E!$A$1:$M$400,2,0)),0,VLOOKUP(EX36,IQSH01E!$A$1:$M$400,2,0))</f>
        <v>1170819</v>
      </c>
      <c r="EZ36" s="182" t="s">
        <v>118</v>
      </c>
    </row>
    <row r="37" spans="1:156" ht="24" customHeight="1" x14ac:dyDescent="0.3">
      <c r="A37" s="3"/>
      <c r="B37" s="14" t="s">
        <v>71</v>
      </c>
      <c r="C37" s="18">
        <v>0</v>
      </c>
      <c r="D37" s="24"/>
      <c r="E37" s="18">
        <v>0</v>
      </c>
      <c r="F37" s="24"/>
      <c r="G37" s="18">
        <v>0</v>
      </c>
      <c r="H37" s="24"/>
      <c r="I37" s="18">
        <v>0</v>
      </c>
      <c r="J37" s="24"/>
      <c r="K37" s="18">
        <v>0</v>
      </c>
      <c r="L37" s="24"/>
      <c r="M37" s="18">
        <v>0</v>
      </c>
      <c r="N37" s="24"/>
      <c r="O37" s="18">
        <v>0</v>
      </c>
      <c r="P37" s="24"/>
      <c r="Q37" s="18">
        <v>0</v>
      </c>
      <c r="R37" s="24"/>
      <c r="S37" s="18">
        <v>0</v>
      </c>
      <c r="T37" s="24"/>
      <c r="U37" s="18">
        <v>0</v>
      </c>
      <c r="V37" s="24"/>
      <c r="W37" s="18">
        <v>0</v>
      </c>
      <c r="X37" s="24"/>
      <c r="Y37" s="18">
        <v>0</v>
      </c>
      <c r="Z37" s="24"/>
      <c r="AA37" s="18">
        <v>0</v>
      </c>
      <c r="AB37" s="24"/>
      <c r="AC37" s="18">
        <v>0</v>
      </c>
      <c r="AD37" s="24"/>
      <c r="AE37" s="18">
        <v>0</v>
      </c>
      <c r="AF37" s="24"/>
      <c r="AG37" s="18">
        <v>0</v>
      </c>
      <c r="AH37" s="24"/>
      <c r="AI37" s="18">
        <v>0</v>
      </c>
      <c r="AJ37" s="24"/>
      <c r="AK37" s="18">
        <v>0</v>
      </c>
      <c r="AL37" s="24"/>
      <c r="AM37" s="18">
        <v>0</v>
      </c>
      <c r="AN37" s="24"/>
      <c r="AO37" s="18">
        <v>0</v>
      </c>
      <c r="AP37" s="24"/>
      <c r="AQ37" s="18">
        <v>0</v>
      </c>
      <c r="AR37" s="24"/>
      <c r="AS37" s="18">
        <v>0</v>
      </c>
      <c r="AT37" s="24"/>
      <c r="AU37" s="18">
        <v>0</v>
      </c>
      <c r="AV37" s="24"/>
      <c r="AW37" s="18">
        <v>0</v>
      </c>
      <c r="AX37" s="24"/>
      <c r="AY37" s="18">
        <v>0</v>
      </c>
      <c r="AZ37" s="24"/>
      <c r="BA37" s="18">
        <v>0</v>
      </c>
      <c r="BB37" s="24"/>
      <c r="BC37" s="18">
        <v>0</v>
      </c>
      <c r="BD37" s="24"/>
      <c r="BE37" s="18">
        <v>0</v>
      </c>
      <c r="BF37" s="24"/>
      <c r="BG37" s="18">
        <v>0</v>
      </c>
      <c r="BH37" s="24"/>
      <c r="BI37" s="18">
        <v>0</v>
      </c>
      <c r="BJ37" s="24"/>
      <c r="BK37" s="18">
        <v>0</v>
      </c>
      <c r="BL37" s="24"/>
      <c r="BM37" s="18">
        <v>0</v>
      </c>
      <c r="BN37" s="24"/>
      <c r="BO37" s="18">
        <v>0</v>
      </c>
      <c r="BP37" s="24"/>
      <c r="BQ37" s="18">
        <v>0</v>
      </c>
      <c r="BR37" s="24"/>
      <c r="BS37" s="18">
        <v>0</v>
      </c>
      <c r="BT37" s="24"/>
      <c r="BU37" s="18">
        <v>0</v>
      </c>
      <c r="BV37" s="24"/>
      <c r="BW37" s="18">
        <v>0</v>
      </c>
      <c r="BX37" s="24"/>
      <c r="BY37" s="18">
        <v>0</v>
      </c>
      <c r="BZ37" s="24"/>
      <c r="CA37" s="18">
        <v>0</v>
      </c>
      <c r="CB37" s="24"/>
      <c r="CC37" s="18">
        <v>0</v>
      </c>
      <c r="CD37" s="24"/>
      <c r="CE37" s="18">
        <v>0</v>
      </c>
      <c r="CF37" s="24"/>
      <c r="CG37" s="18">
        <v>0</v>
      </c>
      <c r="CH37" s="24"/>
      <c r="CI37" s="18">
        <v>0</v>
      </c>
      <c r="CJ37" s="24"/>
      <c r="CK37" s="18">
        <v>0</v>
      </c>
      <c r="CL37" s="24"/>
      <c r="CM37" s="18">
        <v>0</v>
      </c>
      <c r="CN37" s="24"/>
      <c r="CO37" s="18">
        <v>0</v>
      </c>
      <c r="CP37" s="24"/>
      <c r="CQ37" s="18">
        <v>0</v>
      </c>
      <c r="CR37" s="24"/>
      <c r="CS37" s="18">
        <v>0</v>
      </c>
      <c r="CT37" s="24"/>
      <c r="CU37" s="18">
        <v>0</v>
      </c>
      <c r="CV37" s="24"/>
      <c r="CW37" s="18">
        <v>0</v>
      </c>
      <c r="CX37" s="24"/>
      <c r="CY37" s="18">
        <v>0</v>
      </c>
      <c r="CZ37" s="24"/>
      <c r="DA37" s="18">
        <v>0</v>
      </c>
      <c r="DB37" s="24"/>
      <c r="DC37" s="18">
        <v>0</v>
      </c>
      <c r="DD37" s="24"/>
      <c r="DE37" s="18">
        <v>0</v>
      </c>
      <c r="DF37" s="24"/>
      <c r="DG37" s="18">
        <v>0</v>
      </c>
      <c r="DH37" s="24"/>
      <c r="DI37" s="18">
        <v>0</v>
      </c>
      <c r="DJ37" s="24"/>
      <c r="DK37" s="18">
        <v>0</v>
      </c>
      <c r="DL37" s="24"/>
      <c r="DM37" s="18">
        <v>0</v>
      </c>
      <c r="DN37" s="24"/>
      <c r="DO37" s="18">
        <v>0</v>
      </c>
      <c r="DP37" s="24"/>
      <c r="DQ37" s="18">
        <v>0</v>
      </c>
      <c r="DR37" s="24"/>
      <c r="DS37" s="18">
        <v>0</v>
      </c>
      <c r="DT37" s="24"/>
      <c r="DU37" s="18">
        <v>0</v>
      </c>
      <c r="DV37" s="24"/>
      <c r="DW37" s="18">
        <v>0</v>
      </c>
      <c r="DX37" s="24"/>
      <c r="DY37" s="18">
        <v>0</v>
      </c>
      <c r="DZ37" s="24"/>
      <c r="EA37" s="18">
        <v>0</v>
      </c>
      <c r="EB37" s="24"/>
      <c r="EC37" s="18">
        <v>0</v>
      </c>
      <c r="ED37" s="24"/>
      <c r="EE37" s="18">
        <v>0</v>
      </c>
      <c r="EF37" s="24"/>
      <c r="EG37" s="18">
        <v>0</v>
      </c>
      <c r="EH37" s="24"/>
      <c r="EI37" s="18">
        <v>0</v>
      </c>
      <c r="EJ37" s="24"/>
      <c r="EK37" s="18">
        <v>0</v>
      </c>
      <c r="EL37" s="24"/>
      <c r="EM37" s="18">
        <v>0</v>
      </c>
      <c r="EN37" s="24"/>
      <c r="EO37" s="18">
        <v>0</v>
      </c>
      <c r="EP37" s="24"/>
      <c r="EQ37" s="18">
        <v>0</v>
      </c>
      <c r="ER37" s="24"/>
      <c r="ES37" s="18">
        <f>+$EY37</f>
        <v>0</v>
      </c>
      <c r="ET37" s="24"/>
      <c r="EU37" s="221">
        <f>IF( SUM($EQ37:ES37)&lt;0, "n/a", SUM($EQ37:ES37)/EU$74)</f>
        <v>0</v>
      </c>
      <c r="EV37" s="224"/>
      <c r="EW37" s="22"/>
      <c r="EX37" s="154" t="s">
        <v>1</v>
      </c>
      <c r="EY37" s="34">
        <f>IF(ISERROR(VLOOKUP(EX37,IQSH01E!$A$1:$M$400,2,0)),0,VLOOKUP(EX37,IQSH01E!$A$1:$M$400,2,0))</f>
        <v>0</v>
      </c>
      <c r="EZ37" s="187" t="s">
        <v>117</v>
      </c>
    </row>
    <row r="38" spans="1:156" ht="24" customHeight="1" thickBot="1" x14ac:dyDescent="0.35">
      <c r="A38" s="7"/>
      <c r="B38" s="16" t="s">
        <v>84</v>
      </c>
      <c r="C38" s="19">
        <v>3387251</v>
      </c>
      <c r="D38" s="25"/>
      <c r="E38" s="19">
        <v>3033377</v>
      </c>
      <c r="F38" s="25"/>
      <c r="G38" s="19">
        <v>3160696</v>
      </c>
      <c r="H38" s="25"/>
      <c r="I38" s="19">
        <v>3263229</v>
      </c>
      <c r="J38" s="25"/>
      <c r="K38" s="19">
        <v>3235938</v>
      </c>
      <c r="L38" s="25"/>
      <c r="M38" s="19">
        <v>3376888</v>
      </c>
      <c r="N38" s="25"/>
      <c r="O38" s="19">
        <v>3501701</v>
      </c>
      <c r="P38" s="25"/>
      <c r="Q38" s="19">
        <v>3510946</v>
      </c>
      <c r="R38" s="25"/>
      <c r="S38" s="19">
        <v>3191310</v>
      </c>
      <c r="T38" s="25"/>
      <c r="U38" s="19">
        <v>3060569</v>
      </c>
      <c r="V38" s="25"/>
      <c r="W38" s="19">
        <v>3367534</v>
      </c>
      <c r="X38" s="25"/>
      <c r="Y38" s="19">
        <v>2706950</v>
      </c>
      <c r="Z38" s="25"/>
      <c r="AA38" s="19">
        <v>3088017</v>
      </c>
      <c r="AB38" s="25"/>
      <c r="AC38" s="19">
        <v>2985058</v>
      </c>
      <c r="AD38" s="25"/>
      <c r="AE38" s="19">
        <v>3389433</v>
      </c>
      <c r="AF38" s="25"/>
      <c r="AG38" s="19">
        <v>3372795</v>
      </c>
      <c r="AH38" s="25"/>
      <c r="AI38" s="19">
        <v>3248220.5</v>
      </c>
      <c r="AJ38" s="25"/>
      <c r="AK38" s="19">
        <v>3404015</v>
      </c>
      <c r="AL38" s="25"/>
      <c r="AM38" s="19">
        <v>3099648</v>
      </c>
      <c r="AN38" s="25"/>
      <c r="AO38" s="19">
        <v>3561616</v>
      </c>
      <c r="AP38" s="25"/>
      <c r="AQ38" s="19">
        <v>3095757</v>
      </c>
      <c r="AR38" s="25"/>
      <c r="AS38" s="19">
        <v>3500424</v>
      </c>
      <c r="AT38" s="25"/>
      <c r="AU38" s="19">
        <v>3414612</v>
      </c>
      <c r="AV38" s="25"/>
      <c r="AW38" s="19">
        <v>3059370</v>
      </c>
      <c r="AX38" s="25"/>
      <c r="AY38" s="19">
        <v>3317497</v>
      </c>
      <c r="AZ38" s="25"/>
      <c r="BA38" s="19">
        <v>2593125</v>
      </c>
      <c r="BB38" s="25"/>
      <c r="BC38" s="19">
        <v>3981358</v>
      </c>
      <c r="BD38" s="25"/>
      <c r="BE38" s="19">
        <v>3223658</v>
      </c>
      <c r="BF38" s="25"/>
      <c r="BG38" s="19">
        <v>3750272</v>
      </c>
      <c r="BH38" s="25"/>
      <c r="BI38" s="19">
        <v>3888158</v>
      </c>
      <c r="BJ38" s="25"/>
      <c r="BK38" s="19">
        <v>3208896</v>
      </c>
      <c r="BL38" s="25"/>
      <c r="BM38" s="19">
        <v>3609475</v>
      </c>
      <c r="BN38" s="25"/>
      <c r="BO38" s="19">
        <v>3052256</v>
      </c>
      <c r="BP38" s="25"/>
      <c r="BQ38" s="19">
        <v>3213924</v>
      </c>
      <c r="BR38" s="25"/>
      <c r="BS38" s="19">
        <v>2762553</v>
      </c>
      <c r="BT38" s="25"/>
      <c r="BU38" s="19">
        <v>2222504</v>
      </c>
      <c r="BV38" s="25"/>
      <c r="BW38" s="19">
        <v>2825210</v>
      </c>
      <c r="BX38" s="25"/>
      <c r="BY38" s="19">
        <v>2292504</v>
      </c>
      <c r="BZ38" s="25"/>
      <c r="CA38" s="19">
        <v>2758115</v>
      </c>
      <c r="CB38" s="25"/>
      <c r="CC38" s="19">
        <v>2445905</v>
      </c>
      <c r="CD38" s="25"/>
      <c r="CE38" s="19">
        <v>2754692</v>
      </c>
      <c r="CF38" s="25"/>
      <c r="CG38" s="19">
        <v>2166787</v>
      </c>
      <c r="CH38" s="25"/>
      <c r="CI38" s="19">
        <v>2233151</v>
      </c>
      <c r="CJ38" s="25"/>
      <c r="CK38" s="19">
        <v>3057155</v>
      </c>
      <c r="CL38" s="25"/>
      <c r="CM38" s="19">
        <v>2553256</v>
      </c>
      <c r="CN38" s="25"/>
      <c r="CO38" s="19">
        <v>3156985</v>
      </c>
      <c r="CP38" s="25"/>
      <c r="CQ38" s="19">
        <v>2286497</v>
      </c>
      <c r="CR38" s="25"/>
      <c r="CS38" s="19">
        <v>2551874</v>
      </c>
      <c r="CT38" s="25"/>
      <c r="CU38" s="19">
        <v>2377035</v>
      </c>
      <c r="CV38" s="25"/>
      <c r="CW38" s="19">
        <v>2971988</v>
      </c>
      <c r="CX38" s="25"/>
      <c r="CY38" s="19">
        <v>2695407</v>
      </c>
      <c r="CZ38" s="25"/>
      <c r="DA38" s="19">
        <v>2844310</v>
      </c>
      <c r="DB38" s="25"/>
      <c r="DC38" s="19">
        <v>3069574</v>
      </c>
      <c r="DD38" s="25"/>
      <c r="DE38" s="19">
        <v>2689349</v>
      </c>
      <c r="DF38" s="25"/>
      <c r="DG38" s="19">
        <v>2768400</v>
      </c>
      <c r="DH38" s="25"/>
      <c r="DI38" s="19">
        <v>2852003</v>
      </c>
      <c r="DJ38" s="25"/>
      <c r="DK38" s="19">
        <v>2649008</v>
      </c>
      <c r="DL38" s="25"/>
      <c r="DM38" s="19">
        <v>3171601</v>
      </c>
      <c r="DN38" s="25"/>
      <c r="DO38" s="19">
        <v>2787061</v>
      </c>
      <c r="DP38" s="25"/>
      <c r="DQ38" s="19">
        <v>2459492</v>
      </c>
      <c r="DR38" s="25"/>
      <c r="DS38" s="19">
        <v>2505007</v>
      </c>
      <c r="DT38" s="25"/>
      <c r="DU38" s="19">
        <v>3001616</v>
      </c>
      <c r="DV38" s="25"/>
      <c r="DW38" s="19">
        <v>3022042</v>
      </c>
      <c r="DX38" s="25"/>
      <c r="DY38" s="19">
        <v>2981083</v>
      </c>
      <c r="DZ38" s="25"/>
      <c r="EA38" s="19">
        <v>2886529</v>
      </c>
      <c r="EB38" s="25"/>
      <c r="EC38" s="19">
        <v>2869952</v>
      </c>
      <c r="ED38" s="25"/>
      <c r="EE38" s="19">
        <v>2888579</v>
      </c>
      <c r="EF38" s="25"/>
      <c r="EG38" s="19">
        <v>2375596</v>
      </c>
      <c r="EH38" s="25"/>
      <c r="EI38" s="19">
        <v>2389258</v>
      </c>
      <c r="EJ38" s="25"/>
      <c r="EK38" s="19">
        <v>3275312</v>
      </c>
      <c r="EL38" s="25"/>
      <c r="EM38" s="19">
        <v>1992857</v>
      </c>
      <c r="EN38" s="25"/>
      <c r="EO38" s="19">
        <v>2094916</v>
      </c>
      <c r="EP38" s="25"/>
      <c r="EQ38" s="19">
        <v>2367502</v>
      </c>
      <c r="ER38" s="25"/>
      <c r="ES38" s="19">
        <f>SUM(ES35:ES37)</f>
        <v>2408348</v>
      </c>
      <c r="ET38" s="25"/>
      <c r="EU38" s="225">
        <f>IF( SUM($EQ38:ES38)&lt;0, "n/a", SUM($EQ38:ES38)/EU$74)</f>
        <v>2387925</v>
      </c>
      <c r="EV38" s="228"/>
      <c r="EW38" s="61"/>
      <c r="EX38" s="37" t="s">
        <v>45</v>
      </c>
      <c r="EY38" s="38">
        <f>IF(ISERROR(VLOOKUP(EX38,IQSH01E!$A$1:$M$400,2,0)),0,VLOOKUP(EX38,IQSH01E!$A$1:$M$400,2,0))</f>
        <v>2408348</v>
      </c>
      <c r="EZ38" s="188" t="s">
        <v>118</v>
      </c>
    </row>
    <row r="39" spans="1:156" ht="24" customHeight="1" x14ac:dyDescent="0.3">
      <c r="A39" s="3"/>
      <c r="B39" s="14" t="s">
        <v>89</v>
      </c>
      <c r="C39" s="18">
        <v>186858</v>
      </c>
      <c r="D39" s="92">
        <v>4.7695139395281874E-3</v>
      </c>
      <c r="E39" s="18">
        <v>484266</v>
      </c>
      <c r="F39" s="92">
        <v>1.3828209497174568E-2</v>
      </c>
      <c r="G39" s="18">
        <v>226131</v>
      </c>
      <c r="H39" s="92">
        <v>5.9447587545635797E-3</v>
      </c>
      <c r="I39" s="18">
        <v>151404</v>
      </c>
      <c r="J39" s="92">
        <v>4.2764704995213948E-3</v>
      </c>
      <c r="K39" s="18">
        <v>0</v>
      </c>
      <c r="L39" s="92">
        <v>0</v>
      </c>
      <c r="M39" s="18">
        <v>322248</v>
      </c>
      <c r="N39" s="92">
        <v>9.5598727392641122E-3</v>
      </c>
      <c r="O39" s="18">
        <v>254257</v>
      </c>
      <c r="P39" s="92">
        <v>6.3742142287795886E-3</v>
      </c>
      <c r="Q39" s="18">
        <v>335446</v>
      </c>
      <c r="R39" s="92">
        <v>9.0431699437909831E-3</v>
      </c>
      <c r="S39" s="18">
        <v>225644</v>
      </c>
      <c r="T39" s="92">
        <v>5.8236683107935868E-3</v>
      </c>
      <c r="U39" s="18">
        <v>241806</v>
      </c>
      <c r="V39" s="92">
        <v>6.5790158426459449E-3</v>
      </c>
      <c r="W39" s="18">
        <v>208060</v>
      </c>
      <c r="X39" s="92">
        <v>6.7567377786601811E-3</v>
      </c>
      <c r="Y39" s="18">
        <v>201837</v>
      </c>
      <c r="Z39" s="92">
        <v>6.5199256217123814E-3</v>
      </c>
      <c r="AA39" s="18">
        <v>326107</v>
      </c>
      <c r="AB39" s="92">
        <v>8.6602844712732781E-3</v>
      </c>
      <c r="AC39" s="18">
        <v>221464</v>
      </c>
      <c r="AD39" s="92">
        <v>7.2920840821811602E-3</v>
      </c>
      <c r="AE39" s="18">
        <v>198578</v>
      </c>
      <c r="AF39" s="92">
        <v>5.6079381340560976E-3</v>
      </c>
      <c r="AG39" s="18">
        <v>161588</v>
      </c>
      <c r="AH39" s="92">
        <v>4.3479928854859148E-3</v>
      </c>
      <c r="AI39" s="18">
        <v>166935</v>
      </c>
      <c r="AJ39" s="92">
        <v>4.9910205818752117E-3</v>
      </c>
      <c r="AK39" s="18">
        <v>241555</v>
      </c>
      <c r="AL39" s="92">
        <v>6.7168210194806389E-3</v>
      </c>
      <c r="AM39" s="18">
        <v>118056</v>
      </c>
      <c r="AN39" s="92">
        <v>3.2394136466368413E-3</v>
      </c>
      <c r="AO39" s="18">
        <v>121723</v>
      </c>
      <c r="AP39" s="92">
        <v>3.4417471343214535E-3</v>
      </c>
      <c r="AQ39" s="18">
        <v>208353</v>
      </c>
      <c r="AR39" s="92">
        <v>5.6892842918125075E-3</v>
      </c>
      <c r="AS39" s="18">
        <v>168862</v>
      </c>
      <c r="AT39" s="92">
        <v>4.819847073812277E-3</v>
      </c>
      <c r="AU39" s="18">
        <v>163964</v>
      </c>
      <c r="AV39" s="92">
        <v>4.8486866913332333E-3</v>
      </c>
      <c r="AW39" s="18">
        <v>123503</v>
      </c>
      <c r="AX39" s="92">
        <v>3.7967610330665973E-3</v>
      </c>
      <c r="AY39" s="18">
        <v>204001</v>
      </c>
      <c r="AZ39" s="92">
        <v>5.7654587434037329E-3</v>
      </c>
      <c r="BA39" s="18">
        <v>208506</v>
      </c>
      <c r="BB39" s="92">
        <v>6.7052580003245125E-3</v>
      </c>
      <c r="BC39" s="18">
        <v>338041</v>
      </c>
      <c r="BD39" s="92">
        <v>8.2183579966028045E-3</v>
      </c>
      <c r="BE39" s="18">
        <v>252045</v>
      </c>
      <c r="BF39" s="92">
        <v>6.7086478783083625E-3</v>
      </c>
      <c r="BG39" s="18">
        <v>375382</v>
      </c>
      <c r="BH39" s="92">
        <v>1.0279638643615694E-2</v>
      </c>
      <c r="BI39" s="18">
        <v>213977</v>
      </c>
      <c r="BJ39" s="92">
        <v>5.4145947017598343E-3</v>
      </c>
      <c r="BK39" s="18">
        <v>173761</v>
      </c>
      <c r="BL39" s="92">
        <v>5.3697374616715251E-3</v>
      </c>
      <c r="BM39" s="18">
        <v>257294</v>
      </c>
      <c r="BN39" s="92">
        <v>7.3079040315603928E-3</v>
      </c>
      <c r="BO39" s="18">
        <v>171458</v>
      </c>
      <c r="BP39" s="92">
        <v>5.1938835913450249E-3</v>
      </c>
      <c r="BQ39" s="18">
        <v>215262</v>
      </c>
      <c r="BR39" s="92">
        <v>6.2688340076380248E-3</v>
      </c>
      <c r="BS39" s="18">
        <v>173325</v>
      </c>
      <c r="BT39" s="92">
        <v>5.4436959212407687E-3</v>
      </c>
      <c r="BU39" s="18">
        <v>85995</v>
      </c>
      <c r="BV39" s="92">
        <v>3.1032568224037592E-3</v>
      </c>
      <c r="BW39" s="18">
        <v>210724</v>
      </c>
      <c r="BX39" s="92">
        <v>6.3990969796855028E-3</v>
      </c>
      <c r="BY39" s="18">
        <v>0</v>
      </c>
      <c r="BZ39" s="92">
        <v>0</v>
      </c>
      <c r="CA39" s="18">
        <v>0</v>
      </c>
      <c r="CB39" s="92">
        <v>0</v>
      </c>
      <c r="CC39" s="18">
        <v>0</v>
      </c>
      <c r="CD39" s="92">
        <v>0</v>
      </c>
      <c r="CE39" s="18">
        <v>0</v>
      </c>
      <c r="CF39" s="92">
        <v>0</v>
      </c>
      <c r="CG39" s="18">
        <v>0</v>
      </c>
      <c r="CH39" s="92">
        <v>0</v>
      </c>
      <c r="CI39" s="18">
        <v>0</v>
      </c>
      <c r="CJ39" s="92">
        <v>0</v>
      </c>
      <c r="CK39" s="18">
        <v>0</v>
      </c>
      <c r="CL39" s="92">
        <v>0</v>
      </c>
      <c r="CM39" s="18">
        <v>0</v>
      </c>
      <c r="CN39" s="92">
        <v>0</v>
      </c>
      <c r="CO39" s="18">
        <v>0</v>
      </c>
      <c r="CP39" s="92">
        <v>0</v>
      </c>
      <c r="CQ39" s="18">
        <v>0</v>
      </c>
      <c r="CR39" s="92">
        <v>0</v>
      </c>
      <c r="CS39" s="18">
        <v>0</v>
      </c>
      <c r="CT39" s="92">
        <v>0</v>
      </c>
      <c r="CU39" s="18">
        <v>0</v>
      </c>
      <c r="CV39" s="92">
        <v>0</v>
      </c>
      <c r="CW39" s="18">
        <v>0</v>
      </c>
      <c r="CX39" s="92">
        <v>0</v>
      </c>
      <c r="CY39" s="18">
        <v>0</v>
      </c>
      <c r="CZ39" s="92">
        <v>0</v>
      </c>
      <c r="DA39" s="18">
        <v>0</v>
      </c>
      <c r="DB39" s="92">
        <v>0</v>
      </c>
      <c r="DC39" s="18">
        <v>0</v>
      </c>
      <c r="DD39" s="92">
        <v>0</v>
      </c>
      <c r="DE39" s="18">
        <v>0</v>
      </c>
      <c r="DF39" s="92">
        <v>0</v>
      </c>
      <c r="DG39" s="18">
        <v>0</v>
      </c>
      <c r="DH39" s="92">
        <v>0</v>
      </c>
      <c r="DI39" s="18">
        <v>0</v>
      </c>
      <c r="DJ39" s="92">
        <v>0</v>
      </c>
      <c r="DK39" s="18">
        <v>0</v>
      </c>
      <c r="DL39" s="92">
        <v>0</v>
      </c>
      <c r="DM39" s="18">
        <v>0</v>
      </c>
      <c r="DN39" s="92">
        <v>0</v>
      </c>
      <c r="DO39" s="18">
        <v>0</v>
      </c>
      <c r="DP39" s="92">
        <v>0</v>
      </c>
      <c r="DQ39" s="18">
        <v>0</v>
      </c>
      <c r="DR39" s="92">
        <v>0</v>
      </c>
      <c r="DS39" s="18">
        <v>0</v>
      </c>
      <c r="DT39" s="92">
        <v>0</v>
      </c>
      <c r="DU39" s="18">
        <v>0</v>
      </c>
      <c r="DV39" s="92">
        <v>0</v>
      </c>
      <c r="DW39" s="18">
        <v>0</v>
      </c>
      <c r="DX39" s="92">
        <v>0</v>
      </c>
      <c r="DY39" s="18">
        <v>0</v>
      </c>
      <c r="DZ39" s="92">
        <v>0</v>
      </c>
      <c r="EA39" s="18">
        <v>0</v>
      </c>
      <c r="EB39" s="92">
        <v>0</v>
      </c>
      <c r="EC39" s="18">
        <v>0</v>
      </c>
      <c r="ED39" s="92">
        <v>0</v>
      </c>
      <c r="EE39" s="18">
        <v>0</v>
      </c>
      <c r="EF39" s="92">
        <v>0</v>
      </c>
      <c r="EG39" s="18">
        <v>0</v>
      </c>
      <c r="EH39" s="92">
        <v>0</v>
      </c>
      <c r="EI39" s="18">
        <v>0</v>
      </c>
      <c r="EJ39" s="92">
        <v>0</v>
      </c>
      <c r="EK39" s="18">
        <v>0</v>
      </c>
      <c r="EL39" s="92">
        <v>0</v>
      </c>
      <c r="EM39" s="18">
        <v>0</v>
      </c>
      <c r="EN39" s="92">
        <v>0</v>
      </c>
      <c r="EO39" s="18">
        <v>0</v>
      </c>
      <c r="EP39" s="92">
        <v>0</v>
      </c>
      <c r="EQ39" s="18">
        <v>0</v>
      </c>
      <c r="ER39" s="92">
        <v>0</v>
      </c>
      <c r="ES39" s="18">
        <f t="shared" ref="ES39:ES48" si="3">ES6+ES17+ES28</f>
        <v>0</v>
      </c>
      <c r="ET39" s="92">
        <f>ES39/ES46</f>
        <v>0</v>
      </c>
      <c r="EU39" s="221">
        <f>IF( SUM($EQ39:ES39)&lt;0, "n/a", SUM($EQ39:ES39)/EU$74)</f>
        <v>0</v>
      </c>
      <c r="EV39" s="222">
        <f>EU39/EU46</f>
        <v>0</v>
      </c>
      <c r="EW39" s="22"/>
      <c r="EX39" s="97"/>
      <c r="EY39" s="43"/>
      <c r="EZ39" s="182"/>
    </row>
    <row r="40" spans="1:156" ht="24" customHeight="1" x14ac:dyDescent="0.3">
      <c r="A40" s="3"/>
      <c r="B40" s="14" t="s">
        <v>79</v>
      </c>
      <c r="C40" s="60">
        <v>35928748.120000005</v>
      </c>
      <c r="D40" s="99">
        <v>0.91707427558968402</v>
      </c>
      <c r="E40" s="60">
        <v>31518729.689999998</v>
      </c>
      <c r="F40" s="99">
        <v>0.90001692713949777</v>
      </c>
      <c r="G40" s="60">
        <v>34365249.859999999</v>
      </c>
      <c r="H40" s="99">
        <v>0.90342818966881955</v>
      </c>
      <c r="I40" s="60">
        <v>33007059.140000001</v>
      </c>
      <c r="J40" s="99">
        <v>0.93229845108562548</v>
      </c>
      <c r="K40" s="60">
        <v>30144897.759999998</v>
      </c>
      <c r="L40" s="99">
        <v>0.93740604210081835</v>
      </c>
      <c r="M40" s="60">
        <v>30756861.759999998</v>
      </c>
      <c r="N40" s="99">
        <v>0.91243912851201192</v>
      </c>
      <c r="O40" s="60">
        <v>36174794.18</v>
      </c>
      <c r="P40" s="99">
        <v>0.90690084357688894</v>
      </c>
      <c r="Q40" s="60">
        <v>33245261.109999999</v>
      </c>
      <c r="R40" s="99">
        <v>0.89624722322947725</v>
      </c>
      <c r="S40" s="60">
        <v>34065466.719999999</v>
      </c>
      <c r="T40" s="99">
        <v>0.87919899944008062</v>
      </c>
      <c r="U40" s="60">
        <v>32597347.259999998</v>
      </c>
      <c r="V40" s="99">
        <v>0.88690298856013239</v>
      </c>
      <c r="W40" s="60">
        <v>27335758.689999998</v>
      </c>
      <c r="X40" s="99">
        <v>0.88772735484505105</v>
      </c>
      <c r="Y40" s="60">
        <v>27482407.640000001</v>
      </c>
      <c r="Z40" s="99">
        <v>0.88776217303259608</v>
      </c>
      <c r="AA40" s="60">
        <v>34224126.68</v>
      </c>
      <c r="AB40" s="99">
        <v>0.90887553112841324</v>
      </c>
      <c r="AC40" s="60">
        <v>26963387.310000002</v>
      </c>
      <c r="AD40" s="99">
        <v>0.88781602158787221</v>
      </c>
      <c r="AE40" s="60">
        <v>31810862.490000002</v>
      </c>
      <c r="AF40" s="99">
        <v>0.89835404140884545</v>
      </c>
      <c r="AG40" s="60">
        <v>34311913.739999995</v>
      </c>
      <c r="AH40" s="99">
        <v>0.92326136117116597</v>
      </c>
      <c r="AI40" s="60">
        <v>30364802.219999999</v>
      </c>
      <c r="AJ40" s="99">
        <v>0.90784648422793368</v>
      </c>
      <c r="AK40" s="60">
        <v>32050954.150000002</v>
      </c>
      <c r="AL40" s="99">
        <v>0.89122776398389691</v>
      </c>
      <c r="AM40" s="60">
        <v>33338868.399999999</v>
      </c>
      <c r="AN40" s="99">
        <v>0.91480640762341392</v>
      </c>
      <c r="AO40" s="60">
        <v>32567176.649999999</v>
      </c>
      <c r="AP40" s="99">
        <v>0.92084476153297279</v>
      </c>
      <c r="AQ40" s="60">
        <v>33702868.159999996</v>
      </c>
      <c r="AR40" s="99">
        <v>0.92029007699296816</v>
      </c>
      <c r="AS40" s="60">
        <v>32746719.640000001</v>
      </c>
      <c r="AT40" s="99">
        <v>0.93469330479210855</v>
      </c>
      <c r="AU40" s="60">
        <v>31527724.049999997</v>
      </c>
      <c r="AV40" s="99">
        <v>0.93232694987473896</v>
      </c>
      <c r="AW40" s="60">
        <v>30231183.530000001</v>
      </c>
      <c r="AX40" s="99">
        <v>0.929374829843718</v>
      </c>
      <c r="AY40" s="60">
        <v>32979415.43</v>
      </c>
      <c r="AZ40" s="99">
        <v>0.93206140677367999</v>
      </c>
      <c r="BA40" s="60">
        <v>28955268.490000002</v>
      </c>
      <c r="BB40" s="99">
        <v>0.93116047353129772</v>
      </c>
      <c r="BC40" s="60">
        <v>38425478.420000002</v>
      </c>
      <c r="BD40" s="99">
        <v>0.93418945585386248</v>
      </c>
      <c r="BE40" s="60">
        <v>34861308.509999998</v>
      </c>
      <c r="BF40" s="99">
        <v>0.92789876161266738</v>
      </c>
      <c r="BG40" s="60">
        <v>33763682.219999999</v>
      </c>
      <c r="BH40" s="99">
        <v>0.92460068010579133</v>
      </c>
      <c r="BI40" s="60">
        <v>36712497.700000003</v>
      </c>
      <c r="BJ40" s="99">
        <v>0.92899374949078695</v>
      </c>
      <c r="BK40" s="60">
        <v>29655341.84</v>
      </c>
      <c r="BL40" s="99">
        <v>0.9164392471090923</v>
      </c>
      <c r="BM40" s="60">
        <v>32305528.030000001</v>
      </c>
      <c r="BN40" s="99">
        <v>0.91757172157968814</v>
      </c>
      <c r="BO40" s="60">
        <v>30754874.810000002</v>
      </c>
      <c r="BP40" s="99">
        <v>0.93164063286361354</v>
      </c>
      <c r="BQ40" s="60">
        <v>31255338.140000001</v>
      </c>
      <c r="BR40" s="99">
        <v>0.91021418853424119</v>
      </c>
      <c r="BS40" s="60">
        <v>29292571.530000001</v>
      </c>
      <c r="BT40" s="99">
        <v>0.92000491654703287</v>
      </c>
      <c r="BU40" s="60">
        <v>25542558.48</v>
      </c>
      <c r="BV40" s="99">
        <v>0.92174101825346821</v>
      </c>
      <c r="BW40" s="60">
        <v>30397933.27</v>
      </c>
      <c r="BX40" s="99">
        <v>0.92309999324584979</v>
      </c>
      <c r="BY40" s="60">
        <v>28651010.48</v>
      </c>
      <c r="BZ40" s="99">
        <v>0.9305029415567474</v>
      </c>
      <c r="CA40" s="60">
        <v>34920526.759999998</v>
      </c>
      <c r="CB40" s="99">
        <v>0.93023769425578096</v>
      </c>
      <c r="CC40" s="60">
        <v>26593371.399999999</v>
      </c>
      <c r="CD40" s="99">
        <v>0.93689495849394511</v>
      </c>
      <c r="CE40" s="60">
        <v>28130328.57</v>
      </c>
      <c r="CF40" s="99">
        <v>0.93725249907421748</v>
      </c>
      <c r="CG40" s="60">
        <v>28903353.439999998</v>
      </c>
      <c r="CH40" s="99">
        <v>0.91777636219666292</v>
      </c>
      <c r="CI40" s="60">
        <v>27329882.77</v>
      </c>
      <c r="CJ40" s="99">
        <v>0.93679154593371061</v>
      </c>
      <c r="CK40" s="60">
        <v>32635441.199999999</v>
      </c>
      <c r="CL40" s="99">
        <v>0.93841945064555232</v>
      </c>
      <c r="CM40" s="60">
        <v>30696540.200000003</v>
      </c>
      <c r="CN40" s="99">
        <v>0.94679329090565378</v>
      </c>
      <c r="CO40" s="60">
        <v>31944146.129999999</v>
      </c>
      <c r="CP40" s="99">
        <v>0.94189662721366896</v>
      </c>
      <c r="CQ40" s="60">
        <v>28732560.169999998</v>
      </c>
      <c r="CR40" s="99">
        <v>0.94534959159171927</v>
      </c>
      <c r="CS40" s="60">
        <v>26952956.970000003</v>
      </c>
      <c r="CT40" s="99">
        <v>0.94170361880403042</v>
      </c>
      <c r="CU40" s="60">
        <v>33672209.010000005</v>
      </c>
      <c r="CV40" s="99">
        <v>0.94235069981037012</v>
      </c>
      <c r="CW40" s="60">
        <v>31345734.899999999</v>
      </c>
      <c r="CX40" s="99">
        <v>0.94165283327622207</v>
      </c>
      <c r="CY40" s="60">
        <v>30940394.650000002</v>
      </c>
      <c r="CZ40" s="99">
        <v>0.94039009567986087</v>
      </c>
      <c r="DA40" s="60">
        <v>33237665</v>
      </c>
      <c r="DB40" s="99">
        <v>0.92976627269488665</v>
      </c>
      <c r="DC40" s="60">
        <v>32384342</v>
      </c>
      <c r="DD40" s="99">
        <v>0.92738003421774529</v>
      </c>
      <c r="DE40" s="60">
        <v>30943186.489999998</v>
      </c>
      <c r="DF40" s="99">
        <v>0.93192009138193777</v>
      </c>
      <c r="DG40" s="60">
        <v>31708979</v>
      </c>
      <c r="DH40" s="99">
        <v>0.92904079208284918</v>
      </c>
      <c r="DI40" s="60">
        <v>33143569</v>
      </c>
      <c r="DJ40" s="99">
        <v>0.93617109742864324</v>
      </c>
      <c r="DK40" s="60">
        <v>29306241</v>
      </c>
      <c r="DL40" s="99">
        <v>0.91574743394131886</v>
      </c>
      <c r="DM40" s="60">
        <v>30485022</v>
      </c>
      <c r="DN40" s="99">
        <v>0.90767490261804629</v>
      </c>
      <c r="DO40" s="60">
        <v>26211081</v>
      </c>
      <c r="DP40" s="99">
        <v>0.92635820695731153</v>
      </c>
      <c r="DQ40" s="60">
        <v>29296217</v>
      </c>
      <c r="DR40" s="99">
        <v>0.92126375500025748</v>
      </c>
      <c r="DS40" s="60">
        <v>30352593</v>
      </c>
      <c r="DT40" s="99">
        <v>0.91336914685741322</v>
      </c>
      <c r="DU40" s="60">
        <v>27926657</v>
      </c>
      <c r="DV40" s="99">
        <v>0.90416017448706221</v>
      </c>
      <c r="DW40" s="60">
        <v>28914228</v>
      </c>
      <c r="DX40" s="99">
        <v>0.90969606468579289</v>
      </c>
      <c r="DY40" s="60">
        <v>27699186</v>
      </c>
      <c r="DZ40" s="99">
        <v>0.91898522581735653</v>
      </c>
      <c r="EA40" s="60">
        <v>27518479</v>
      </c>
      <c r="EB40" s="99">
        <v>0.90761248338995493</v>
      </c>
      <c r="EC40" s="60">
        <v>26399117</v>
      </c>
      <c r="ED40" s="99">
        <v>0.9267402507498127</v>
      </c>
      <c r="EE40" s="60">
        <v>28799014</v>
      </c>
      <c r="EF40" s="99">
        <v>0.92112327044980913</v>
      </c>
      <c r="EG40" s="60">
        <v>28231516</v>
      </c>
      <c r="EH40" s="99">
        <v>0.92552095803263557</v>
      </c>
      <c r="EI40" s="60">
        <v>27623669</v>
      </c>
      <c r="EJ40" s="99">
        <v>0.93237991691064859</v>
      </c>
      <c r="EK40" s="60">
        <v>27910323</v>
      </c>
      <c r="EL40" s="99">
        <v>0.92417552197060371</v>
      </c>
      <c r="EM40" s="60">
        <v>22878314.16</v>
      </c>
      <c r="EN40" s="99">
        <v>0.93716659882010378</v>
      </c>
      <c r="EO40" s="60">
        <v>26086783.960000001</v>
      </c>
      <c r="EP40" s="99">
        <v>0.92351693504398324</v>
      </c>
      <c r="EQ40" s="60">
        <v>26924427</v>
      </c>
      <c r="ER40" s="99">
        <v>0.92119332226219353</v>
      </c>
      <c r="ES40" s="60">
        <f t="shared" si="3"/>
        <v>26996941</v>
      </c>
      <c r="ET40" s="99">
        <f>ES40/ES46</f>
        <v>0.93208190432094162</v>
      </c>
      <c r="EU40" s="221">
        <f>IF( SUM($EQ40:ES40)&lt;0, "n/a", SUM($EQ40:ES40)/EU$74)</f>
        <v>26960684.460596662</v>
      </c>
      <c r="EV40" s="223">
        <f>EU40/EU46</f>
        <v>0.92661294759776269</v>
      </c>
      <c r="EW40" s="22"/>
      <c r="EX40" s="97"/>
      <c r="EY40" s="17"/>
      <c r="EZ40" s="185"/>
    </row>
    <row r="41" spans="1:156" ht="24" customHeight="1" x14ac:dyDescent="0.3">
      <c r="A41" s="3"/>
      <c r="B41" s="14" t="s">
        <v>107</v>
      </c>
      <c r="C41" s="60">
        <v>185200</v>
      </c>
      <c r="D41" s="99">
        <v>4.7271938134873558E-3</v>
      </c>
      <c r="E41" s="60">
        <v>184800</v>
      </c>
      <c r="F41" s="99">
        <v>5.2769616596619632E-3</v>
      </c>
      <c r="G41" s="60">
        <v>187800</v>
      </c>
      <c r="H41" s="99">
        <v>4.9370749437584426E-3</v>
      </c>
      <c r="I41" s="60">
        <v>0</v>
      </c>
      <c r="J41" s="99">
        <v>0</v>
      </c>
      <c r="K41" s="60">
        <v>0</v>
      </c>
      <c r="L41" s="99">
        <v>0</v>
      </c>
      <c r="M41" s="60">
        <v>0</v>
      </c>
      <c r="N41" s="99">
        <v>0</v>
      </c>
      <c r="O41" s="60">
        <v>190950</v>
      </c>
      <c r="P41" s="99">
        <v>4.7871099202203378E-3</v>
      </c>
      <c r="Q41" s="60">
        <v>185550</v>
      </c>
      <c r="R41" s="99">
        <v>5.0021767529510467E-3</v>
      </c>
      <c r="S41" s="60">
        <v>185800</v>
      </c>
      <c r="T41" s="99">
        <v>4.7953305744688462E-3</v>
      </c>
      <c r="U41" s="60">
        <v>0</v>
      </c>
      <c r="V41" s="99">
        <v>0</v>
      </c>
      <c r="W41" s="60">
        <v>188750</v>
      </c>
      <c r="X41" s="99">
        <v>6.1296465237052249E-3</v>
      </c>
      <c r="Y41" s="60">
        <v>0</v>
      </c>
      <c r="Z41" s="99">
        <v>0</v>
      </c>
      <c r="AA41" s="60">
        <v>177650</v>
      </c>
      <c r="AB41" s="99">
        <v>4.7177752588006324E-3</v>
      </c>
      <c r="AC41" s="60">
        <v>185200</v>
      </c>
      <c r="AD41" s="99">
        <v>6.0980293502327738E-3</v>
      </c>
      <c r="AE41" s="60">
        <v>0</v>
      </c>
      <c r="AF41" s="99">
        <v>0</v>
      </c>
      <c r="AG41" s="60">
        <v>190650</v>
      </c>
      <c r="AH41" s="99">
        <v>5.1299901206642174E-3</v>
      </c>
      <c r="AI41" s="60">
        <v>193050</v>
      </c>
      <c r="AJ41" s="99">
        <v>5.7718065314703903E-3</v>
      </c>
      <c r="AK41" s="60">
        <v>192850</v>
      </c>
      <c r="AL41" s="99">
        <v>5.3625010188439121E-3</v>
      </c>
      <c r="AM41" s="60">
        <v>0</v>
      </c>
      <c r="AN41" s="99">
        <v>0</v>
      </c>
      <c r="AO41" s="60">
        <v>193450</v>
      </c>
      <c r="AP41" s="99">
        <v>5.4698453302538148E-3</v>
      </c>
      <c r="AQ41" s="60">
        <v>0</v>
      </c>
      <c r="AR41" s="99">
        <v>0</v>
      </c>
      <c r="AS41" s="60">
        <v>189100</v>
      </c>
      <c r="AT41" s="99">
        <v>5.3975025858861176E-3</v>
      </c>
      <c r="AU41" s="60">
        <v>186500</v>
      </c>
      <c r="AV41" s="99">
        <v>5.5151134879220321E-3</v>
      </c>
      <c r="AW41" s="60">
        <v>0</v>
      </c>
      <c r="AX41" s="99">
        <v>0</v>
      </c>
      <c r="AY41" s="60">
        <v>0</v>
      </c>
      <c r="AZ41" s="99">
        <v>0</v>
      </c>
      <c r="BA41" s="60">
        <v>0</v>
      </c>
      <c r="BB41" s="99">
        <v>0</v>
      </c>
      <c r="BC41" s="60">
        <v>0</v>
      </c>
      <c r="BD41" s="99">
        <v>0</v>
      </c>
      <c r="BE41" s="60">
        <v>0</v>
      </c>
      <c r="BF41" s="99">
        <v>0</v>
      </c>
      <c r="BG41" s="60">
        <v>0</v>
      </c>
      <c r="BH41" s="99">
        <v>0</v>
      </c>
      <c r="BI41" s="60">
        <v>0</v>
      </c>
      <c r="BJ41" s="99">
        <v>0</v>
      </c>
      <c r="BK41" s="60">
        <v>0</v>
      </c>
      <c r="BL41" s="99">
        <v>0</v>
      </c>
      <c r="BM41" s="60">
        <v>0</v>
      </c>
      <c r="BN41" s="99">
        <v>0</v>
      </c>
      <c r="BO41" s="60">
        <v>0</v>
      </c>
      <c r="BP41" s="99">
        <v>0</v>
      </c>
      <c r="BQ41" s="60">
        <v>0</v>
      </c>
      <c r="BR41" s="99">
        <v>0</v>
      </c>
      <c r="BS41" s="60">
        <v>0</v>
      </c>
      <c r="BT41" s="99">
        <v>0</v>
      </c>
      <c r="BU41" s="60">
        <v>0</v>
      </c>
      <c r="BV41" s="99">
        <v>0</v>
      </c>
      <c r="BW41" s="60">
        <v>0</v>
      </c>
      <c r="BX41" s="99">
        <v>0</v>
      </c>
      <c r="BY41" s="60">
        <v>0</v>
      </c>
      <c r="BZ41" s="99">
        <v>0</v>
      </c>
      <c r="CA41" s="60">
        <v>0</v>
      </c>
      <c r="CB41" s="99">
        <v>0</v>
      </c>
      <c r="CC41" s="60">
        <v>0</v>
      </c>
      <c r="CD41" s="99">
        <v>0</v>
      </c>
      <c r="CE41" s="60">
        <v>0</v>
      </c>
      <c r="CF41" s="99">
        <v>0</v>
      </c>
      <c r="CG41" s="60">
        <v>0</v>
      </c>
      <c r="CH41" s="99">
        <v>0</v>
      </c>
      <c r="CI41" s="60">
        <v>0</v>
      </c>
      <c r="CJ41" s="99">
        <v>0</v>
      </c>
      <c r="CK41" s="60">
        <v>0</v>
      </c>
      <c r="CL41" s="99">
        <v>0</v>
      </c>
      <c r="CM41" s="60">
        <v>0</v>
      </c>
      <c r="CN41" s="99">
        <v>0</v>
      </c>
      <c r="CO41" s="60">
        <v>0</v>
      </c>
      <c r="CP41" s="99">
        <v>0</v>
      </c>
      <c r="CQ41" s="60">
        <v>0</v>
      </c>
      <c r="CR41" s="99">
        <v>0</v>
      </c>
      <c r="CS41" s="60">
        <v>0</v>
      </c>
      <c r="CT41" s="99">
        <v>0</v>
      </c>
      <c r="CU41" s="60">
        <v>0</v>
      </c>
      <c r="CV41" s="99">
        <v>0</v>
      </c>
      <c r="CW41" s="60">
        <v>0</v>
      </c>
      <c r="CX41" s="99">
        <v>0</v>
      </c>
      <c r="CY41" s="60">
        <v>0</v>
      </c>
      <c r="CZ41" s="99">
        <v>0</v>
      </c>
      <c r="DA41" s="60">
        <v>0</v>
      </c>
      <c r="DB41" s="99">
        <v>0</v>
      </c>
      <c r="DC41" s="60">
        <v>0</v>
      </c>
      <c r="DD41" s="99">
        <v>0</v>
      </c>
      <c r="DE41" s="60">
        <v>0</v>
      </c>
      <c r="DF41" s="99">
        <v>0</v>
      </c>
      <c r="DG41" s="60">
        <v>0</v>
      </c>
      <c r="DH41" s="99">
        <v>0</v>
      </c>
      <c r="DI41" s="60">
        <v>0</v>
      </c>
      <c r="DJ41" s="99">
        <v>0</v>
      </c>
      <c r="DK41" s="60">
        <v>0</v>
      </c>
      <c r="DL41" s="99">
        <v>0</v>
      </c>
      <c r="DM41" s="60">
        <v>0</v>
      </c>
      <c r="DN41" s="99">
        <v>0</v>
      </c>
      <c r="DO41" s="60">
        <v>0</v>
      </c>
      <c r="DP41" s="99">
        <v>0</v>
      </c>
      <c r="DQ41" s="60">
        <v>0</v>
      </c>
      <c r="DR41" s="99">
        <v>0</v>
      </c>
      <c r="DS41" s="60">
        <v>0</v>
      </c>
      <c r="DT41" s="99">
        <v>0</v>
      </c>
      <c r="DU41" s="60">
        <v>0</v>
      </c>
      <c r="DV41" s="99">
        <v>0</v>
      </c>
      <c r="DW41" s="60">
        <v>0</v>
      </c>
      <c r="DX41" s="99">
        <v>0</v>
      </c>
      <c r="DY41" s="60">
        <v>0</v>
      </c>
      <c r="DZ41" s="99">
        <v>0</v>
      </c>
      <c r="EA41" s="60">
        <v>0</v>
      </c>
      <c r="EB41" s="99">
        <v>0</v>
      </c>
      <c r="EC41" s="60">
        <v>0</v>
      </c>
      <c r="ED41" s="99">
        <v>0</v>
      </c>
      <c r="EE41" s="60">
        <v>0</v>
      </c>
      <c r="EF41" s="99">
        <v>0</v>
      </c>
      <c r="EG41" s="60">
        <v>0</v>
      </c>
      <c r="EH41" s="99">
        <v>0</v>
      </c>
      <c r="EI41" s="60">
        <v>0</v>
      </c>
      <c r="EJ41" s="99">
        <v>0</v>
      </c>
      <c r="EK41" s="60">
        <v>0</v>
      </c>
      <c r="EL41" s="99">
        <v>0</v>
      </c>
      <c r="EM41" s="60">
        <v>0</v>
      </c>
      <c r="EN41" s="99">
        <v>0</v>
      </c>
      <c r="EO41" s="60">
        <v>0</v>
      </c>
      <c r="EP41" s="99">
        <v>0</v>
      </c>
      <c r="EQ41" s="60">
        <v>0</v>
      </c>
      <c r="ER41" s="99">
        <v>0</v>
      </c>
      <c r="ES41" s="60">
        <f t="shared" si="3"/>
        <v>0</v>
      </c>
      <c r="ET41" s="99">
        <f>ES41/ES46</f>
        <v>0</v>
      </c>
      <c r="EU41" s="221">
        <f>IF( SUM($EQ41:ES41)&lt;0, "n/a", SUM($EQ41:ES41)/EU$74)</f>
        <v>0</v>
      </c>
      <c r="EV41" s="224">
        <f>EU41/EU46</f>
        <v>0</v>
      </c>
      <c r="EW41" s="22"/>
      <c r="EX41" s="97"/>
      <c r="EY41" s="17"/>
      <c r="EZ41" s="185"/>
    </row>
    <row r="42" spans="1:156" ht="24" customHeight="1" x14ac:dyDescent="0.3">
      <c r="A42" s="152"/>
      <c r="B42" s="14" t="s">
        <v>80</v>
      </c>
      <c r="C42" s="60">
        <v>1986992.4</v>
      </c>
      <c r="D42" s="99">
        <v>5.0717592768501039E-2</v>
      </c>
      <c r="E42" s="60">
        <v>1684318.91</v>
      </c>
      <c r="F42" s="99">
        <v>4.8095705144554267E-2</v>
      </c>
      <c r="G42" s="60">
        <v>2079924.65</v>
      </c>
      <c r="H42" s="99">
        <v>5.4679147361131775E-2</v>
      </c>
      <c r="I42" s="60">
        <v>1837219.26</v>
      </c>
      <c r="J42" s="99">
        <v>5.1893040913995193E-2</v>
      </c>
      <c r="K42" s="60">
        <v>1470461.88</v>
      </c>
      <c r="L42" s="99">
        <v>4.5726472916421276E-2</v>
      </c>
      <c r="M42" s="60">
        <v>1756354.42</v>
      </c>
      <c r="N42" s="99">
        <v>5.2104356707393155E-2</v>
      </c>
      <c r="O42" s="60">
        <v>1874123.28</v>
      </c>
      <c r="P42" s="99">
        <v>4.6984206050818947E-2</v>
      </c>
      <c r="Q42" s="60">
        <v>1904533.85</v>
      </c>
      <c r="R42" s="99">
        <v>5.1343653730414211E-2</v>
      </c>
      <c r="S42" s="60">
        <v>2610528.9699999997</v>
      </c>
      <c r="T42" s="99">
        <v>6.7375400351871173E-2</v>
      </c>
      <c r="U42" s="60">
        <v>2623774.7400000002</v>
      </c>
      <c r="V42" s="99">
        <v>7.138720950677091E-2</v>
      </c>
      <c r="W42" s="60">
        <v>2157094.4900000002</v>
      </c>
      <c r="X42" s="99">
        <v>7.0051532407587797E-2</v>
      </c>
      <c r="Y42" s="60">
        <v>2205883.84</v>
      </c>
      <c r="Z42" s="99">
        <v>7.125650186505593E-2</v>
      </c>
      <c r="AA42" s="60">
        <v>2176237.42</v>
      </c>
      <c r="AB42" s="99">
        <v>5.7793408710116068E-2</v>
      </c>
      <c r="AC42" s="60">
        <v>1990833.9</v>
      </c>
      <c r="AD42" s="99">
        <v>6.5551639058522557E-2</v>
      </c>
      <c r="AE42" s="60">
        <v>2503886.3200000003</v>
      </c>
      <c r="AF42" s="99">
        <v>7.0710952760473914E-2</v>
      </c>
      <c r="AG42" s="60">
        <v>1797939.26</v>
      </c>
      <c r="AH42" s="99">
        <v>4.8378760248383605E-2</v>
      </c>
      <c r="AI42" s="60">
        <v>1749586.57</v>
      </c>
      <c r="AJ42" s="99">
        <v>5.2309117804189988E-2</v>
      </c>
      <c r="AK42" s="60">
        <v>2227778.4900000002</v>
      </c>
      <c r="AL42" s="99">
        <v>6.1946924668828375E-2</v>
      </c>
      <c r="AM42" s="60">
        <v>2455397.48</v>
      </c>
      <c r="AN42" s="99">
        <v>6.737521265018051E-2</v>
      </c>
      <c r="AO42" s="60">
        <v>2129785.2199999997</v>
      </c>
      <c r="AP42" s="99">
        <v>6.0220189920189161E-2</v>
      </c>
      <c r="AQ42" s="60">
        <v>1968970.23</v>
      </c>
      <c r="AR42" s="99">
        <v>5.3764675337458358E-2</v>
      </c>
      <c r="AS42" s="60">
        <v>1566825.72</v>
      </c>
      <c r="AT42" s="99">
        <v>4.4722082894409723E-2</v>
      </c>
      <c r="AU42" s="60">
        <v>1434270.11</v>
      </c>
      <c r="AV42" s="99">
        <v>4.2413739565600093E-2</v>
      </c>
      <c r="AW42" s="60">
        <v>1748620.87</v>
      </c>
      <c r="AX42" s="99">
        <v>5.375655312683103E-2</v>
      </c>
      <c r="AY42" s="60">
        <v>1597138.57</v>
      </c>
      <c r="AZ42" s="99">
        <v>4.5138193110983944E-2</v>
      </c>
      <c r="BA42" s="60">
        <v>1301828.8500000001</v>
      </c>
      <c r="BB42" s="99">
        <v>4.1864974204654827E-2</v>
      </c>
      <c r="BC42" s="60">
        <v>1708792</v>
      </c>
      <c r="BD42" s="99">
        <v>4.1543671914740815E-2</v>
      </c>
      <c r="BE42" s="60">
        <v>1620494.45</v>
      </c>
      <c r="BF42" s="99">
        <v>4.3132482905048605E-2</v>
      </c>
      <c r="BG42" s="60">
        <v>1616695.58</v>
      </c>
      <c r="BH42" s="99">
        <v>4.4272358182146962E-2</v>
      </c>
      <c r="BI42" s="60">
        <v>1682002.98</v>
      </c>
      <c r="BJ42" s="99">
        <v>4.2562352139960145E-2</v>
      </c>
      <c r="BK42" s="60">
        <v>1648611.16</v>
      </c>
      <c r="BL42" s="99">
        <v>5.0947042809271058E-2</v>
      </c>
      <c r="BM42" s="60">
        <v>1819749.27</v>
      </c>
      <c r="BN42" s="99">
        <v>5.168621509503557E-2</v>
      </c>
      <c r="BO42" s="60">
        <v>1488088.41</v>
      </c>
      <c r="BP42" s="99">
        <v>4.5077849824270128E-2</v>
      </c>
      <c r="BQ42" s="60">
        <v>1601041.12</v>
      </c>
      <c r="BR42" s="99">
        <v>4.6625326442581008E-2</v>
      </c>
      <c r="BS42" s="60">
        <v>1444618.99</v>
      </c>
      <c r="BT42" s="99">
        <v>4.5371795780239192E-2</v>
      </c>
      <c r="BU42" s="60">
        <v>1284375.52</v>
      </c>
      <c r="BV42" s="99">
        <v>4.6348591138651966E-2</v>
      </c>
      <c r="BW42" s="60">
        <v>1431126.36</v>
      </c>
      <c r="BX42" s="99">
        <v>4.3459294469658453E-2</v>
      </c>
      <c r="BY42" s="60">
        <v>1404582.52</v>
      </c>
      <c r="BZ42" s="99">
        <v>4.5616826234855676E-2</v>
      </c>
      <c r="CA42" s="60">
        <v>1854501.96</v>
      </c>
      <c r="CB42" s="99">
        <v>4.9401535066168817E-2</v>
      </c>
      <c r="CC42" s="60">
        <v>1388945.6</v>
      </c>
      <c r="CD42" s="99">
        <v>4.8933101060753353E-2</v>
      </c>
      <c r="CE42" s="60">
        <v>1480949.43</v>
      </c>
      <c r="CF42" s="99">
        <v>4.9342600134088581E-2</v>
      </c>
      <c r="CG42" s="60">
        <v>1817542.56</v>
      </c>
      <c r="CH42" s="99">
        <v>5.7712943320476176E-2</v>
      </c>
      <c r="CI42" s="60">
        <v>1457652.23</v>
      </c>
      <c r="CJ42" s="99">
        <v>4.9964220390815113E-2</v>
      </c>
      <c r="CK42" s="60">
        <v>1524173.8</v>
      </c>
      <c r="CL42" s="99">
        <v>4.3827026309187569E-2</v>
      </c>
      <c r="CM42" s="60">
        <v>1303220.95</v>
      </c>
      <c r="CN42" s="99">
        <v>4.0196088679325899E-2</v>
      </c>
      <c r="CO42" s="60">
        <v>1419022.87</v>
      </c>
      <c r="CP42" s="99">
        <v>4.1840932287021841E-2</v>
      </c>
      <c r="CQ42" s="60">
        <v>1303681.83</v>
      </c>
      <c r="CR42" s="99">
        <v>4.2893326534919958E-2</v>
      </c>
      <c r="CS42" s="60">
        <v>1228650.03</v>
      </c>
      <c r="CT42" s="99">
        <v>4.292754152290254E-2</v>
      </c>
      <c r="CU42" s="60">
        <v>1393390.99</v>
      </c>
      <c r="CV42" s="99">
        <v>3.8995450941338883E-2</v>
      </c>
      <c r="CW42" s="60">
        <v>1539216.1</v>
      </c>
      <c r="CX42" s="99">
        <v>4.6239375347660996E-2</v>
      </c>
      <c r="CY42" s="60">
        <v>1449844.35</v>
      </c>
      <c r="CZ42" s="99">
        <v>4.4065994711460658E-2</v>
      </c>
      <c r="DA42" s="60">
        <v>2012025.08</v>
      </c>
      <c r="DB42" s="99">
        <v>5.6282926589465029E-2</v>
      </c>
      <c r="DC42" s="60">
        <v>1787955.12</v>
      </c>
      <c r="DD42" s="99">
        <v>5.1201098369248729E-2</v>
      </c>
      <c r="DE42" s="60">
        <v>1959238.51</v>
      </c>
      <c r="DF42" s="99">
        <v>5.9006648583793342E-2</v>
      </c>
      <c r="DG42" s="60">
        <v>1869271</v>
      </c>
      <c r="DH42" s="99">
        <v>5.4767736623039784E-2</v>
      </c>
      <c r="DI42" s="60">
        <v>1952880</v>
      </c>
      <c r="DJ42" s="99">
        <v>5.5160921648071418E-2</v>
      </c>
      <c r="DK42" s="60">
        <v>1682938</v>
      </c>
      <c r="DL42" s="99">
        <v>5.2587643532390774E-2</v>
      </c>
      <c r="DM42" s="60">
        <v>2275846</v>
      </c>
      <c r="DN42" s="99">
        <v>6.7762073336331205E-2</v>
      </c>
      <c r="DO42" s="60">
        <v>1791788</v>
      </c>
      <c r="DP42" s="99">
        <v>6.3325794114619971E-2</v>
      </c>
      <c r="DQ42" s="60">
        <v>2044801</v>
      </c>
      <c r="DR42" s="99">
        <v>6.4301853290077746E-2</v>
      </c>
      <c r="DS42" s="60">
        <v>2404758</v>
      </c>
      <c r="DT42" s="99">
        <v>7.2363892035798696E-2</v>
      </c>
      <c r="DU42" s="60">
        <v>2345319</v>
      </c>
      <c r="DV42" s="99">
        <v>7.5932612924913365E-2</v>
      </c>
      <c r="DW42" s="60">
        <v>2400347</v>
      </c>
      <c r="DX42" s="99">
        <v>7.5519436997603703E-2</v>
      </c>
      <c r="DY42" s="60">
        <v>2121808</v>
      </c>
      <c r="DZ42" s="99">
        <v>7.0395938856148116E-2</v>
      </c>
      <c r="EA42" s="60">
        <v>2165841</v>
      </c>
      <c r="EB42" s="99">
        <v>7.1433611161350274E-2</v>
      </c>
      <c r="EC42" s="60">
        <v>1700985</v>
      </c>
      <c r="ED42" s="99">
        <v>5.9713030001028823E-2</v>
      </c>
      <c r="EE42" s="60">
        <v>1769347</v>
      </c>
      <c r="EF42" s="99">
        <v>5.6591753287128461E-2</v>
      </c>
      <c r="EG42" s="60">
        <v>1821825</v>
      </c>
      <c r="EH42" s="99">
        <v>5.9725351602365466E-2</v>
      </c>
      <c r="EI42" s="60">
        <v>1749614</v>
      </c>
      <c r="EJ42" s="99">
        <v>5.9054608420977948E-2</v>
      </c>
      <c r="EK42" s="60">
        <v>1809671</v>
      </c>
      <c r="EL42" s="99">
        <v>5.9922403657602402E-2</v>
      </c>
      <c r="EM42" s="60">
        <v>1373653</v>
      </c>
      <c r="EN42" s="99">
        <v>5.6269080884455869E-2</v>
      </c>
      <c r="EO42" s="60">
        <v>1632607</v>
      </c>
      <c r="EP42" s="99">
        <v>5.7797090476282391E-2</v>
      </c>
      <c r="EQ42" s="60">
        <v>1750339</v>
      </c>
      <c r="ER42" s="99">
        <v>5.9886162052588364E-2</v>
      </c>
      <c r="ES42" s="60">
        <f t="shared" si="3"/>
        <v>1565570</v>
      </c>
      <c r="ET42" s="99">
        <f>ES42/ES46</f>
        <v>5.4052030078064646E-2</v>
      </c>
      <c r="EU42" s="221">
        <f>IF( SUM($EQ42:ES42)&lt;0, "n/a", SUM($EQ42:ES42)/EU$74)</f>
        <v>1657954.5299430811</v>
      </c>
      <c r="EV42" s="224">
        <f>EU42/EU46</f>
        <v>5.6982312011362876E-2</v>
      </c>
      <c r="EW42" s="22"/>
      <c r="EX42" s="97"/>
      <c r="EY42" s="17"/>
      <c r="EZ42" s="185"/>
    </row>
    <row r="43" spans="1:156" ht="24" customHeight="1" x14ac:dyDescent="0.3">
      <c r="A43" s="5"/>
      <c r="B43" s="14" t="s">
        <v>81</v>
      </c>
      <c r="C43" s="60">
        <v>867498</v>
      </c>
      <c r="D43" s="99">
        <v>2.2142716948232471E-2</v>
      </c>
      <c r="E43" s="60">
        <v>1115015</v>
      </c>
      <c r="F43" s="99">
        <v>3.1839239204263979E-2</v>
      </c>
      <c r="G43" s="60">
        <v>1156748</v>
      </c>
      <c r="H43" s="99">
        <v>3.0409752753155966E-2</v>
      </c>
      <c r="I43" s="60">
        <v>401714</v>
      </c>
      <c r="J43" s="99">
        <v>1.1346583116989894E-2</v>
      </c>
      <c r="K43" s="60">
        <v>488620</v>
      </c>
      <c r="L43" s="99">
        <v>1.5194456585587766E-2</v>
      </c>
      <c r="M43" s="60">
        <v>858360</v>
      </c>
      <c r="N43" s="99">
        <v>2.5464277092409397E-2</v>
      </c>
      <c r="O43" s="60">
        <v>1379752</v>
      </c>
      <c r="P43" s="99">
        <v>3.4590335096328105E-2</v>
      </c>
      <c r="Q43" s="60">
        <v>1399944</v>
      </c>
      <c r="R43" s="99">
        <v>3.7740594622653195E-2</v>
      </c>
      <c r="S43" s="60">
        <v>1618967</v>
      </c>
      <c r="T43" s="99">
        <v>4.1784079408805734E-2</v>
      </c>
      <c r="U43" s="60">
        <v>1276475</v>
      </c>
      <c r="V43" s="99">
        <v>3.4730111112799028E-2</v>
      </c>
      <c r="W43" s="60">
        <v>895497</v>
      </c>
      <c r="X43" s="99">
        <v>2.9081218930005075E-2</v>
      </c>
      <c r="Y43" s="60">
        <v>1040301</v>
      </c>
      <c r="Z43" s="99">
        <v>3.3604765945753318E-2</v>
      </c>
      <c r="AA43" s="60">
        <v>734178</v>
      </c>
      <c r="AB43" s="99">
        <v>1.9497251922069973E-2</v>
      </c>
      <c r="AC43" s="60">
        <v>1002284</v>
      </c>
      <c r="AD43" s="99">
        <v>3.3001928991731669E-2</v>
      </c>
      <c r="AE43" s="60">
        <v>880036</v>
      </c>
      <c r="AF43" s="99">
        <v>2.4852639485452525E-2</v>
      </c>
      <c r="AG43" s="60">
        <v>693470</v>
      </c>
      <c r="AH43" s="99">
        <v>1.8659817723456675E-2</v>
      </c>
      <c r="AI43" s="60">
        <v>965252</v>
      </c>
      <c r="AJ43" s="99">
        <v>2.8859092453327413E-2</v>
      </c>
      <c r="AK43" s="60">
        <v>1243473</v>
      </c>
      <c r="AL43" s="99">
        <v>3.4576744772646592E-2</v>
      </c>
      <c r="AM43" s="60">
        <v>520059</v>
      </c>
      <c r="AN43" s="99">
        <v>1.4270229566106841E-2</v>
      </c>
      <c r="AO43" s="60">
        <v>347680</v>
      </c>
      <c r="AP43" s="99">
        <v>9.8307357168397336E-3</v>
      </c>
      <c r="AQ43" s="60">
        <v>732368</v>
      </c>
      <c r="AR43" s="99">
        <v>1.9998031025356692E-2</v>
      </c>
      <c r="AS43" s="60">
        <v>333381</v>
      </c>
      <c r="AT43" s="99">
        <v>9.5157314097583275E-3</v>
      </c>
      <c r="AU43" s="60">
        <v>499758</v>
      </c>
      <c r="AV43" s="99">
        <v>1.4778670705077421E-2</v>
      </c>
      <c r="AW43" s="60">
        <v>379711</v>
      </c>
      <c r="AX43" s="99">
        <v>1.1673173353090619E-2</v>
      </c>
      <c r="AY43" s="60">
        <v>595322</v>
      </c>
      <c r="AZ43" s="99">
        <v>1.6824939240692924E-2</v>
      </c>
      <c r="BA43" s="60">
        <v>626020</v>
      </c>
      <c r="BB43" s="99">
        <v>2.0131917610827273E-2</v>
      </c>
      <c r="BC43" s="60">
        <v>648185</v>
      </c>
      <c r="BD43" s="99">
        <v>1.5758491952242448E-2</v>
      </c>
      <c r="BE43" s="60">
        <v>831061</v>
      </c>
      <c r="BF43" s="99">
        <v>2.2120238903349902E-2</v>
      </c>
      <c r="BG43" s="60">
        <v>720353</v>
      </c>
      <c r="BH43" s="99">
        <v>1.9726488046428695E-2</v>
      </c>
      <c r="BI43" s="60">
        <v>890000</v>
      </c>
      <c r="BJ43" s="99">
        <v>2.2521062004637191E-2</v>
      </c>
      <c r="BK43" s="60">
        <v>838541</v>
      </c>
      <c r="BL43" s="99">
        <v>2.5913438693651064E-2</v>
      </c>
      <c r="BM43" s="60">
        <v>802807</v>
      </c>
      <c r="BN43" s="99">
        <v>2.2802072772256269E-2</v>
      </c>
      <c r="BO43" s="60">
        <v>560287</v>
      </c>
      <c r="BP43" s="99">
        <v>1.6972468218128815E-2</v>
      </c>
      <c r="BQ43" s="60">
        <v>1252887</v>
      </c>
      <c r="BR43" s="99">
        <v>3.6486424140478035E-2</v>
      </c>
      <c r="BS43" s="60">
        <v>913902</v>
      </c>
      <c r="BT43" s="99">
        <v>2.8703329524383561E-2</v>
      </c>
      <c r="BU43" s="60">
        <v>791756</v>
      </c>
      <c r="BV43" s="99">
        <v>2.8571686826898202E-2</v>
      </c>
      <c r="BW43" s="60">
        <v>871137</v>
      </c>
      <c r="BX43" s="99">
        <v>2.6453987896928158E-2</v>
      </c>
      <c r="BY43" s="60">
        <v>703774</v>
      </c>
      <c r="BZ43" s="99">
        <v>2.2856568275254712E-2</v>
      </c>
      <c r="CA43" s="60">
        <v>753090</v>
      </c>
      <c r="CB43" s="99">
        <v>2.0061344148151278E-2</v>
      </c>
      <c r="CC43" s="60">
        <v>371329</v>
      </c>
      <c r="CD43" s="99">
        <v>1.3082067061365455E-2</v>
      </c>
      <c r="CE43" s="60">
        <v>349915</v>
      </c>
      <c r="CF43" s="99">
        <v>1.1658545238725407E-2</v>
      </c>
      <c r="CG43" s="60">
        <v>765939</v>
      </c>
      <c r="CH43" s="99">
        <v>2.4321077848070971E-2</v>
      </c>
      <c r="CI43" s="60">
        <v>379380</v>
      </c>
      <c r="CJ43" s="99">
        <v>1.3004079808437872E-2</v>
      </c>
      <c r="CK43" s="60">
        <v>608631</v>
      </c>
      <c r="CL43" s="99">
        <v>1.7500948283973351E-2</v>
      </c>
      <c r="CM43" s="60">
        <v>410415</v>
      </c>
      <c r="CN43" s="99">
        <v>1.2658695929746631E-2</v>
      </c>
      <c r="CO43" s="60">
        <v>544703</v>
      </c>
      <c r="CP43" s="99">
        <v>1.6060968305280136E-2</v>
      </c>
      <c r="CQ43" s="60">
        <v>346830</v>
      </c>
      <c r="CR43" s="99">
        <v>1.1411290776451406E-2</v>
      </c>
      <c r="CS43" s="60">
        <v>419666</v>
      </c>
      <c r="CT43" s="99">
        <v>1.4662620926115484E-2</v>
      </c>
      <c r="CU43" s="60">
        <v>650145</v>
      </c>
      <c r="CV43" s="99">
        <v>1.8194962960293555E-2</v>
      </c>
      <c r="CW43" s="60">
        <v>387843</v>
      </c>
      <c r="CX43" s="99">
        <v>1.1651137259389948E-2</v>
      </c>
      <c r="CY43" s="60">
        <v>494734</v>
      </c>
      <c r="CZ43" s="99">
        <v>1.5036749170750485E-2</v>
      </c>
      <c r="DA43" s="60">
        <v>491195</v>
      </c>
      <c r="DB43" s="99">
        <v>1.3740331768683656E-2</v>
      </c>
      <c r="DC43" s="60">
        <v>735199</v>
      </c>
      <c r="DD43" s="99">
        <v>2.1053658393826627E-2</v>
      </c>
      <c r="DE43" s="60">
        <v>291372</v>
      </c>
      <c r="DF43" s="99">
        <v>8.7752895440775264E-3</v>
      </c>
      <c r="DG43" s="60">
        <v>538928</v>
      </c>
      <c r="DH43" s="99">
        <v>1.5790041552445625E-2</v>
      </c>
      <c r="DI43" s="60">
        <v>301155</v>
      </c>
      <c r="DJ43" s="99">
        <v>8.5064045711589799E-3</v>
      </c>
      <c r="DK43" s="60">
        <v>1000839</v>
      </c>
      <c r="DL43" s="99">
        <v>3.1273739475437864E-2</v>
      </c>
      <c r="DM43" s="60">
        <v>806264</v>
      </c>
      <c r="DN43" s="99">
        <v>2.4006070839786061E-2</v>
      </c>
      <c r="DO43" s="60">
        <v>266016</v>
      </c>
      <c r="DP43" s="99">
        <v>9.4016002156475792E-3</v>
      </c>
      <c r="DQ43" s="60">
        <v>453068</v>
      </c>
      <c r="DR43" s="99">
        <v>1.4247406992870672E-2</v>
      </c>
      <c r="DS43" s="60">
        <v>467664</v>
      </c>
      <c r="DT43" s="99">
        <v>1.4072928421500109E-2</v>
      </c>
      <c r="DU43" s="60">
        <v>610768</v>
      </c>
      <c r="DV43" s="99">
        <v>1.9774371900335725E-2</v>
      </c>
      <c r="DW43" s="60">
        <v>454661</v>
      </c>
      <c r="DX43" s="99">
        <v>1.4304491285954696E-2</v>
      </c>
      <c r="DY43" s="60">
        <v>310692</v>
      </c>
      <c r="DZ43" s="99">
        <v>1.0307933156578903E-2</v>
      </c>
      <c r="EA43" s="60">
        <v>613363</v>
      </c>
      <c r="EB43" s="99">
        <v>2.0229894088605437E-2</v>
      </c>
      <c r="EC43" s="60">
        <v>383523</v>
      </c>
      <c r="ED43" s="99">
        <v>1.3463563996792787E-2</v>
      </c>
      <c r="EE43" s="60">
        <v>687617</v>
      </c>
      <c r="EF43" s="99">
        <v>2.1993114759306914E-2</v>
      </c>
      <c r="EG43" s="60">
        <v>412282</v>
      </c>
      <c r="EH43" s="99">
        <v>1.3515945499335248E-2</v>
      </c>
      <c r="EI43" s="60">
        <v>235242</v>
      </c>
      <c r="EJ43" s="99">
        <v>7.9401080433556745E-3</v>
      </c>
      <c r="EK43" s="60">
        <v>463947</v>
      </c>
      <c r="EL43" s="99">
        <v>1.5362361119636476E-2</v>
      </c>
      <c r="EM43" s="60">
        <v>109439</v>
      </c>
      <c r="EN43" s="99">
        <v>4.4829603567378123E-3</v>
      </c>
      <c r="EO43" s="60">
        <v>492194</v>
      </c>
      <c r="EP43" s="99">
        <v>1.7424512543363673E-2</v>
      </c>
      <c r="EQ43" s="60">
        <v>529372</v>
      </c>
      <c r="ER43" s="99">
        <v>1.811195281491346E-2</v>
      </c>
      <c r="ES43" s="60">
        <f t="shared" si="3"/>
        <v>383445</v>
      </c>
      <c r="ET43" s="99">
        <f>ES43/ES46</f>
        <v>1.323861639740382E-2</v>
      </c>
      <c r="EU43" s="221">
        <f>IF( SUM($EQ43:ES43)&lt;0, "n/a", SUM($EQ43:ES43)/EU$74)</f>
        <v>456408.50905597641</v>
      </c>
      <c r="EV43" s="224">
        <f>EU43/EU46</f>
        <v>1.5686324080649808E-2</v>
      </c>
      <c r="EW43" s="22"/>
      <c r="EX43" s="97"/>
      <c r="EY43" s="43"/>
      <c r="EZ43" s="182"/>
    </row>
    <row r="44" spans="1:156" ht="24" customHeight="1" x14ac:dyDescent="0.3">
      <c r="A44" s="5" t="s">
        <v>92</v>
      </c>
      <c r="B44" s="14" t="s">
        <v>82</v>
      </c>
      <c r="C44" s="18">
        <v>22280.560000000001</v>
      </c>
      <c r="D44" s="92">
        <v>5.687069405671374E-4</v>
      </c>
      <c r="E44" s="18">
        <v>20245.510000000002</v>
      </c>
      <c r="F44" s="92">
        <v>5.781102816574831E-4</v>
      </c>
      <c r="G44" s="18">
        <v>8037.12</v>
      </c>
      <c r="H44" s="92">
        <v>2.1128787951000985E-4</v>
      </c>
      <c r="I44" s="18">
        <v>6565.82</v>
      </c>
      <c r="J44" s="92">
        <v>1.8545438386811158E-4</v>
      </c>
      <c r="K44" s="18">
        <v>53800.88</v>
      </c>
      <c r="L44" s="92">
        <v>1.6730283971724798E-3</v>
      </c>
      <c r="M44" s="18">
        <v>8786.33</v>
      </c>
      <c r="N44" s="92">
        <v>2.6065699909752255E-4</v>
      </c>
      <c r="O44" s="18">
        <v>14491.09</v>
      </c>
      <c r="P44" s="92">
        <v>3.6329112696415676E-4</v>
      </c>
      <c r="Q44" s="18">
        <v>5592.21</v>
      </c>
      <c r="R44" s="92">
        <v>1.5075840937548031E-4</v>
      </c>
      <c r="S44" s="18">
        <v>8306.66</v>
      </c>
      <c r="T44" s="92">
        <v>2.1438740941720876E-4</v>
      </c>
      <c r="U44" s="18">
        <v>14726.46</v>
      </c>
      <c r="V44" s="92">
        <v>4.006749776518854E-4</v>
      </c>
      <c r="W44" s="18">
        <v>7806.3099999999995</v>
      </c>
      <c r="X44" s="92">
        <v>2.535095149905448E-4</v>
      </c>
      <c r="Y44" s="18">
        <v>6666.76</v>
      </c>
      <c r="Z44" s="92">
        <v>2.1535585317759994E-4</v>
      </c>
      <c r="AA44" s="18">
        <v>8261.42</v>
      </c>
      <c r="AB44" s="92">
        <v>2.1939500635272005E-4</v>
      </c>
      <c r="AC44" s="18">
        <v>7297.93</v>
      </c>
      <c r="AD44" s="92">
        <v>2.4029692945974225E-4</v>
      </c>
      <c r="AE44" s="18">
        <v>12431.58</v>
      </c>
      <c r="AF44" s="92">
        <v>3.5107379240685826E-4</v>
      </c>
      <c r="AG44" s="18">
        <v>8253.26</v>
      </c>
      <c r="AH44" s="92">
        <v>2.2207785084328959E-4</v>
      </c>
      <c r="AI44" s="18">
        <v>5782.25</v>
      </c>
      <c r="AJ44" s="92">
        <v>1.7287763955759991E-4</v>
      </c>
      <c r="AK44" s="18">
        <v>6086.49</v>
      </c>
      <c r="AL44" s="92">
        <v>1.6924453630377641E-4</v>
      </c>
      <c r="AM44" s="18">
        <v>9592.6</v>
      </c>
      <c r="AN44" s="92">
        <v>2.6321745058894566E-4</v>
      </c>
      <c r="AO44" s="18">
        <v>6815.87</v>
      </c>
      <c r="AP44" s="92">
        <v>1.92720365423195E-4</v>
      </c>
      <c r="AQ44" s="18">
        <v>518</v>
      </c>
      <c r="AR44" s="92">
        <v>1.414450122224724E-5</v>
      </c>
      <c r="AS44" s="18">
        <v>6113.16</v>
      </c>
      <c r="AT44" s="92">
        <v>1.7448861400283226E-4</v>
      </c>
      <c r="AU44" s="18">
        <v>3951.07</v>
      </c>
      <c r="AV44" s="92">
        <v>1.1683967532827938E-4</v>
      </c>
      <c r="AW44" s="18">
        <v>45497.07</v>
      </c>
      <c r="AX44" s="92">
        <v>1.3986826432937118E-3</v>
      </c>
      <c r="AY44" s="18">
        <v>7430.57</v>
      </c>
      <c r="AZ44" s="92">
        <v>2.1000213123942272E-4</v>
      </c>
      <c r="BA44" s="18">
        <v>4271.8500000000004</v>
      </c>
      <c r="BB44" s="92">
        <v>1.3737665289577407E-4</v>
      </c>
      <c r="BC44" s="18">
        <v>10270.32</v>
      </c>
      <c r="BD44" s="92">
        <v>2.496891397779255E-4</v>
      </c>
      <c r="BE44" s="18">
        <v>5254.89</v>
      </c>
      <c r="BF44" s="92">
        <v>1.3986870062585583E-4</v>
      </c>
      <c r="BG44" s="18">
        <v>40929.58</v>
      </c>
      <c r="BH44" s="92">
        <v>1.120835022017465E-3</v>
      </c>
      <c r="BI44" s="18">
        <v>20084.98</v>
      </c>
      <c r="BJ44" s="92">
        <v>5.0824166285606506E-4</v>
      </c>
      <c r="BK44" s="18">
        <v>40591.160000000003</v>
      </c>
      <c r="BL44" s="92">
        <v>1.254388916182013E-3</v>
      </c>
      <c r="BM44" s="18">
        <v>22254.27</v>
      </c>
      <c r="BN44" s="92">
        <v>6.3208652145962788E-4</v>
      </c>
      <c r="BO44" s="18">
        <v>36813.31</v>
      </c>
      <c r="BP44" s="92">
        <v>1.1151655026426163E-3</v>
      </c>
      <c r="BQ44" s="18">
        <v>13914.86</v>
      </c>
      <c r="BR44" s="92">
        <v>4.0522687506165537E-4</v>
      </c>
      <c r="BS44" s="18">
        <v>15163.99</v>
      </c>
      <c r="BT44" s="92">
        <v>4.76262227103625E-4</v>
      </c>
      <c r="BU44" s="18">
        <v>6524.52</v>
      </c>
      <c r="BV44" s="92">
        <v>2.3544695857793797E-4</v>
      </c>
      <c r="BW44" s="18">
        <v>7754.73</v>
      </c>
      <c r="BX44" s="92">
        <v>2.3548940472502684E-4</v>
      </c>
      <c r="BY44" s="18">
        <v>8327.52</v>
      </c>
      <c r="BZ44" s="92">
        <v>2.7045405122034795E-4</v>
      </c>
      <c r="CA44" s="18">
        <v>11240.28</v>
      </c>
      <c r="CB44" s="92">
        <v>2.9942652989892556E-4</v>
      </c>
      <c r="CC44" s="18">
        <v>30935.599999999999</v>
      </c>
      <c r="CD44" s="92">
        <v>1.0898733839360168E-3</v>
      </c>
      <c r="CE44" s="18">
        <v>52414.43</v>
      </c>
      <c r="CF44" s="92">
        <v>1.7463555529685956E-3</v>
      </c>
      <c r="CG44" s="18">
        <v>5971.5599999999995</v>
      </c>
      <c r="CH44" s="92">
        <v>1.8961663479001155E-4</v>
      </c>
      <c r="CI44" s="18">
        <v>7006.23</v>
      </c>
      <c r="CJ44" s="92">
        <v>2.4015386703640592E-4</v>
      </c>
      <c r="CK44" s="18">
        <v>8783.7999999999993</v>
      </c>
      <c r="CL44" s="92">
        <v>2.5257476128683076E-4</v>
      </c>
      <c r="CM44" s="18">
        <v>11409.95</v>
      </c>
      <c r="CN44" s="92">
        <v>3.5192448527371708E-4</v>
      </c>
      <c r="CO44" s="18">
        <v>6832.87</v>
      </c>
      <c r="CP44" s="92">
        <v>2.0147219402885517E-4</v>
      </c>
      <c r="CQ44" s="18">
        <v>10509.83</v>
      </c>
      <c r="CR44" s="92">
        <v>3.4579109690935697E-4</v>
      </c>
      <c r="CS44" s="18">
        <v>20213.03</v>
      </c>
      <c r="CT44" s="92">
        <v>7.0621874695162349E-4</v>
      </c>
      <c r="CU44" s="18">
        <v>16396.989999999998</v>
      </c>
      <c r="CV44" s="92">
        <v>4.5888628799776023E-4</v>
      </c>
      <c r="CW44" s="18">
        <v>15201.1</v>
      </c>
      <c r="CX44" s="92">
        <v>4.5665411672690372E-4</v>
      </c>
      <c r="CY44" s="18">
        <v>16686.419999999998</v>
      </c>
      <c r="CZ44" s="92">
        <v>5.0716043792784469E-4</v>
      </c>
      <c r="DA44" s="18">
        <v>7523.93</v>
      </c>
      <c r="DB44" s="92">
        <v>2.1046894696475333E-4</v>
      </c>
      <c r="DC44" s="18">
        <v>12753.19</v>
      </c>
      <c r="DD44" s="92">
        <v>3.6520901917925049E-4</v>
      </c>
      <c r="DE44" s="18">
        <v>8613.7199999999993</v>
      </c>
      <c r="DF44" s="92">
        <v>2.5942055877576248E-4</v>
      </c>
      <c r="DG44" s="18">
        <v>13701.15</v>
      </c>
      <c r="DH44" s="92">
        <v>4.0142974166547363E-4</v>
      </c>
      <c r="DI44" s="18">
        <v>5720.34</v>
      </c>
      <c r="DJ44" s="92">
        <v>1.6157635212625911E-4</v>
      </c>
      <c r="DK44" s="18">
        <v>12518.85</v>
      </c>
      <c r="DL44" s="92">
        <v>3.9118305085242017E-4</v>
      </c>
      <c r="DM44" s="18">
        <v>18705.739999999998</v>
      </c>
      <c r="DN44" s="92">
        <v>5.5695320583657414E-4</v>
      </c>
      <c r="DO44" s="18">
        <v>14892.69</v>
      </c>
      <c r="DP44" s="92">
        <v>5.2634096263221974E-4</v>
      </c>
      <c r="DQ44" s="18">
        <v>5946.12</v>
      </c>
      <c r="DR44" s="92">
        <v>1.8698471679405335E-4</v>
      </c>
      <c r="DS44" s="18">
        <v>6447.99</v>
      </c>
      <c r="DT44" s="92">
        <v>1.9403268528804545E-4</v>
      </c>
      <c r="DU44" s="18">
        <v>4103.03</v>
      </c>
      <c r="DV44" s="92">
        <v>1.3284068768867145E-4</v>
      </c>
      <c r="DW44" s="18">
        <v>15256.78</v>
      </c>
      <c r="DX44" s="92">
        <v>4.8000703064861051E-4</v>
      </c>
      <c r="DY44" s="18">
        <v>9370.92</v>
      </c>
      <c r="DZ44" s="92">
        <v>3.1090216991634277E-4</v>
      </c>
      <c r="EA44" s="18">
        <v>21951.759999999998</v>
      </c>
      <c r="EB44" s="92">
        <v>7.240113600893521E-4</v>
      </c>
      <c r="EC44" s="18">
        <v>2368.7600000000002</v>
      </c>
      <c r="ED44" s="92">
        <v>8.3155252365680503E-5</v>
      </c>
      <c r="EE44" s="18">
        <v>9125.08</v>
      </c>
      <c r="EF44" s="92">
        <v>2.9186150375551552E-4</v>
      </c>
      <c r="EG44" s="18">
        <v>16334.4</v>
      </c>
      <c r="EH44" s="92">
        <v>5.3549478309589474E-4</v>
      </c>
      <c r="EI44" s="18">
        <v>18527.77</v>
      </c>
      <c r="EJ44" s="92">
        <v>6.2536662501782832E-4</v>
      </c>
      <c r="EK44" s="18">
        <v>11223.98</v>
      </c>
      <c r="EL44" s="92">
        <v>3.7165200757754101E-4</v>
      </c>
      <c r="EM44" s="18">
        <v>43244.61</v>
      </c>
      <c r="EN44" s="92">
        <v>1.7714331478959745E-3</v>
      </c>
      <c r="EO44" s="18">
        <v>35632.79</v>
      </c>
      <c r="EP44" s="92">
        <v>1.2614619363707068E-3</v>
      </c>
      <c r="EQ44" s="18">
        <v>23632.489999999998</v>
      </c>
      <c r="ER44" s="92">
        <v>8.0856287030465178E-4</v>
      </c>
      <c r="ES44" s="18">
        <f t="shared" si="3"/>
        <v>18173.52</v>
      </c>
      <c r="ET44" s="92">
        <f>ES44/ES46</f>
        <v>6.2744920358994447E-4</v>
      </c>
      <c r="EU44" s="221">
        <f>IF( SUM($EQ44:ES44)&lt;0, "n/a", SUM($EQ44:ES44)/EU$74)</f>
        <v>20903.005404281434</v>
      </c>
      <c r="EV44" s="224">
        <f>EU44/EU46</f>
        <v>7.1841631022466002E-4</v>
      </c>
      <c r="EW44" s="22"/>
      <c r="EX44" s="97"/>
      <c r="EY44" s="43"/>
      <c r="EZ44" s="182"/>
    </row>
    <row r="45" spans="1:156" ht="24" customHeight="1" x14ac:dyDescent="0.3">
      <c r="A45" s="3"/>
      <c r="B45" s="14" t="s">
        <v>102</v>
      </c>
      <c r="C45" s="18">
        <v>0</v>
      </c>
      <c r="D45" s="92">
        <v>0</v>
      </c>
      <c r="E45" s="18">
        <v>12777</v>
      </c>
      <c r="F45" s="92">
        <v>3.6484707318993996E-4</v>
      </c>
      <c r="G45" s="18">
        <v>14827.06</v>
      </c>
      <c r="H45" s="92">
        <v>3.8978863906071907E-4</v>
      </c>
      <c r="I45" s="18">
        <v>0</v>
      </c>
      <c r="J45" s="92">
        <v>0</v>
      </c>
      <c r="K45" s="18">
        <v>0</v>
      </c>
      <c r="L45" s="92">
        <v>0</v>
      </c>
      <c r="M45" s="18">
        <v>5788</v>
      </c>
      <c r="N45" s="92">
        <v>1.7170794982392654E-4</v>
      </c>
      <c r="O45" s="18">
        <v>0</v>
      </c>
      <c r="P45" s="92">
        <v>0</v>
      </c>
      <c r="Q45" s="18">
        <v>17524</v>
      </c>
      <c r="R45" s="92">
        <v>4.7242331133772109E-4</v>
      </c>
      <c r="S45" s="18">
        <v>31312</v>
      </c>
      <c r="T45" s="92">
        <v>8.0813450456280154E-4</v>
      </c>
      <c r="U45" s="18">
        <v>0</v>
      </c>
      <c r="V45" s="92">
        <v>0</v>
      </c>
      <c r="W45" s="18">
        <v>0</v>
      </c>
      <c r="X45" s="92">
        <v>0</v>
      </c>
      <c r="Y45" s="18">
        <v>19852</v>
      </c>
      <c r="Z45" s="92">
        <v>6.4127768170471318E-4</v>
      </c>
      <c r="AA45" s="18">
        <v>8900</v>
      </c>
      <c r="AB45" s="92">
        <v>2.3635350297396919E-4</v>
      </c>
      <c r="AC45" s="18">
        <v>0</v>
      </c>
      <c r="AD45" s="92">
        <v>0</v>
      </c>
      <c r="AE45" s="18">
        <v>4368</v>
      </c>
      <c r="AF45" s="92">
        <v>1.2335441876520578E-4</v>
      </c>
      <c r="AG45" s="18">
        <v>0</v>
      </c>
      <c r="AH45" s="92">
        <v>0</v>
      </c>
      <c r="AI45" s="18">
        <v>1659</v>
      </c>
      <c r="AJ45" s="92">
        <v>4.9600761645736219E-5</v>
      </c>
      <c r="AK45" s="18">
        <v>0</v>
      </c>
      <c r="AL45" s="92">
        <v>0</v>
      </c>
      <c r="AM45" s="18">
        <v>1658.88</v>
      </c>
      <c r="AN45" s="92">
        <v>4.5519063072888494E-5</v>
      </c>
      <c r="AO45" s="18">
        <v>0</v>
      </c>
      <c r="AP45" s="92">
        <v>0</v>
      </c>
      <c r="AQ45" s="18">
        <v>8928</v>
      </c>
      <c r="AR45" s="92">
        <v>2.4378785118189838E-4</v>
      </c>
      <c r="AS45" s="18">
        <v>23720</v>
      </c>
      <c r="AT45" s="92">
        <v>6.7704263002230948E-4</v>
      </c>
      <c r="AU45" s="18">
        <v>0</v>
      </c>
      <c r="AV45" s="92">
        <v>0</v>
      </c>
      <c r="AW45" s="18">
        <v>0</v>
      </c>
      <c r="AX45" s="92">
        <v>0</v>
      </c>
      <c r="AY45" s="18">
        <v>0</v>
      </c>
      <c r="AZ45" s="92">
        <v>0</v>
      </c>
      <c r="BA45" s="18">
        <v>0</v>
      </c>
      <c r="BB45" s="92">
        <v>0</v>
      </c>
      <c r="BC45" s="18">
        <v>1659</v>
      </c>
      <c r="BD45" s="92">
        <v>4.0333142773699203E-5</v>
      </c>
      <c r="BE45" s="18">
        <v>0</v>
      </c>
      <c r="BF45" s="92">
        <v>0</v>
      </c>
      <c r="BG45" s="18">
        <v>0</v>
      </c>
      <c r="BH45" s="92">
        <v>0</v>
      </c>
      <c r="BI45" s="18">
        <v>0</v>
      </c>
      <c r="BJ45" s="92">
        <v>0</v>
      </c>
      <c r="BK45" s="18">
        <v>2464</v>
      </c>
      <c r="BL45" s="92">
        <v>7.6145010132070134E-5</v>
      </c>
      <c r="BM45" s="18">
        <v>0</v>
      </c>
      <c r="BN45" s="92">
        <v>0</v>
      </c>
      <c r="BO45" s="18">
        <v>0</v>
      </c>
      <c r="BP45" s="92">
        <v>0</v>
      </c>
      <c r="BQ45" s="18">
        <v>0</v>
      </c>
      <c r="BR45" s="92">
        <v>0</v>
      </c>
      <c r="BS45" s="18">
        <v>0</v>
      </c>
      <c r="BT45" s="92">
        <v>0</v>
      </c>
      <c r="BU45" s="18">
        <v>0</v>
      </c>
      <c r="BV45" s="92">
        <v>0</v>
      </c>
      <c r="BW45" s="18">
        <v>11596</v>
      </c>
      <c r="BX45" s="92">
        <v>3.5213800315309638E-4</v>
      </c>
      <c r="BY45" s="18">
        <v>23192</v>
      </c>
      <c r="BZ45" s="92">
        <v>7.5320988192190575E-4</v>
      </c>
      <c r="CA45" s="18">
        <v>0</v>
      </c>
      <c r="CB45" s="92">
        <v>0</v>
      </c>
      <c r="CC45" s="18">
        <v>0</v>
      </c>
      <c r="CD45" s="92">
        <v>0</v>
      </c>
      <c r="CE45" s="18">
        <v>0</v>
      </c>
      <c r="CF45" s="92">
        <v>0</v>
      </c>
      <c r="CG45" s="18">
        <v>0</v>
      </c>
      <c r="CH45" s="92">
        <v>0</v>
      </c>
      <c r="CI45" s="18">
        <v>0</v>
      </c>
      <c r="CJ45" s="92">
        <v>0</v>
      </c>
      <c r="CK45" s="18">
        <v>0</v>
      </c>
      <c r="CL45" s="92">
        <v>0</v>
      </c>
      <c r="CM45" s="18">
        <v>0</v>
      </c>
      <c r="CN45" s="92">
        <v>0</v>
      </c>
      <c r="CO45" s="18">
        <v>0</v>
      </c>
      <c r="CP45" s="92">
        <v>0</v>
      </c>
      <c r="CQ45" s="18">
        <v>0</v>
      </c>
      <c r="CR45" s="92">
        <v>0</v>
      </c>
      <c r="CS45" s="18">
        <v>0</v>
      </c>
      <c r="CT45" s="92">
        <v>0</v>
      </c>
      <c r="CU45" s="18">
        <v>0</v>
      </c>
      <c r="CV45" s="92">
        <v>0</v>
      </c>
      <c r="CW45" s="18">
        <v>0</v>
      </c>
      <c r="CX45" s="92">
        <v>0</v>
      </c>
      <c r="CY45" s="18">
        <v>0</v>
      </c>
      <c r="CZ45" s="92">
        <v>0</v>
      </c>
      <c r="DA45" s="18">
        <v>0</v>
      </c>
      <c r="DB45" s="92">
        <v>0</v>
      </c>
      <c r="DC45" s="18">
        <v>0</v>
      </c>
      <c r="DD45" s="92">
        <v>0</v>
      </c>
      <c r="DE45" s="18">
        <v>1280</v>
      </c>
      <c r="DF45" s="92">
        <v>3.8549931415576082E-5</v>
      </c>
      <c r="DG45" s="18">
        <v>0</v>
      </c>
      <c r="DH45" s="92">
        <v>0</v>
      </c>
      <c r="DI45" s="18">
        <v>0</v>
      </c>
      <c r="DJ45" s="92">
        <v>0</v>
      </c>
      <c r="DK45" s="18">
        <v>0</v>
      </c>
      <c r="DL45" s="92">
        <v>0</v>
      </c>
      <c r="DM45" s="18">
        <v>0</v>
      </c>
      <c r="DN45" s="92">
        <v>0</v>
      </c>
      <c r="DO45" s="18">
        <v>10980</v>
      </c>
      <c r="DP45" s="92">
        <v>3.8805774978877374E-4</v>
      </c>
      <c r="DQ45" s="18">
        <v>0</v>
      </c>
      <c r="DR45" s="92">
        <v>0</v>
      </c>
      <c r="DS45" s="18">
        <v>0</v>
      </c>
      <c r="DT45" s="92">
        <v>0</v>
      </c>
      <c r="DU45" s="18">
        <v>0</v>
      </c>
      <c r="DV45" s="92">
        <v>0</v>
      </c>
      <c r="DW45" s="18">
        <v>0</v>
      </c>
      <c r="DX45" s="92">
        <v>0</v>
      </c>
      <c r="DY45" s="18">
        <v>0</v>
      </c>
      <c r="DZ45" s="92">
        <v>0</v>
      </c>
      <c r="EA45" s="18">
        <v>0</v>
      </c>
      <c r="EB45" s="92">
        <v>0</v>
      </c>
      <c r="EC45" s="18">
        <v>0</v>
      </c>
      <c r="ED45" s="92">
        <v>0</v>
      </c>
      <c r="EE45" s="18">
        <v>0</v>
      </c>
      <c r="EF45" s="92">
        <v>0</v>
      </c>
      <c r="EG45" s="18">
        <v>21421</v>
      </c>
      <c r="EH45" s="92">
        <v>7.0225008256790344E-4</v>
      </c>
      <c r="EI45" s="18">
        <v>0</v>
      </c>
      <c r="EJ45" s="92">
        <v>0</v>
      </c>
      <c r="EK45" s="18">
        <v>5075.49</v>
      </c>
      <c r="EL45" s="92">
        <v>1.6806124457988464E-4</v>
      </c>
      <c r="EM45" s="18">
        <v>7566</v>
      </c>
      <c r="EN45" s="92">
        <v>3.0992679080655238E-4</v>
      </c>
      <c r="EO45" s="18">
        <v>0</v>
      </c>
      <c r="EP45" s="92">
        <v>0</v>
      </c>
      <c r="EQ45" s="18">
        <v>0</v>
      </c>
      <c r="ER45" s="92">
        <v>0</v>
      </c>
      <c r="ES45" s="18">
        <f t="shared" si="3"/>
        <v>0</v>
      </c>
      <c r="ET45" s="92">
        <f>ES45/ES46</f>
        <v>0</v>
      </c>
      <c r="EU45" s="221">
        <f>IF( SUM($EQ45:ES45)&lt;0, "n/a", SUM($EQ45:ES45)/EU$74)</f>
        <v>0</v>
      </c>
      <c r="EV45" s="224">
        <f>EU45/EU46</f>
        <v>0</v>
      </c>
      <c r="EW45" s="22"/>
      <c r="EX45" s="97"/>
      <c r="EY45" s="43"/>
      <c r="EZ45" s="182"/>
    </row>
    <row r="46" spans="1:156" ht="24" customHeight="1" thickBot="1" x14ac:dyDescent="0.35">
      <c r="A46" s="3"/>
      <c r="B46" s="15" t="s">
        <v>83</v>
      </c>
      <c r="C46" s="19">
        <v>39177577.079999998</v>
      </c>
      <c r="D46" s="95">
        <v>1</v>
      </c>
      <c r="E46" s="19">
        <v>35020152.109999999</v>
      </c>
      <c r="F46" s="95">
        <v>1</v>
      </c>
      <c r="G46" s="19">
        <v>38038717.689999998</v>
      </c>
      <c r="H46" s="95">
        <v>1</v>
      </c>
      <c r="I46" s="19">
        <v>35403962.219999999</v>
      </c>
      <c r="J46" s="95">
        <v>1</v>
      </c>
      <c r="K46" s="19">
        <v>32157780.520000003</v>
      </c>
      <c r="L46" s="95">
        <v>1</v>
      </c>
      <c r="M46" s="19">
        <v>33708398.509999998</v>
      </c>
      <c r="N46" s="95">
        <v>1</v>
      </c>
      <c r="O46" s="19">
        <v>39888367.549999997</v>
      </c>
      <c r="P46" s="95">
        <v>1</v>
      </c>
      <c r="Q46" s="19">
        <v>37093851.170000002</v>
      </c>
      <c r="R46" s="95">
        <v>1</v>
      </c>
      <c r="S46" s="19">
        <v>38746025.350000001</v>
      </c>
      <c r="T46" s="95">
        <v>1</v>
      </c>
      <c r="U46" s="19">
        <v>36754129.459999993</v>
      </c>
      <c r="V46" s="95">
        <v>1</v>
      </c>
      <c r="W46" s="19">
        <v>30792966.490000002</v>
      </c>
      <c r="X46" s="95">
        <v>1</v>
      </c>
      <c r="Y46" s="19">
        <v>30956948.239999998</v>
      </c>
      <c r="Z46" s="95">
        <v>1</v>
      </c>
      <c r="AA46" s="19">
        <v>37655460.520000003</v>
      </c>
      <c r="AB46" s="95">
        <v>1</v>
      </c>
      <c r="AC46" s="19">
        <v>30370467.140000001</v>
      </c>
      <c r="AD46" s="95">
        <v>1</v>
      </c>
      <c r="AE46" s="19">
        <v>35410162.390000001</v>
      </c>
      <c r="AF46" s="95">
        <v>1</v>
      </c>
      <c r="AG46" s="19">
        <v>37163814.260000005</v>
      </c>
      <c r="AH46" s="95">
        <v>1</v>
      </c>
      <c r="AI46" s="19">
        <v>33447067.039999999</v>
      </c>
      <c r="AJ46" s="95">
        <v>1</v>
      </c>
      <c r="AK46" s="19">
        <v>35962697.129999995</v>
      </c>
      <c r="AL46" s="95">
        <v>1</v>
      </c>
      <c r="AM46" s="19">
        <v>36443632.359999999</v>
      </c>
      <c r="AN46" s="95">
        <v>1</v>
      </c>
      <c r="AO46" s="19">
        <v>35366630.739999995</v>
      </c>
      <c r="AP46" s="95">
        <v>1</v>
      </c>
      <c r="AQ46" s="19">
        <v>36622005.390000001</v>
      </c>
      <c r="AR46" s="95">
        <v>1</v>
      </c>
      <c r="AS46" s="19">
        <v>35034721.519999996</v>
      </c>
      <c r="AT46" s="95">
        <v>1</v>
      </c>
      <c r="AU46" s="19">
        <v>33816167.229999997</v>
      </c>
      <c r="AV46" s="95">
        <v>1</v>
      </c>
      <c r="AW46" s="19">
        <v>32528515.470000003</v>
      </c>
      <c r="AX46" s="95">
        <v>1</v>
      </c>
      <c r="AY46" s="19">
        <v>35383307.57</v>
      </c>
      <c r="AZ46" s="95">
        <v>1</v>
      </c>
      <c r="BA46" s="19">
        <v>31095895.189999998</v>
      </c>
      <c r="BB46" s="95">
        <v>1</v>
      </c>
      <c r="BC46" s="19">
        <v>41132425.739999995</v>
      </c>
      <c r="BD46" s="95">
        <v>1</v>
      </c>
      <c r="BE46" s="19">
        <v>37570163.849999994</v>
      </c>
      <c r="BF46" s="95">
        <v>1</v>
      </c>
      <c r="BG46" s="19">
        <v>36517042.379999995</v>
      </c>
      <c r="BH46" s="95">
        <v>1</v>
      </c>
      <c r="BI46" s="19">
        <v>39518562.659999996</v>
      </c>
      <c r="BJ46" s="95">
        <v>1</v>
      </c>
      <c r="BK46" s="19">
        <v>32359310.16</v>
      </c>
      <c r="BL46" s="95">
        <v>1</v>
      </c>
      <c r="BM46" s="19">
        <v>35207632.57</v>
      </c>
      <c r="BN46" s="95">
        <v>1</v>
      </c>
      <c r="BO46" s="19">
        <v>33011521.529999997</v>
      </c>
      <c r="BP46" s="95">
        <v>1</v>
      </c>
      <c r="BQ46" s="19">
        <v>34338443.120000005</v>
      </c>
      <c r="BR46" s="95">
        <v>1</v>
      </c>
      <c r="BS46" s="19">
        <v>31839581.510000002</v>
      </c>
      <c r="BT46" s="95">
        <v>1</v>
      </c>
      <c r="BU46" s="19">
        <v>27711209.52</v>
      </c>
      <c r="BV46" s="95">
        <v>1</v>
      </c>
      <c r="BW46" s="19">
        <v>32930271.359999999</v>
      </c>
      <c r="BX46" s="95">
        <v>1</v>
      </c>
      <c r="BY46" s="19">
        <v>30790886.52</v>
      </c>
      <c r="BZ46" s="95">
        <v>1</v>
      </c>
      <c r="CA46" s="19">
        <v>37539359</v>
      </c>
      <c r="CB46" s="95">
        <v>1</v>
      </c>
      <c r="CC46" s="19">
        <v>28384581.600000001</v>
      </c>
      <c r="CD46" s="95">
        <v>1</v>
      </c>
      <c r="CE46" s="19">
        <v>30013607.43</v>
      </c>
      <c r="CF46" s="95">
        <v>1</v>
      </c>
      <c r="CG46" s="19">
        <v>31492806.559999995</v>
      </c>
      <c r="CH46" s="95">
        <v>1</v>
      </c>
      <c r="CI46" s="19">
        <v>29173921.23</v>
      </c>
      <c r="CJ46" s="95">
        <v>1</v>
      </c>
      <c r="CK46" s="19">
        <v>34777029.799999997</v>
      </c>
      <c r="CL46" s="95">
        <v>1</v>
      </c>
      <c r="CM46" s="19">
        <v>32421586.100000001</v>
      </c>
      <c r="CN46" s="95">
        <v>1</v>
      </c>
      <c r="CO46" s="19">
        <v>33914704.870000005</v>
      </c>
      <c r="CP46" s="95">
        <v>1</v>
      </c>
      <c r="CQ46" s="19">
        <v>30393581.829999998</v>
      </c>
      <c r="CR46" s="95">
        <v>1</v>
      </c>
      <c r="CS46" s="19">
        <v>28621486.030000001</v>
      </c>
      <c r="CT46" s="95">
        <v>1</v>
      </c>
      <c r="CU46" s="19">
        <v>35732141.989999995</v>
      </c>
      <c r="CV46" s="95">
        <v>1</v>
      </c>
      <c r="CW46" s="19">
        <v>33287995.100000001</v>
      </c>
      <c r="CX46" s="95">
        <v>1</v>
      </c>
      <c r="CY46" s="19">
        <v>32901659.420000006</v>
      </c>
      <c r="CZ46" s="95">
        <v>1</v>
      </c>
      <c r="DA46" s="19">
        <v>35748409.009999998</v>
      </c>
      <c r="DB46" s="95">
        <v>1</v>
      </c>
      <c r="DC46" s="19">
        <v>34920249.310000002</v>
      </c>
      <c r="DD46" s="95">
        <v>1</v>
      </c>
      <c r="DE46" s="19">
        <v>33203690.719999999</v>
      </c>
      <c r="DF46" s="95">
        <v>1</v>
      </c>
      <c r="DG46" s="19">
        <v>34130879.149999999</v>
      </c>
      <c r="DH46" s="95">
        <v>1</v>
      </c>
      <c r="DI46" s="19">
        <v>35403324.340000004</v>
      </c>
      <c r="DJ46" s="95">
        <v>1</v>
      </c>
      <c r="DK46" s="19">
        <v>32002536.850000001</v>
      </c>
      <c r="DL46" s="95">
        <v>1</v>
      </c>
      <c r="DM46" s="19">
        <v>33585837.739999995</v>
      </c>
      <c r="DN46" s="95">
        <v>1</v>
      </c>
      <c r="DO46" s="19">
        <v>28294757.689999998</v>
      </c>
      <c r="DP46" s="95">
        <v>1</v>
      </c>
      <c r="DQ46" s="19">
        <v>31800032.120000001</v>
      </c>
      <c r="DR46" s="95">
        <v>1</v>
      </c>
      <c r="DS46" s="19">
        <v>33231462.989999998</v>
      </c>
      <c r="DT46" s="95">
        <v>1</v>
      </c>
      <c r="DU46" s="19">
        <v>30886847.030000001</v>
      </c>
      <c r="DV46" s="95">
        <v>1</v>
      </c>
      <c r="DW46" s="19">
        <v>31784492.780000001</v>
      </c>
      <c r="DX46" s="95">
        <v>1</v>
      </c>
      <c r="DY46" s="19">
        <v>30141056.920000002</v>
      </c>
      <c r="DZ46" s="95">
        <v>1</v>
      </c>
      <c r="EA46" s="19">
        <v>30319634.760000002</v>
      </c>
      <c r="EB46" s="95">
        <v>1</v>
      </c>
      <c r="EC46" s="19">
        <v>28485993.760000002</v>
      </c>
      <c r="ED46" s="95">
        <v>1</v>
      </c>
      <c r="EE46" s="19">
        <v>31265103.079999998</v>
      </c>
      <c r="EF46" s="95">
        <v>1</v>
      </c>
      <c r="EG46" s="19">
        <v>30503378.399999999</v>
      </c>
      <c r="EH46" s="95">
        <v>1</v>
      </c>
      <c r="EI46" s="19">
        <v>29627052.77</v>
      </c>
      <c r="EJ46" s="95">
        <v>1</v>
      </c>
      <c r="EK46" s="19">
        <v>30200240.469999999</v>
      </c>
      <c r="EL46" s="95">
        <v>1</v>
      </c>
      <c r="EM46" s="19">
        <v>24412216.77</v>
      </c>
      <c r="EN46" s="95">
        <v>1</v>
      </c>
      <c r="EO46" s="19">
        <v>28247217.75</v>
      </c>
      <c r="EP46" s="95">
        <v>1</v>
      </c>
      <c r="EQ46" s="19">
        <v>29227770.489999998</v>
      </c>
      <c r="ER46" s="95">
        <v>1</v>
      </c>
      <c r="ES46" s="19">
        <f t="shared" si="3"/>
        <v>28964129.52</v>
      </c>
      <c r="ET46" s="95">
        <f>ES46/ES46</f>
        <v>1</v>
      </c>
      <c r="EU46" s="225">
        <f>IF( SUM($EQ46:ES46)&lt;0, "n/a", SUM($EQ46:ES46)/EU$74)</f>
        <v>29095950.504999999</v>
      </c>
      <c r="EV46" s="226">
        <f>EU46/EU46</f>
        <v>1</v>
      </c>
      <c r="EW46" s="22"/>
      <c r="EX46" s="97"/>
      <c r="EY46" s="43"/>
      <c r="EZ46" s="182"/>
    </row>
    <row r="47" spans="1:156" ht="24" customHeight="1" x14ac:dyDescent="0.3">
      <c r="A47" s="3"/>
      <c r="B47" s="14" t="s">
        <v>88</v>
      </c>
      <c r="C47" s="18">
        <v>7832910.5199999996</v>
      </c>
      <c r="D47" s="24"/>
      <c r="E47" s="18">
        <v>7588071.7800000003</v>
      </c>
      <c r="F47" s="24"/>
      <c r="G47" s="18">
        <v>8509975.2400000002</v>
      </c>
      <c r="H47" s="24"/>
      <c r="I47" s="18">
        <v>9111918</v>
      </c>
      <c r="J47" s="24"/>
      <c r="K47" s="18">
        <v>8625550.3900000006</v>
      </c>
      <c r="L47" s="24"/>
      <c r="M47" s="18">
        <v>9396916.75</v>
      </c>
      <c r="N47" s="24"/>
      <c r="O47" s="18">
        <v>9263949.0700000003</v>
      </c>
      <c r="P47" s="24"/>
      <c r="Q47" s="18">
        <v>8747212</v>
      </c>
      <c r="R47" s="24"/>
      <c r="S47" s="18">
        <v>8896340.3200000003</v>
      </c>
      <c r="T47" s="24"/>
      <c r="U47" s="18">
        <v>7527964.3899999997</v>
      </c>
      <c r="V47" s="24"/>
      <c r="W47" s="18">
        <v>7663221</v>
      </c>
      <c r="X47" s="24"/>
      <c r="Y47" s="18">
        <v>9232820.8000000007</v>
      </c>
      <c r="Z47" s="24"/>
      <c r="AA47" s="18">
        <v>6385362.4500000002</v>
      </c>
      <c r="AB47" s="24"/>
      <c r="AC47" s="18">
        <v>6997649</v>
      </c>
      <c r="AD47" s="24"/>
      <c r="AE47" s="18">
        <v>7086023</v>
      </c>
      <c r="AF47" s="24"/>
      <c r="AG47" s="18">
        <v>5532351.3300000001</v>
      </c>
      <c r="AH47" s="24"/>
      <c r="AI47" s="18">
        <v>6544400.5</v>
      </c>
      <c r="AJ47" s="24"/>
      <c r="AK47" s="18">
        <v>7350002</v>
      </c>
      <c r="AL47" s="24"/>
      <c r="AM47" s="18">
        <v>5658215</v>
      </c>
      <c r="AN47" s="24"/>
      <c r="AO47" s="18">
        <v>6785496</v>
      </c>
      <c r="AP47" s="24"/>
      <c r="AQ47" s="18">
        <v>7088801.5999999996</v>
      </c>
      <c r="AR47" s="24"/>
      <c r="AS47" s="18">
        <v>6144638.7999999998</v>
      </c>
      <c r="AT47" s="24"/>
      <c r="AU47" s="18">
        <v>7439410.8499999996</v>
      </c>
      <c r="AV47" s="24"/>
      <c r="AW47" s="18">
        <v>6717459</v>
      </c>
      <c r="AX47" s="24"/>
      <c r="AY47" s="18">
        <v>7500158.75</v>
      </c>
      <c r="AZ47" s="24"/>
      <c r="BA47" s="18">
        <v>7153274.8399999999</v>
      </c>
      <c r="BB47" s="24"/>
      <c r="BC47" s="18">
        <v>8892222</v>
      </c>
      <c r="BD47" s="24"/>
      <c r="BE47" s="18">
        <v>6099104.3499999996</v>
      </c>
      <c r="BF47" s="24"/>
      <c r="BG47" s="18">
        <v>6218766</v>
      </c>
      <c r="BH47" s="24"/>
      <c r="BI47" s="18">
        <v>8466262.3000000007</v>
      </c>
      <c r="BJ47" s="24"/>
      <c r="BK47" s="18">
        <v>6657869.7999999998</v>
      </c>
      <c r="BL47" s="24"/>
      <c r="BM47" s="18">
        <v>8653180.1799999997</v>
      </c>
      <c r="BN47" s="24"/>
      <c r="BO47" s="18">
        <v>8680371</v>
      </c>
      <c r="BP47" s="24"/>
      <c r="BQ47" s="18">
        <v>8971073</v>
      </c>
      <c r="BR47" s="24"/>
      <c r="BS47" s="18">
        <v>6506508</v>
      </c>
      <c r="BT47" s="24"/>
      <c r="BU47" s="18">
        <v>4957674</v>
      </c>
      <c r="BV47" s="24"/>
      <c r="BW47" s="18">
        <v>7866132</v>
      </c>
      <c r="BX47" s="24"/>
      <c r="BY47" s="18">
        <v>6435995</v>
      </c>
      <c r="BZ47" s="24"/>
      <c r="CA47" s="18">
        <v>8627592.1999999993</v>
      </c>
      <c r="CB47" s="24"/>
      <c r="CC47" s="18">
        <v>5864789</v>
      </c>
      <c r="CD47" s="24"/>
      <c r="CE47" s="18">
        <v>6972094</v>
      </c>
      <c r="CF47" s="24"/>
      <c r="CG47" s="18">
        <v>6665384</v>
      </c>
      <c r="CH47" s="24"/>
      <c r="CI47" s="18">
        <v>6679508</v>
      </c>
      <c r="CJ47" s="24"/>
      <c r="CK47" s="18">
        <v>6796354</v>
      </c>
      <c r="CL47" s="24"/>
      <c r="CM47" s="18">
        <v>6685468</v>
      </c>
      <c r="CN47" s="24"/>
      <c r="CO47" s="18">
        <v>5791767</v>
      </c>
      <c r="CP47" s="24"/>
      <c r="CQ47" s="18">
        <v>5963146</v>
      </c>
      <c r="CR47" s="24"/>
      <c r="CS47" s="18">
        <v>5012862.87</v>
      </c>
      <c r="CT47" s="24"/>
      <c r="CU47" s="18">
        <v>6968849</v>
      </c>
      <c r="CV47" s="24"/>
      <c r="CW47" s="18">
        <v>6695674</v>
      </c>
      <c r="CX47" s="24"/>
      <c r="CY47" s="18">
        <v>6870411</v>
      </c>
      <c r="CZ47" s="24"/>
      <c r="DA47" s="18">
        <v>7698340</v>
      </c>
      <c r="DB47" s="24"/>
      <c r="DC47" s="18">
        <v>8058807</v>
      </c>
      <c r="DD47" s="24"/>
      <c r="DE47" s="18">
        <v>8767072</v>
      </c>
      <c r="DF47" s="24"/>
      <c r="DG47" s="18">
        <v>9191119.9800000004</v>
      </c>
      <c r="DH47" s="24"/>
      <c r="DI47" s="18">
        <v>8756298</v>
      </c>
      <c r="DJ47" s="24"/>
      <c r="DK47" s="18">
        <v>7976026</v>
      </c>
      <c r="DL47" s="24"/>
      <c r="DM47" s="18">
        <v>8978280</v>
      </c>
      <c r="DN47" s="24"/>
      <c r="DO47" s="18">
        <v>5961369</v>
      </c>
      <c r="DP47" s="24"/>
      <c r="DQ47" s="18">
        <v>7850812.2400000002</v>
      </c>
      <c r="DR47" s="24"/>
      <c r="DS47" s="18">
        <v>7529907</v>
      </c>
      <c r="DT47" s="24"/>
      <c r="DU47" s="18">
        <v>6891852</v>
      </c>
      <c r="DV47" s="24"/>
      <c r="DW47" s="18">
        <v>8092663</v>
      </c>
      <c r="DX47" s="24"/>
      <c r="DY47" s="18">
        <v>8033535</v>
      </c>
      <c r="DZ47" s="24"/>
      <c r="EA47" s="18">
        <v>7024998</v>
      </c>
      <c r="EB47" s="24"/>
      <c r="EC47" s="18">
        <v>7501596</v>
      </c>
      <c r="ED47" s="24"/>
      <c r="EE47" s="18">
        <v>8135602</v>
      </c>
      <c r="EF47" s="24"/>
      <c r="EG47" s="18">
        <v>7134075</v>
      </c>
      <c r="EH47" s="24"/>
      <c r="EI47" s="18">
        <v>8466701</v>
      </c>
      <c r="EJ47" s="24"/>
      <c r="EK47" s="18">
        <v>8377164.4900000002</v>
      </c>
      <c r="EL47" s="24"/>
      <c r="EM47" s="18">
        <v>5793318</v>
      </c>
      <c r="EN47" s="24"/>
      <c r="EO47" s="18">
        <v>7913910</v>
      </c>
      <c r="EP47" s="24"/>
      <c r="EQ47" s="18">
        <v>9401774</v>
      </c>
      <c r="ER47" s="24"/>
      <c r="ES47" s="18">
        <f t="shared" si="3"/>
        <v>6618666</v>
      </c>
      <c r="ET47" s="24"/>
      <c r="EU47" s="221">
        <f>IF( SUM($EQ47:ES47)&lt;0, "n/a", SUM($EQ47:ES47)/EU$74)</f>
        <v>8010220</v>
      </c>
      <c r="EV47" s="227"/>
      <c r="EW47" s="22"/>
      <c r="EX47" s="97"/>
      <c r="EY47" s="43"/>
      <c r="EZ47" s="182"/>
    </row>
    <row r="48" spans="1:156" ht="24" customHeight="1" x14ac:dyDescent="0.3">
      <c r="A48" s="3"/>
      <c r="B48" s="14" t="s">
        <v>71</v>
      </c>
      <c r="C48" s="18">
        <v>1246976</v>
      </c>
      <c r="D48" s="24"/>
      <c r="E48" s="18">
        <v>1006500</v>
      </c>
      <c r="F48" s="24"/>
      <c r="G48" s="18">
        <v>1475075</v>
      </c>
      <c r="H48" s="24"/>
      <c r="I48" s="18">
        <v>954493</v>
      </c>
      <c r="J48" s="24"/>
      <c r="K48" s="18">
        <v>848171</v>
      </c>
      <c r="L48" s="24"/>
      <c r="M48" s="18">
        <v>1156756</v>
      </c>
      <c r="N48" s="24"/>
      <c r="O48" s="18">
        <v>1436694</v>
      </c>
      <c r="P48" s="24"/>
      <c r="Q48" s="18">
        <v>1019684</v>
      </c>
      <c r="R48" s="24"/>
      <c r="S48" s="18">
        <v>535459.52</v>
      </c>
      <c r="T48" s="24"/>
      <c r="U48" s="18">
        <v>452645.96</v>
      </c>
      <c r="V48" s="24"/>
      <c r="W48" s="18">
        <v>349354</v>
      </c>
      <c r="X48" s="24"/>
      <c r="Y48" s="18">
        <v>521897</v>
      </c>
      <c r="Z48" s="24"/>
      <c r="AA48" s="18">
        <v>787155</v>
      </c>
      <c r="AB48" s="24"/>
      <c r="AC48" s="18">
        <v>656229</v>
      </c>
      <c r="AD48" s="24"/>
      <c r="AE48" s="18">
        <v>346202</v>
      </c>
      <c r="AF48" s="24"/>
      <c r="AG48" s="18">
        <v>934446</v>
      </c>
      <c r="AH48" s="24"/>
      <c r="AI48" s="18">
        <v>1263244</v>
      </c>
      <c r="AJ48" s="24"/>
      <c r="AK48" s="18">
        <v>1099897</v>
      </c>
      <c r="AL48" s="24"/>
      <c r="AM48" s="18">
        <v>573088</v>
      </c>
      <c r="AN48" s="24"/>
      <c r="AO48" s="18">
        <v>221458</v>
      </c>
      <c r="AP48" s="24"/>
      <c r="AQ48" s="18">
        <v>381600</v>
      </c>
      <c r="AR48" s="24"/>
      <c r="AS48" s="18">
        <v>230857</v>
      </c>
      <c r="AT48" s="24"/>
      <c r="AU48" s="18">
        <v>581177</v>
      </c>
      <c r="AV48" s="24"/>
      <c r="AW48" s="18">
        <v>645572</v>
      </c>
      <c r="AX48" s="24"/>
      <c r="AY48" s="18">
        <v>899557</v>
      </c>
      <c r="AZ48" s="24"/>
      <c r="BA48" s="18">
        <v>797185</v>
      </c>
      <c r="BB48" s="24"/>
      <c r="BC48" s="18">
        <v>1145458</v>
      </c>
      <c r="BD48" s="24"/>
      <c r="BE48" s="18">
        <v>884424</v>
      </c>
      <c r="BF48" s="24"/>
      <c r="BG48" s="18">
        <v>999199</v>
      </c>
      <c r="BH48" s="24"/>
      <c r="BI48" s="18">
        <v>1131623</v>
      </c>
      <c r="BJ48" s="24"/>
      <c r="BK48" s="18">
        <v>1165090</v>
      </c>
      <c r="BL48" s="24"/>
      <c r="BM48" s="18">
        <v>1331563</v>
      </c>
      <c r="BN48" s="24"/>
      <c r="BO48" s="18">
        <v>953499</v>
      </c>
      <c r="BP48" s="24"/>
      <c r="BQ48" s="18">
        <v>1406257</v>
      </c>
      <c r="BR48" s="24"/>
      <c r="BS48" s="18">
        <v>1022813</v>
      </c>
      <c r="BT48" s="24"/>
      <c r="BU48" s="18">
        <v>1234312</v>
      </c>
      <c r="BV48" s="24"/>
      <c r="BW48" s="18">
        <v>1041298</v>
      </c>
      <c r="BX48" s="24"/>
      <c r="BY48" s="18">
        <v>1130394</v>
      </c>
      <c r="BZ48" s="24"/>
      <c r="CA48" s="18">
        <v>1358598</v>
      </c>
      <c r="CB48" s="24"/>
      <c r="CC48" s="18">
        <v>1062974</v>
      </c>
      <c r="CD48" s="24"/>
      <c r="CE48" s="18">
        <v>789501</v>
      </c>
      <c r="CF48" s="24"/>
      <c r="CG48" s="18">
        <v>1424713</v>
      </c>
      <c r="CH48" s="24"/>
      <c r="CI48" s="18">
        <v>853728</v>
      </c>
      <c r="CJ48" s="24"/>
      <c r="CK48" s="18">
        <v>1143529</v>
      </c>
      <c r="CL48" s="24"/>
      <c r="CM48" s="18">
        <v>931396</v>
      </c>
      <c r="CN48" s="24"/>
      <c r="CO48" s="18">
        <v>1304256</v>
      </c>
      <c r="CP48" s="24"/>
      <c r="CQ48" s="18">
        <v>1159200</v>
      </c>
      <c r="CR48" s="24"/>
      <c r="CS48" s="18">
        <v>770883</v>
      </c>
      <c r="CT48" s="24"/>
      <c r="CU48" s="18">
        <v>1148181</v>
      </c>
      <c r="CV48" s="24"/>
      <c r="CW48" s="18">
        <v>1190628</v>
      </c>
      <c r="CX48" s="24"/>
      <c r="CY48" s="18">
        <v>922059</v>
      </c>
      <c r="CZ48" s="24"/>
      <c r="DA48" s="18">
        <v>1384194</v>
      </c>
      <c r="DB48" s="24"/>
      <c r="DC48" s="18">
        <v>1772736</v>
      </c>
      <c r="DD48" s="24"/>
      <c r="DE48" s="18">
        <v>1086206</v>
      </c>
      <c r="DF48" s="24"/>
      <c r="DG48" s="18">
        <v>1370164</v>
      </c>
      <c r="DH48" s="24"/>
      <c r="DI48" s="18">
        <v>1366852</v>
      </c>
      <c r="DJ48" s="24"/>
      <c r="DK48" s="18">
        <v>951201</v>
      </c>
      <c r="DL48" s="24"/>
      <c r="DM48" s="18">
        <v>1323887</v>
      </c>
      <c r="DN48" s="24"/>
      <c r="DO48" s="18">
        <v>841083</v>
      </c>
      <c r="DP48" s="24"/>
      <c r="DQ48" s="18">
        <v>1219141</v>
      </c>
      <c r="DR48" s="24"/>
      <c r="DS48" s="18">
        <v>1256923</v>
      </c>
      <c r="DT48" s="24"/>
      <c r="DU48" s="18">
        <v>1214948</v>
      </c>
      <c r="DV48" s="24"/>
      <c r="DW48" s="18">
        <v>1231548</v>
      </c>
      <c r="DX48" s="24"/>
      <c r="DY48" s="18">
        <v>1331002</v>
      </c>
      <c r="DZ48" s="24"/>
      <c r="EA48" s="18">
        <v>1295714</v>
      </c>
      <c r="EB48" s="24"/>
      <c r="EC48" s="18">
        <v>1573758</v>
      </c>
      <c r="ED48" s="24"/>
      <c r="EE48" s="18">
        <v>1453376</v>
      </c>
      <c r="EF48" s="24"/>
      <c r="EG48" s="18">
        <v>892725</v>
      </c>
      <c r="EH48" s="24"/>
      <c r="EI48" s="18">
        <v>1242189</v>
      </c>
      <c r="EJ48" s="24"/>
      <c r="EK48" s="18">
        <v>1247196</v>
      </c>
      <c r="EL48" s="24"/>
      <c r="EM48" s="18">
        <v>694732</v>
      </c>
      <c r="EN48" s="24"/>
      <c r="EO48" s="18">
        <v>830698</v>
      </c>
      <c r="EP48" s="24"/>
      <c r="EQ48" s="18">
        <v>839845</v>
      </c>
      <c r="ER48" s="24"/>
      <c r="ES48" s="18">
        <f t="shared" si="3"/>
        <v>667697</v>
      </c>
      <c r="ET48" s="24"/>
      <c r="EU48" s="221">
        <f>IF( SUM($EQ48:ES48)&lt;0, "n/a", SUM($EQ48:ES48)/EU$74)</f>
        <v>753771</v>
      </c>
      <c r="EV48" s="224"/>
      <c r="EW48" s="22"/>
      <c r="EX48" s="97"/>
      <c r="EY48" s="43"/>
      <c r="EZ48" s="182"/>
    </row>
    <row r="49" spans="1:156" ht="24" customHeight="1" thickBot="1" x14ac:dyDescent="0.35">
      <c r="A49" s="7"/>
      <c r="B49" s="16" t="s">
        <v>84</v>
      </c>
      <c r="C49" s="19">
        <v>48257463.599999994</v>
      </c>
      <c r="D49" s="25"/>
      <c r="E49" s="19">
        <v>43614723.890000001</v>
      </c>
      <c r="F49" s="25"/>
      <c r="G49" s="19">
        <v>48023767.93</v>
      </c>
      <c r="H49" s="25"/>
      <c r="I49" s="19">
        <v>45470373.219999999</v>
      </c>
      <c r="J49" s="25"/>
      <c r="K49" s="19">
        <v>41631501.910000004</v>
      </c>
      <c r="L49" s="25"/>
      <c r="M49" s="19">
        <v>44262071.259999998</v>
      </c>
      <c r="N49" s="25"/>
      <c r="O49" s="19">
        <v>50589010.619999997</v>
      </c>
      <c r="P49" s="25"/>
      <c r="Q49" s="19">
        <v>46860747.170000002</v>
      </c>
      <c r="R49" s="25"/>
      <c r="S49" s="19">
        <v>48177825.190000005</v>
      </c>
      <c r="T49" s="25"/>
      <c r="U49" s="19">
        <v>44734739.809999995</v>
      </c>
      <c r="V49" s="25"/>
      <c r="W49" s="19">
        <v>38805541.490000002</v>
      </c>
      <c r="X49" s="25"/>
      <c r="Y49" s="19">
        <v>40711666.039999999</v>
      </c>
      <c r="Z49" s="25"/>
      <c r="AA49" s="19">
        <v>44827977.970000006</v>
      </c>
      <c r="AB49" s="25"/>
      <c r="AC49" s="19">
        <v>38024345.140000001</v>
      </c>
      <c r="AD49" s="25"/>
      <c r="AE49" s="19">
        <v>42842387.390000001</v>
      </c>
      <c r="AF49" s="25"/>
      <c r="AG49" s="19">
        <v>43630611.590000004</v>
      </c>
      <c r="AH49" s="25"/>
      <c r="AI49" s="19">
        <v>41254711.539999999</v>
      </c>
      <c r="AJ49" s="25"/>
      <c r="AK49" s="19">
        <v>44412596.129999995</v>
      </c>
      <c r="AL49" s="25"/>
      <c r="AM49" s="19">
        <v>42674935.359999999</v>
      </c>
      <c r="AN49" s="25"/>
      <c r="AO49" s="19">
        <v>42373584.739999995</v>
      </c>
      <c r="AP49" s="25"/>
      <c r="AQ49" s="19">
        <v>44092406.990000002</v>
      </c>
      <c r="AR49" s="25"/>
      <c r="AS49" s="19">
        <v>41410217.319999993</v>
      </c>
      <c r="AT49" s="25"/>
      <c r="AU49" s="19">
        <v>41836755.079999998</v>
      </c>
      <c r="AV49" s="25"/>
      <c r="AW49" s="19">
        <v>39891546.469999999</v>
      </c>
      <c r="AX49" s="25"/>
      <c r="AY49" s="19">
        <v>43783023.32</v>
      </c>
      <c r="AZ49" s="25"/>
      <c r="BA49" s="19">
        <v>39046355.030000001</v>
      </c>
      <c r="BB49" s="25"/>
      <c r="BC49" s="19">
        <v>51170105.739999995</v>
      </c>
      <c r="BD49" s="25"/>
      <c r="BE49" s="19">
        <v>44553692.199999996</v>
      </c>
      <c r="BF49" s="25"/>
      <c r="BG49" s="19">
        <v>43735007.379999995</v>
      </c>
      <c r="BH49" s="25"/>
      <c r="BI49" s="19">
        <v>49116447.959999993</v>
      </c>
      <c r="BJ49" s="25"/>
      <c r="BK49" s="19">
        <v>40182269.960000001</v>
      </c>
      <c r="BL49" s="25"/>
      <c r="BM49" s="19">
        <v>45192375.75</v>
      </c>
      <c r="BN49" s="25"/>
      <c r="BO49" s="19">
        <v>42645391.530000001</v>
      </c>
      <c r="BP49" s="25"/>
      <c r="BQ49" s="19">
        <v>44715773.120000005</v>
      </c>
      <c r="BR49" s="25"/>
      <c r="BS49" s="19">
        <v>39368902.510000005</v>
      </c>
      <c r="BT49" s="25"/>
      <c r="BU49" s="19">
        <v>33903195.519999996</v>
      </c>
      <c r="BV49" s="25"/>
      <c r="BW49" s="19">
        <v>41837701.359999999</v>
      </c>
      <c r="BX49" s="25"/>
      <c r="BY49" s="19">
        <v>38357275.519999996</v>
      </c>
      <c r="BZ49" s="25"/>
      <c r="CA49" s="19">
        <v>47525549.200000003</v>
      </c>
      <c r="CB49" s="25"/>
      <c r="CC49" s="19">
        <v>35312344.600000001</v>
      </c>
      <c r="CD49" s="25"/>
      <c r="CE49" s="19">
        <v>37775202.43</v>
      </c>
      <c r="CF49" s="25"/>
      <c r="CG49" s="19">
        <v>39582903.559999995</v>
      </c>
      <c r="CH49" s="25"/>
      <c r="CI49" s="19">
        <v>36707157.230000004</v>
      </c>
      <c r="CJ49" s="25"/>
      <c r="CK49" s="19">
        <v>42716912.799999997</v>
      </c>
      <c r="CL49" s="25"/>
      <c r="CM49" s="19">
        <v>40038450.100000001</v>
      </c>
      <c r="CN49" s="25"/>
      <c r="CO49" s="19">
        <v>41010727.870000005</v>
      </c>
      <c r="CP49" s="25"/>
      <c r="CQ49" s="19">
        <v>37515927.829999998</v>
      </c>
      <c r="CR49" s="25"/>
      <c r="CS49" s="19">
        <v>34405231.899999999</v>
      </c>
      <c r="CT49" s="25"/>
      <c r="CU49" s="19">
        <v>43849171.989999995</v>
      </c>
      <c r="CV49" s="25"/>
      <c r="CW49" s="19">
        <v>41174297.100000001</v>
      </c>
      <c r="CX49" s="25"/>
      <c r="CY49" s="19">
        <v>40694129.420000002</v>
      </c>
      <c r="CZ49" s="25"/>
      <c r="DA49" s="19">
        <v>44830943.009999998</v>
      </c>
      <c r="DB49" s="25"/>
      <c r="DC49" s="19">
        <v>44751792.310000002</v>
      </c>
      <c r="DD49" s="25"/>
      <c r="DE49" s="19">
        <v>43056968.719999999</v>
      </c>
      <c r="DF49" s="25"/>
      <c r="DG49" s="19">
        <v>44692163.129999995</v>
      </c>
      <c r="DH49" s="25"/>
      <c r="DI49" s="19">
        <v>45526474.340000004</v>
      </c>
      <c r="DJ49" s="25"/>
      <c r="DK49" s="19">
        <v>40929763.850000001</v>
      </c>
      <c r="DL49" s="25"/>
      <c r="DM49" s="19">
        <v>43888004.739999995</v>
      </c>
      <c r="DN49" s="25"/>
      <c r="DO49" s="19">
        <v>35097209.689999998</v>
      </c>
      <c r="DP49" s="25"/>
      <c r="DQ49" s="19">
        <v>40869985.359999999</v>
      </c>
      <c r="DR49" s="25"/>
      <c r="DS49" s="19">
        <v>42018292.989999995</v>
      </c>
      <c r="DT49" s="25"/>
      <c r="DU49" s="19">
        <v>38993647.030000001</v>
      </c>
      <c r="DV49" s="25"/>
      <c r="DW49" s="19">
        <v>41108703.780000001</v>
      </c>
      <c r="DX49" s="25"/>
      <c r="DY49" s="19">
        <v>39505593.920000002</v>
      </c>
      <c r="DZ49" s="25"/>
      <c r="EA49" s="19">
        <v>38640346.760000005</v>
      </c>
      <c r="EB49" s="25"/>
      <c r="EC49" s="19">
        <v>37561347.760000005</v>
      </c>
      <c r="ED49" s="25"/>
      <c r="EE49" s="19">
        <v>40854081.079999998</v>
      </c>
      <c r="EF49" s="25"/>
      <c r="EG49" s="19">
        <v>38530178.399999999</v>
      </c>
      <c r="EH49" s="25"/>
      <c r="EI49" s="19">
        <v>39335942.769999996</v>
      </c>
      <c r="EJ49" s="25"/>
      <c r="EK49" s="19">
        <v>39824600.960000001</v>
      </c>
      <c r="EL49" s="25"/>
      <c r="EM49" s="19">
        <v>30900266.77</v>
      </c>
      <c r="EN49" s="25"/>
      <c r="EO49" s="19">
        <v>36991825.75</v>
      </c>
      <c r="EP49" s="25"/>
      <c r="EQ49" s="19">
        <v>39469389.489999995</v>
      </c>
      <c r="ER49" s="25"/>
      <c r="ES49" s="19">
        <f>SUM(ES46:ES48)</f>
        <v>36250492.519999996</v>
      </c>
      <c r="ET49" s="25"/>
      <c r="EU49" s="225">
        <f>IF( SUM($EQ49:ES49)&lt;0, "n/a", SUM($EQ49:ES49)/EU$74)</f>
        <v>37859941.004999995</v>
      </c>
      <c r="EV49" s="228"/>
      <c r="EW49" s="61"/>
      <c r="EX49" s="40"/>
      <c r="EY49" s="41">
        <f>EY16+EY27+EY38</f>
        <v>36250492.519999996</v>
      </c>
      <c r="EZ49" s="188" t="str">
        <f>IF(ES49-EY49=0,"OK","CHECK")</f>
        <v>OK</v>
      </c>
    </row>
    <row r="50" spans="1:156" ht="21.65" customHeight="1" x14ac:dyDescent="0.3">
      <c r="A50" s="32" t="s">
        <v>90</v>
      </c>
      <c r="B50" s="165" t="s">
        <v>72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221">
        <f>IF( SUM($EQ50:ES50)&lt;0, "n/a", SUM($EQ50:ES50)/EU$74)</f>
        <v>0</v>
      </c>
      <c r="EV50" s="222" t="e">
        <f>EU50/EU57</f>
        <v>#DIV/0!</v>
      </c>
      <c r="EW50" s="33"/>
      <c r="EX50" s="97" t="s">
        <v>106</v>
      </c>
      <c r="EY50" s="189">
        <f>EY49+WP!EY49+'IBS '!EY71</f>
        <v>81780652.049999997</v>
      </c>
      <c r="EZ50" s="191"/>
    </row>
    <row r="51" spans="1:156" ht="14.15" customHeight="1" x14ac:dyDescent="0.3">
      <c r="A51" s="13"/>
      <c r="B51" s="165" t="s">
        <v>93</v>
      </c>
      <c r="EU51" s="221">
        <f>IF( SUM($EQ51:ES51)&lt;0, "n/a", SUM($EQ51:ES51)/EU$74)</f>
        <v>0</v>
      </c>
      <c r="EV51" s="223" t="e">
        <f>EU51/EU57</f>
        <v>#DIV/0!</v>
      </c>
      <c r="EX51" s="97"/>
      <c r="EY51" s="43"/>
      <c r="EZ51" s="182"/>
    </row>
    <row r="52" spans="1:156" ht="14.15" customHeight="1" x14ac:dyDescent="0.3">
      <c r="A52" s="13"/>
      <c r="B52" s="165" t="s">
        <v>100</v>
      </c>
      <c r="EU52" s="221">
        <f>IF( SUM($EQ52:ES52)&lt;0, "n/a", SUM($EQ52:ES52)/EU$74)</f>
        <v>0</v>
      </c>
      <c r="EV52" s="224" t="e">
        <f>EU52/EU57</f>
        <v>#DIV/0!</v>
      </c>
      <c r="EX52" s="97"/>
      <c r="EY52" s="189">
        <f>+ES49+WP!ES49+'IBS '!ES71</f>
        <v>81780652.049999997</v>
      </c>
      <c r="EZ52" s="182"/>
    </row>
    <row r="53" spans="1:156" ht="13.3" thickBot="1" x14ac:dyDescent="0.35">
      <c r="EU53" s="221">
        <f>IF( SUM($EQ53:ES53)&lt;0, "n/a", SUM($EQ53:ES53)/EU$74)</f>
        <v>0</v>
      </c>
      <c r="EV53" s="224" t="e">
        <f>EU53/EU57</f>
        <v>#DIV/0!</v>
      </c>
      <c r="EX53" s="40"/>
      <c r="EY53" s="190">
        <f>EY50-EY52</f>
        <v>0</v>
      </c>
      <c r="EZ53" s="188"/>
    </row>
    <row r="54" spans="1:156" x14ac:dyDescent="0.3">
      <c r="EU54" s="221">
        <f>IF( SUM($EQ54:ES54)&lt;0, "n/a", SUM($EQ54:ES54)/EU$74)</f>
        <v>0</v>
      </c>
      <c r="EV54" s="224" t="e">
        <f>EU54/EU57</f>
        <v>#DIV/0!</v>
      </c>
    </row>
    <row r="55" spans="1:156" x14ac:dyDescent="0.3">
      <c r="EU55" s="221">
        <f>IF( SUM($EQ55:ES55)&lt;0, "n/a", SUM($EQ55:ES55)/EU$74)</f>
        <v>0</v>
      </c>
      <c r="EV55" s="224" t="e">
        <f>EU55/EU57</f>
        <v>#DIV/0!</v>
      </c>
    </row>
    <row r="56" spans="1:156" x14ac:dyDescent="0.3">
      <c r="EU56" s="221">
        <f>IF( SUM($EQ56:ES56)&lt;0, "n/a", SUM($EQ56:ES56)/EU$74)</f>
        <v>0</v>
      </c>
      <c r="EV56" s="224" t="e">
        <f>EU56/EU57</f>
        <v>#DIV/0!</v>
      </c>
      <c r="EY56" s="39"/>
    </row>
    <row r="57" spans="1:156" ht="13.3" thickBot="1" x14ac:dyDescent="0.35">
      <c r="EU57" s="225">
        <f>IF( SUM($EQ57:ES57)&lt;0, "n/a", SUM($EQ57:ES57)/EU$74)</f>
        <v>0</v>
      </c>
      <c r="EV57" s="226" t="e">
        <f>EU57/EU57</f>
        <v>#DIV/0!</v>
      </c>
      <c r="EY57" s="39"/>
    </row>
    <row r="58" spans="1:156" x14ac:dyDescent="0.3">
      <c r="EU58" s="221">
        <f>IF( SUM($EQ58:ES58)&lt;0, "n/a", SUM($EQ58:ES58)/EU$74)</f>
        <v>0</v>
      </c>
      <c r="EV58" s="227"/>
    </row>
    <row r="59" spans="1:156" x14ac:dyDescent="0.3">
      <c r="EU59" s="221">
        <f>IF( SUM($EQ59:ES59)&lt;0, "n/a", SUM($EQ59:ES59)/EU$74)</f>
        <v>0</v>
      </c>
      <c r="EV59" s="224"/>
    </row>
    <row r="60" spans="1:156" ht="13.3" thickBot="1" x14ac:dyDescent="0.35">
      <c r="EU60" s="225">
        <f>IF( SUM($EQ60:ES60)&lt;0, "n/a", SUM($EQ60:ES60)/EU$74)</f>
        <v>0</v>
      </c>
      <c r="EV60" s="228"/>
    </row>
    <row r="61" spans="1:156" x14ac:dyDescent="0.3">
      <c r="EU61" s="221">
        <f>IF( SUM($EQ61:ES61)&lt;0, "n/a", SUM($EQ61:ES61)/EU$74)</f>
        <v>0</v>
      </c>
      <c r="EV61" s="222" t="e">
        <f>EU61/EU68</f>
        <v>#DIV/0!</v>
      </c>
    </row>
    <row r="62" spans="1:156" x14ac:dyDescent="0.3">
      <c r="EU62" s="221">
        <f>IF( SUM($EQ62:ES62)&lt;0, "n/a", SUM($EQ62:ES62)/EU$74)</f>
        <v>0</v>
      </c>
      <c r="EV62" s="223" t="e">
        <f>EU62/EU68</f>
        <v>#DIV/0!</v>
      </c>
    </row>
    <row r="63" spans="1:156" x14ac:dyDescent="0.3">
      <c r="EU63" s="221">
        <f>IF( SUM($EQ63:ES63)&lt;0, "n/a", SUM($EQ63:ES63)/EU$74)</f>
        <v>0</v>
      </c>
      <c r="EV63" s="224" t="e">
        <f>EU63/EU68</f>
        <v>#DIV/0!</v>
      </c>
    </row>
    <row r="64" spans="1:156" x14ac:dyDescent="0.3">
      <c r="EU64" s="221">
        <f>IF( SUM($EQ64:ES64)&lt;0, "n/a", SUM($EQ64:ES64)/EU$74)</f>
        <v>0</v>
      </c>
      <c r="EV64" s="224" t="e">
        <f>EU64/EU68</f>
        <v>#DIV/0!</v>
      </c>
    </row>
    <row r="65" spans="151:152" x14ac:dyDescent="0.3">
      <c r="EU65" s="221">
        <f>IF( SUM($EQ65:ES65)&lt;0, "n/a", SUM($EQ65:ES65)/EU$74)</f>
        <v>0</v>
      </c>
      <c r="EV65" s="224" t="e">
        <f>EU65/EU68</f>
        <v>#DIV/0!</v>
      </c>
    </row>
    <row r="66" spans="151:152" x14ac:dyDescent="0.3">
      <c r="EU66" s="221">
        <f>IF( SUM($EQ66:ES66)&lt;0, "n/a", SUM($EQ66:ES66)/EU$74)</f>
        <v>0</v>
      </c>
      <c r="EV66" s="224" t="e">
        <f>EU66/EU68</f>
        <v>#DIV/0!</v>
      </c>
    </row>
    <row r="67" spans="151:152" x14ac:dyDescent="0.3">
      <c r="EU67" s="221">
        <f>IF( SUM($EQ67:ES67)&lt;0, "n/a", SUM($EQ67:ES67)/EU$74)</f>
        <v>0</v>
      </c>
      <c r="EV67" s="224" t="e">
        <f>EU67/EU68</f>
        <v>#DIV/0!</v>
      </c>
    </row>
    <row r="68" spans="151:152" ht="13.3" thickBot="1" x14ac:dyDescent="0.35">
      <c r="EU68" s="225">
        <f>IF( SUM($EQ68:ES68)&lt;0, "n/a", SUM($EQ68:ES68)/EU$74)</f>
        <v>0</v>
      </c>
      <c r="EV68" s="226" t="e">
        <f>EU68/EU68</f>
        <v>#DIV/0!</v>
      </c>
    </row>
    <row r="69" spans="151:152" x14ac:dyDescent="0.3">
      <c r="EU69" s="221">
        <f>IF( SUM($EQ69:ES69)&lt;0, "n/a", SUM($EQ69:ES69)/EU$74)</f>
        <v>0</v>
      </c>
      <c r="EV69" s="227"/>
    </row>
    <row r="70" spans="151:152" x14ac:dyDescent="0.3">
      <c r="EU70" s="221">
        <f>IF( SUM($EQ70:ES70)&lt;0, "n/a", SUM($EQ70:ES70)/EU$74)</f>
        <v>0</v>
      </c>
      <c r="EV70" s="224"/>
    </row>
    <row r="71" spans="151:152" ht="13.3" thickBot="1" x14ac:dyDescent="0.35">
      <c r="EU71" s="225">
        <f>IF( SUM($EQ71:ES71)&lt;0, "n/a", SUM($EQ71:ES71)/EU$74)</f>
        <v>0</v>
      </c>
      <c r="EV71" s="228"/>
    </row>
    <row r="72" spans="151:152" ht="13.3" thickBot="1" x14ac:dyDescent="0.4">
      <c r="EU72" s="229"/>
      <c r="EV72" s="230"/>
    </row>
    <row r="73" spans="151:152" x14ac:dyDescent="0.3">
      <c r="EU73" s="231" t="s">
        <v>246</v>
      </c>
      <c r="EV73" s="232"/>
    </row>
    <row r="74" spans="151:152" ht="18" thickBot="1" x14ac:dyDescent="0.35">
      <c r="EU74" s="233">
        <v>2</v>
      </c>
      <c r="EV74" s="232"/>
    </row>
  </sheetData>
  <mergeCells count="1">
    <mergeCell ref="A1:EV1"/>
  </mergeCells>
  <conditionalFormatting sqref="EU72:EV74">
    <cfRule type="containsErrors" dxfId="27" priority="55" stopIfTrue="1">
      <formula>ISERROR(EU72)</formula>
    </cfRule>
    <cfRule type="containsErrors" priority="56" stopIfTrue="1">
      <formula>ISERROR(EU72)</formula>
    </cfRule>
  </conditionalFormatting>
  <conditionalFormatting sqref="EU72:EV74">
    <cfRule type="containsErrors" dxfId="26" priority="53" stopIfTrue="1">
      <formula>ISERROR(EU72)</formula>
    </cfRule>
    <cfRule type="containsErrors" priority="54" stopIfTrue="1">
      <formula>ISERROR(EU72)</formula>
    </cfRule>
  </conditionalFormatting>
  <conditionalFormatting sqref="EU4">
    <cfRule type="containsErrors" dxfId="25" priority="51" stopIfTrue="1">
      <formula>ISERROR(EU4)</formula>
    </cfRule>
    <cfRule type="containsErrors" priority="52" stopIfTrue="1">
      <formula>ISERROR(EU4)</formula>
    </cfRule>
  </conditionalFormatting>
  <conditionalFormatting sqref="EU4:EV5 EU6:EU16">
    <cfRule type="containsErrors" dxfId="24" priority="49" stopIfTrue="1">
      <formula>ISERROR(EU4)</formula>
    </cfRule>
    <cfRule type="containsErrors" priority="50" stopIfTrue="1">
      <formula>ISERROR(EU4)</formula>
    </cfRule>
  </conditionalFormatting>
  <conditionalFormatting sqref="EU4">
    <cfRule type="containsErrors" dxfId="23" priority="47" stopIfTrue="1">
      <formula>ISERROR(EU4)</formula>
    </cfRule>
    <cfRule type="containsErrors" priority="48" stopIfTrue="1">
      <formula>ISERROR(EU4)</formula>
    </cfRule>
  </conditionalFormatting>
  <conditionalFormatting sqref="EU4:EV5 EU6:EU16">
    <cfRule type="containsErrors" dxfId="22" priority="45" stopIfTrue="1">
      <formula>ISERROR(EU4)</formula>
    </cfRule>
    <cfRule type="containsErrors" priority="46" stopIfTrue="1">
      <formula>ISERROR(EU4)</formula>
    </cfRule>
  </conditionalFormatting>
  <conditionalFormatting sqref="EV6:EV16">
    <cfRule type="containsErrors" dxfId="21" priority="43" stopIfTrue="1">
      <formula>ISERROR(EV6)</formula>
    </cfRule>
    <cfRule type="containsErrors" priority="44" stopIfTrue="1">
      <formula>ISERROR(EV6)</formula>
    </cfRule>
  </conditionalFormatting>
  <conditionalFormatting sqref="EV6:EV16">
    <cfRule type="containsErrors" dxfId="20" priority="41" stopIfTrue="1">
      <formula>ISERROR(EV6)</formula>
    </cfRule>
    <cfRule type="containsErrors" priority="42" stopIfTrue="1">
      <formula>ISERROR(EV6)</formula>
    </cfRule>
  </conditionalFormatting>
  <conditionalFormatting sqref="EU17:EU27">
    <cfRule type="containsErrors" dxfId="19" priority="39" stopIfTrue="1">
      <formula>ISERROR(EU17)</formula>
    </cfRule>
    <cfRule type="containsErrors" priority="40" stopIfTrue="1">
      <formula>ISERROR(EU17)</formula>
    </cfRule>
  </conditionalFormatting>
  <conditionalFormatting sqref="EU17:EU27">
    <cfRule type="containsErrors" dxfId="18" priority="37" stopIfTrue="1">
      <formula>ISERROR(EU17)</formula>
    </cfRule>
    <cfRule type="containsErrors" priority="38" stopIfTrue="1">
      <formula>ISERROR(EU17)</formula>
    </cfRule>
  </conditionalFormatting>
  <conditionalFormatting sqref="EV17:EV27">
    <cfRule type="containsErrors" dxfId="17" priority="35" stopIfTrue="1">
      <formula>ISERROR(EV17)</formula>
    </cfRule>
    <cfRule type="containsErrors" priority="36" stopIfTrue="1">
      <formula>ISERROR(EV17)</formula>
    </cfRule>
  </conditionalFormatting>
  <conditionalFormatting sqref="EV17:EV27">
    <cfRule type="containsErrors" dxfId="16" priority="33" stopIfTrue="1">
      <formula>ISERROR(EV17)</formula>
    </cfRule>
    <cfRule type="containsErrors" priority="34" stopIfTrue="1">
      <formula>ISERROR(EV17)</formula>
    </cfRule>
  </conditionalFormatting>
  <conditionalFormatting sqref="EU28:EU38">
    <cfRule type="containsErrors" dxfId="15" priority="31" stopIfTrue="1">
      <formula>ISERROR(EU28)</formula>
    </cfRule>
    <cfRule type="containsErrors" priority="32" stopIfTrue="1">
      <formula>ISERROR(EU28)</formula>
    </cfRule>
  </conditionalFormatting>
  <conditionalFormatting sqref="EU28:EU38">
    <cfRule type="containsErrors" dxfId="14" priority="29" stopIfTrue="1">
      <formula>ISERROR(EU28)</formula>
    </cfRule>
    <cfRule type="containsErrors" priority="30" stopIfTrue="1">
      <formula>ISERROR(EU28)</formula>
    </cfRule>
  </conditionalFormatting>
  <conditionalFormatting sqref="EV28:EV38">
    <cfRule type="containsErrors" dxfId="13" priority="27" stopIfTrue="1">
      <formula>ISERROR(EV28)</formula>
    </cfRule>
    <cfRule type="containsErrors" priority="28" stopIfTrue="1">
      <formula>ISERROR(EV28)</formula>
    </cfRule>
  </conditionalFormatting>
  <conditionalFormatting sqref="EV28:EV38">
    <cfRule type="containsErrors" dxfId="12" priority="25" stopIfTrue="1">
      <formula>ISERROR(EV28)</formula>
    </cfRule>
    <cfRule type="containsErrors" priority="26" stopIfTrue="1">
      <formula>ISERROR(EV28)</formula>
    </cfRule>
  </conditionalFormatting>
  <conditionalFormatting sqref="EU39:EU49">
    <cfRule type="containsErrors" dxfId="11" priority="23" stopIfTrue="1">
      <formula>ISERROR(EU39)</formula>
    </cfRule>
    <cfRule type="containsErrors" priority="24" stopIfTrue="1">
      <formula>ISERROR(EU39)</formula>
    </cfRule>
  </conditionalFormatting>
  <conditionalFormatting sqref="EU39:EU49">
    <cfRule type="containsErrors" dxfId="10" priority="21" stopIfTrue="1">
      <formula>ISERROR(EU39)</formula>
    </cfRule>
    <cfRule type="containsErrors" priority="22" stopIfTrue="1">
      <formula>ISERROR(EU39)</formula>
    </cfRule>
  </conditionalFormatting>
  <conditionalFormatting sqref="EV39:EV49">
    <cfRule type="containsErrors" dxfId="9" priority="19" stopIfTrue="1">
      <formula>ISERROR(EV39)</formula>
    </cfRule>
    <cfRule type="containsErrors" priority="20" stopIfTrue="1">
      <formula>ISERROR(EV39)</formula>
    </cfRule>
  </conditionalFormatting>
  <conditionalFormatting sqref="EV39:EV49">
    <cfRule type="containsErrors" dxfId="8" priority="17" stopIfTrue="1">
      <formula>ISERROR(EV39)</formula>
    </cfRule>
    <cfRule type="containsErrors" priority="18" stopIfTrue="1">
      <formula>ISERROR(EV39)</formula>
    </cfRule>
  </conditionalFormatting>
  <conditionalFormatting sqref="EU50:EU60">
    <cfRule type="containsErrors" dxfId="7" priority="15" stopIfTrue="1">
      <formula>ISERROR(EU50)</formula>
    </cfRule>
    <cfRule type="containsErrors" priority="16" stopIfTrue="1">
      <formula>ISERROR(EU50)</formula>
    </cfRule>
  </conditionalFormatting>
  <conditionalFormatting sqref="EU50:EU60">
    <cfRule type="containsErrors" dxfId="6" priority="13" stopIfTrue="1">
      <formula>ISERROR(EU50)</formula>
    </cfRule>
    <cfRule type="containsErrors" priority="14" stopIfTrue="1">
      <formula>ISERROR(EU50)</formula>
    </cfRule>
  </conditionalFormatting>
  <conditionalFormatting sqref="EV50:EV60">
    <cfRule type="containsErrors" dxfId="5" priority="11" stopIfTrue="1">
      <formula>ISERROR(EV50)</formula>
    </cfRule>
    <cfRule type="containsErrors" priority="12" stopIfTrue="1">
      <formula>ISERROR(EV50)</formula>
    </cfRule>
  </conditionalFormatting>
  <conditionalFormatting sqref="EV50:EV60">
    <cfRule type="containsErrors" dxfId="4" priority="9" stopIfTrue="1">
      <formula>ISERROR(EV50)</formula>
    </cfRule>
    <cfRule type="containsErrors" priority="10" stopIfTrue="1">
      <formula>ISERROR(EV50)</formula>
    </cfRule>
  </conditionalFormatting>
  <conditionalFormatting sqref="EU61:EU71">
    <cfRule type="containsErrors" dxfId="3" priority="7" stopIfTrue="1">
      <formula>ISERROR(EU61)</formula>
    </cfRule>
    <cfRule type="containsErrors" priority="8" stopIfTrue="1">
      <formula>ISERROR(EU61)</formula>
    </cfRule>
  </conditionalFormatting>
  <conditionalFormatting sqref="EU61:EU71">
    <cfRule type="containsErrors" dxfId="2" priority="5" stopIfTrue="1">
      <formula>ISERROR(EU61)</formula>
    </cfRule>
    <cfRule type="containsErrors" priority="6" stopIfTrue="1">
      <formula>ISERROR(EU61)</formula>
    </cfRule>
  </conditionalFormatting>
  <conditionalFormatting sqref="EV61:EV71">
    <cfRule type="containsErrors" dxfId="1" priority="3" stopIfTrue="1">
      <formula>ISERROR(EV61)</formula>
    </cfRule>
    <cfRule type="containsErrors" priority="4" stopIfTrue="1">
      <formula>ISERROR(EV61)</formula>
    </cfRule>
  </conditionalFormatting>
  <conditionalFormatting sqref="EV61:EV71">
    <cfRule type="containsErrors" dxfId="0" priority="1" stopIfTrue="1">
      <formula>ISERROR(EV61)</formula>
    </cfRule>
    <cfRule type="containsErrors" priority="2" stopIfTrue="1">
      <formula>ISERROR(EV61)</formula>
    </cfRule>
  </conditionalFormatting>
  <printOptions horizontalCentered="1"/>
  <pageMargins left="0.17" right="0.17" top="0.26" bottom="0.3" header="0.17" footer="0.17"/>
  <pageSetup scale="50" orientation="landscape" horizontalDpi="4294967292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FC74"/>
  <sheetViews>
    <sheetView zoomScale="60" zoomScaleNormal="60" workbookViewId="0">
      <pane xSplit="124" ySplit="5" topLeftCell="EE38" activePane="bottomRight" state="frozen"/>
      <selection pane="topRight" activeCell="DU1" sqref="DU1"/>
      <selection pane="bottomLeft" activeCell="A6" sqref="A6"/>
      <selection pane="bottomRight" activeCell="EW49" sqref="EW49"/>
    </sheetView>
  </sheetViews>
  <sheetFormatPr defaultColWidth="11" defaultRowHeight="12.9" x14ac:dyDescent="0.3"/>
  <cols>
    <col min="1" max="1" width="8.15234375" style="2" customWidth="1"/>
    <col min="2" max="2" width="13.53515625" style="36" customWidth="1"/>
    <col min="3" max="3" width="10.3046875" style="1" hidden="1" customWidth="1"/>
    <col min="4" max="4" width="7" style="1" hidden="1" customWidth="1"/>
    <col min="5" max="5" width="10.3046875" style="1" hidden="1" customWidth="1"/>
    <col min="6" max="6" width="7" style="1" hidden="1" customWidth="1"/>
    <col min="7" max="7" width="10.3046875" style="1" hidden="1" customWidth="1"/>
    <col min="8" max="8" width="7" style="1" hidden="1" customWidth="1"/>
    <col min="9" max="9" width="10.3046875" style="1" hidden="1" customWidth="1"/>
    <col min="10" max="10" width="7" style="1" hidden="1" customWidth="1"/>
    <col min="11" max="11" width="10.3046875" style="1" hidden="1" customWidth="1"/>
    <col min="12" max="12" width="7" style="1" hidden="1" customWidth="1"/>
    <col min="13" max="13" width="10.3046875" style="1" hidden="1" customWidth="1"/>
    <col min="14" max="14" width="7" style="1" hidden="1" customWidth="1"/>
    <col min="15" max="15" width="10.3046875" style="1" hidden="1" customWidth="1"/>
    <col min="16" max="16" width="7" style="1" hidden="1" customWidth="1"/>
    <col min="17" max="17" width="10.3046875" style="1" hidden="1" customWidth="1"/>
    <col min="18" max="18" width="7" style="1" hidden="1" customWidth="1"/>
    <col min="19" max="19" width="10.3046875" style="1" hidden="1" customWidth="1"/>
    <col min="20" max="20" width="7" style="1" hidden="1" customWidth="1"/>
    <col min="21" max="21" width="10.3046875" style="1" hidden="1" customWidth="1"/>
    <col min="22" max="22" width="7" style="1" hidden="1" customWidth="1"/>
    <col min="23" max="23" width="10.3046875" style="1" hidden="1" customWidth="1"/>
    <col min="24" max="24" width="7" style="1" hidden="1" customWidth="1"/>
    <col min="25" max="25" width="10.3046875" style="1" hidden="1" customWidth="1"/>
    <col min="26" max="26" width="7" style="1" hidden="1" customWidth="1"/>
    <col min="27" max="27" width="10.3046875" style="1" hidden="1" customWidth="1"/>
    <col min="28" max="28" width="7" style="1" hidden="1" customWidth="1"/>
    <col min="29" max="29" width="10.3046875" style="1" hidden="1" customWidth="1"/>
    <col min="30" max="30" width="7" style="1" hidden="1" customWidth="1"/>
    <col min="31" max="31" width="10.3046875" style="1" hidden="1" customWidth="1"/>
    <col min="32" max="32" width="7" style="1" hidden="1" customWidth="1"/>
    <col min="33" max="33" width="10.3046875" style="1" hidden="1" customWidth="1"/>
    <col min="34" max="34" width="7" style="1" hidden="1" customWidth="1"/>
    <col min="35" max="35" width="10.3046875" style="1" hidden="1" customWidth="1"/>
    <col min="36" max="36" width="7" style="1" hidden="1" customWidth="1"/>
    <col min="37" max="37" width="10.3046875" style="1" hidden="1" customWidth="1"/>
    <col min="38" max="38" width="7" style="1" hidden="1" customWidth="1"/>
    <col min="39" max="39" width="10.3046875" style="1" hidden="1" customWidth="1"/>
    <col min="40" max="40" width="7" style="1" hidden="1" customWidth="1"/>
    <col min="41" max="41" width="10.3046875" style="1" hidden="1" customWidth="1"/>
    <col min="42" max="42" width="7" style="1" hidden="1" customWidth="1"/>
    <col min="43" max="43" width="10.3046875" style="1" hidden="1" customWidth="1"/>
    <col min="44" max="44" width="7" style="1" hidden="1" customWidth="1"/>
    <col min="45" max="45" width="10.3046875" style="1" hidden="1" customWidth="1"/>
    <col min="46" max="46" width="7" style="1" hidden="1" customWidth="1"/>
    <col min="47" max="47" width="10.3046875" style="1" hidden="1" customWidth="1"/>
    <col min="48" max="48" width="7" style="1" hidden="1" customWidth="1"/>
    <col min="49" max="49" width="10.3046875" style="1" hidden="1" customWidth="1"/>
    <col min="50" max="50" width="7" style="1" hidden="1" customWidth="1"/>
    <col min="51" max="51" width="10.3046875" style="1" hidden="1" customWidth="1"/>
    <col min="52" max="52" width="7" style="1" hidden="1" customWidth="1"/>
    <col min="53" max="53" width="10.3046875" style="1" hidden="1" customWidth="1"/>
    <col min="54" max="54" width="7" style="1" hidden="1" customWidth="1"/>
    <col min="55" max="55" width="10.3046875" style="1" hidden="1" customWidth="1"/>
    <col min="56" max="56" width="7" style="1" hidden="1" customWidth="1"/>
    <col min="57" max="57" width="10.3046875" style="1" hidden="1" customWidth="1"/>
    <col min="58" max="58" width="7" style="1" hidden="1" customWidth="1"/>
    <col min="59" max="59" width="10.3046875" style="1" hidden="1" customWidth="1"/>
    <col min="60" max="60" width="7" style="1" hidden="1" customWidth="1"/>
    <col min="61" max="61" width="10.3046875" style="1" hidden="1" customWidth="1"/>
    <col min="62" max="62" width="7" style="1" hidden="1" customWidth="1"/>
    <col min="63" max="63" width="10.3046875" style="1" hidden="1" customWidth="1"/>
    <col min="64" max="64" width="7" style="1" hidden="1" customWidth="1"/>
    <col min="65" max="65" width="10.3046875" style="1" hidden="1" customWidth="1"/>
    <col min="66" max="66" width="7" style="1" hidden="1" customWidth="1"/>
    <col min="67" max="67" width="10.3046875" style="1" hidden="1" customWidth="1"/>
    <col min="68" max="68" width="7" style="1" hidden="1" customWidth="1"/>
    <col min="69" max="69" width="10.3046875" style="1" hidden="1" customWidth="1"/>
    <col min="70" max="70" width="7" style="1" hidden="1" customWidth="1"/>
    <col min="71" max="71" width="10.3046875" style="1" hidden="1" customWidth="1"/>
    <col min="72" max="72" width="7" style="1" hidden="1" customWidth="1"/>
    <col min="73" max="73" width="10.3046875" style="1" hidden="1" customWidth="1"/>
    <col min="74" max="74" width="7" style="1" hidden="1" customWidth="1"/>
    <col min="75" max="75" width="10.3046875" style="1" hidden="1" customWidth="1"/>
    <col min="76" max="76" width="7" style="1" hidden="1" customWidth="1"/>
    <col min="77" max="77" width="10.3046875" style="1" hidden="1" customWidth="1"/>
    <col min="78" max="78" width="7" style="1" hidden="1" customWidth="1"/>
    <col min="79" max="79" width="10.3046875" style="1" hidden="1" customWidth="1"/>
    <col min="80" max="80" width="7" style="1" hidden="1" customWidth="1"/>
    <col min="81" max="81" width="10.3046875" style="1" hidden="1" customWidth="1"/>
    <col min="82" max="82" width="7" style="1" hidden="1" customWidth="1"/>
    <col min="83" max="83" width="10.3046875" style="1" hidden="1" customWidth="1"/>
    <col min="84" max="84" width="7" style="1" hidden="1" customWidth="1"/>
    <col min="85" max="85" width="10.3046875" style="1" hidden="1" customWidth="1"/>
    <col min="86" max="86" width="7" style="1" hidden="1" customWidth="1"/>
    <col min="87" max="87" width="10.3046875" style="1" hidden="1" customWidth="1"/>
    <col min="88" max="88" width="7" style="1" hidden="1" customWidth="1"/>
    <col min="89" max="89" width="10.3046875" style="1" hidden="1" customWidth="1"/>
    <col min="90" max="90" width="7" style="1" hidden="1" customWidth="1"/>
    <col min="91" max="91" width="10.3046875" style="1" hidden="1" customWidth="1"/>
    <col min="92" max="92" width="7" style="1" hidden="1" customWidth="1"/>
    <col min="93" max="93" width="10.3046875" style="1" hidden="1" customWidth="1"/>
    <col min="94" max="94" width="7" style="1" hidden="1" customWidth="1"/>
    <col min="95" max="95" width="10.3046875" style="1" hidden="1" customWidth="1"/>
    <col min="96" max="96" width="7" style="1" hidden="1" customWidth="1"/>
    <col min="97" max="97" width="10.3046875" style="1" hidden="1" customWidth="1"/>
    <col min="98" max="98" width="7" style="1" hidden="1" customWidth="1"/>
    <col min="99" max="99" width="10.3046875" style="1" hidden="1" customWidth="1"/>
    <col min="100" max="100" width="7" style="1" hidden="1" customWidth="1"/>
    <col min="101" max="101" width="10.3046875" style="1" hidden="1" customWidth="1"/>
    <col min="102" max="102" width="7" style="1" hidden="1" customWidth="1"/>
    <col min="103" max="103" width="10.3046875" style="1" hidden="1" customWidth="1"/>
    <col min="104" max="104" width="7" style="1" hidden="1" customWidth="1"/>
    <col min="105" max="105" width="10.3046875" style="1" hidden="1" customWidth="1"/>
    <col min="106" max="106" width="7" style="1" hidden="1" customWidth="1"/>
    <col min="107" max="107" width="11" style="1" hidden="1" customWidth="1"/>
    <col min="108" max="108" width="7" style="1" hidden="1" customWidth="1"/>
    <col min="109" max="109" width="11" style="1" hidden="1" customWidth="1"/>
    <col min="110" max="110" width="7" style="1" hidden="1" customWidth="1"/>
    <col min="111" max="111" width="11" style="1" hidden="1" customWidth="1"/>
    <col min="112" max="112" width="7" style="1" hidden="1" customWidth="1"/>
    <col min="113" max="113" width="11" style="1" hidden="1" customWidth="1"/>
    <col min="114" max="114" width="7" style="1" hidden="1" customWidth="1"/>
    <col min="115" max="115" width="11" style="1" hidden="1" customWidth="1"/>
    <col min="116" max="116" width="7" style="1" hidden="1" customWidth="1"/>
    <col min="117" max="117" width="11" style="1" hidden="1" customWidth="1"/>
    <col min="118" max="118" width="7" style="1" hidden="1" customWidth="1"/>
    <col min="119" max="119" width="10.3046875" style="1" hidden="1" customWidth="1"/>
    <col min="120" max="120" width="7" style="1" hidden="1" customWidth="1"/>
    <col min="121" max="121" width="10.3046875" style="1" hidden="1" customWidth="1"/>
    <col min="122" max="122" width="7" style="1" hidden="1" customWidth="1"/>
    <col min="123" max="123" width="11" style="1" hidden="1" customWidth="1"/>
    <col min="124" max="124" width="7" style="1" hidden="1" customWidth="1"/>
    <col min="125" max="125" width="10.3046875" style="1" customWidth="1"/>
    <col min="126" max="126" width="7" style="1" customWidth="1"/>
    <col min="127" max="127" width="11" style="1" bestFit="1" customWidth="1"/>
    <col min="128" max="128" width="7" style="1" customWidth="1"/>
    <col min="129" max="129" width="11" style="1" bestFit="1" customWidth="1"/>
    <col min="130" max="130" width="7" style="1" customWidth="1"/>
    <col min="131" max="131" width="11" style="1" bestFit="1" customWidth="1"/>
    <col min="132" max="132" width="7" style="1" customWidth="1"/>
    <col min="133" max="133" width="11" style="1" bestFit="1" customWidth="1"/>
    <col min="134" max="134" width="7" style="1" customWidth="1"/>
    <col min="135" max="135" width="11" style="1" bestFit="1" customWidth="1"/>
    <col min="136" max="136" width="7" style="1" customWidth="1"/>
    <col min="137" max="137" width="11" style="1" bestFit="1" customWidth="1"/>
    <col min="138" max="138" width="7" style="1" customWidth="1"/>
    <col min="139" max="139" width="11" style="1" bestFit="1" customWidth="1"/>
    <col min="140" max="140" width="7" style="1" customWidth="1"/>
    <col min="141" max="141" width="11" style="1" bestFit="1" customWidth="1"/>
    <col min="142" max="142" width="7" style="1" customWidth="1"/>
    <col min="143" max="143" width="11" style="1" bestFit="1" customWidth="1"/>
    <col min="144" max="144" width="7" style="1" customWidth="1"/>
    <col min="145" max="145" width="11" style="1" bestFit="1" customWidth="1"/>
    <col min="146" max="146" width="7" style="1" customWidth="1"/>
    <col min="147" max="147" width="11" style="1" bestFit="1" customWidth="1"/>
    <col min="148" max="148" width="7" style="1" customWidth="1"/>
    <col min="149" max="149" width="11" style="1" bestFit="1" customWidth="1"/>
    <col min="150" max="150" width="7" style="1" customWidth="1"/>
    <col min="151" max="151" width="10.3046875" customWidth="1"/>
    <col min="152" max="152" width="7" customWidth="1"/>
    <col min="153" max="153" width="7" style="1" customWidth="1"/>
    <col min="154" max="154" width="10.15234375" style="30" customWidth="1"/>
    <col min="155" max="155" width="11.15234375" style="30" bestFit="1" customWidth="1"/>
    <col min="156" max="156" width="9.84375" style="30" bestFit="1" customWidth="1"/>
    <col min="157" max="157" width="9.15234375" style="30" customWidth="1"/>
    <col min="158" max="158" width="12.3046875" style="30" customWidth="1"/>
    <col min="159" max="159" width="11" style="31"/>
    <col min="160" max="16384" width="11" style="1"/>
  </cols>
  <sheetData>
    <row r="1" spans="1:159" s="130" customFormat="1" ht="19.95" customHeight="1" x14ac:dyDescent="0.3">
      <c r="A1" s="272" t="s">
        <v>151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2"/>
      <c r="AJ1" s="272"/>
      <c r="AK1" s="272"/>
      <c r="AL1" s="272"/>
      <c r="AM1" s="272"/>
      <c r="AN1" s="272"/>
      <c r="AO1" s="272"/>
      <c r="AP1" s="272"/>
      <c r="AQ1" s="272"/>
      <c r="AR1" s="272"/>
      <c r="AS1" s="272"/>
      <c r="AT1" s="272"/>
      <c r="AU1" s="272"/>
      <c r="AV1" s="272"/>
      <c r="AW1" s="272"/>
      <c r="AX1" s="272"/>
      <c r="AY1" s="272"/>
      <c r="AZ1" s="272"/>
      <c r="BA1" s="272"/>
      <c r="BB1" s="272"/>
      <c r="BC1" s="272"/>
      <c r="BD1" s="272"/>
      <c r="BE1" s="272"/>
      <c r="BF1" s="272"/>
      <c r="BG1" s="272"/>
      <c r="BH1" s="272"/>
      <c r="BI1" s="272"/>
      <c r="BJ1" s="272"/>
      <c r="BK1" s="272"/>
      <c r="BL1" s="272"/>
      <c r="BM1" s="272"/>
      <c r="BN1" s="272"/>
      <c r="BO1" s="272"/>
      <c r="BP1" s="272"/>
      <c r="BQ1" s="272"/>
      <c r="BR1" s="272"/>
      <c r="BS1" s="272"/>
      <c r="BT1" s="272"/>
      <c r="BU1" s="272"/>
      <c r="BV1" s="272"/>
      <c r="BW1" s="272"/>
      <c r="BX1" s="272"/>
      <c r="BY1" s="272"/>
      <c r="BZ1" s="272"/>
      <c r="CA1" s="272"/>
      <c r="CB1" s="272"/>
      <c r="CC1" s="272"/>
      <c r="CD1" s="272"/>
      <c r="CE1" s="272"/>
      <c r="CF1" s="272"/>
      <c r="CG1" s="272"/>
      <c r="CH1" s="272"/>
      <c r="CI1" s="272"/>
      <c r="CJ1" s="272"/>
      <c r="CK1" s="272"/>
      <c r="CL1" s="272"/>
      <c r="CM1" s="272"/>
      <c r="CN1" s="272"/>
      <c r="CO1" s="272"/>
      <c r="CP1" s="272"/>
      <c r="CQ1" s="272"/>
      <c r="CR1" s="272"/>
      <c r="CS1" s="272"/>
      <c r="CT1" s="272"/>
      <c r="CU1" s="272"/>
      <c r="CV1" s="272"/>
      <c r="CW1" s="272"/>
      <c r="CX1" s="272"/>
      <c r="CY1" s="272"/>
      <c r="CZ1" s="272"/>
      <c r="DA1" s="272"/>
      <c r="DB1" s="272"/>
      <c r="DC1" s="272"/>
      <c r="DD1" s="272"/>
      <c r="DE1" s="272"/>
      <c r="DF1" s="272"/>
      <c r="DG1" s="272"/>
      <c r="DH1" s="272"/>
      <c r="DI1" s="272"/>
      <c r="DJ1" s="272"/>
      <c r="DK1" s="272"/>
      <c r="DL1" s="272"/>
      <c r="DM1" s="272"/>
      <c r="DN1" s="272"/>
      <c r="DO1" s="272"/>
      <c r="DP1" s="272"/>
      <c r="DQ1" s="272"/>
      <c r="DR1" s="272"/>
      <c r="DS1" s="272"/>
      <c r="DT1" s="272"/>
      <c r="DU1" s="272"/>
      <c r="DV1" s="272"/>
      <c r="DW1" s="272"/>
      <c r="DX1" s="272"/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272"/>
      <c r="EK1" s="272"/>
      <c r="EL1" s="272"/>
      <c r="EM1" s="272"/>
      <c r="EN1" s="272"/>
      <c r="EO1" s="272"/>
      <c r="EP1" s="272"/>
      <c r="EQ1" s="272"/>
      <c r="ER1" s="272"/>
      <c r="ES1" s="272"/>
      <c r="ET1" s="272"/>
      <c r="EU1" s="272"/>
      <c r="EV1" s="272"/>
      <c r="EW1" s="127"/>
      <c r="EX1" s="128"/>
      <c r="EY1" s="128"/>
      <c r="EZ1" s="128"/>
      <c r="FA1" s="128"/>
      <c r="FB1" s="128"/>
      <c r="FC1" s="129"/>
    </row>
    <row r="2" spans="1:159" s="130" customFormat="1" ht="7.5" customHeight="1" x14ac:dyDescent="0.3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1"/>
      <c r="BM2" s="131"/>
      <c r="BN2" s="131"/>
      <c r="BO2" s="131"/>
      <c r="BP2" s="131"/>
      <c r="BQ2" s="131"/>
      <c r="BR2" s="131"/>
      <c r="BS2" s="131"/>
      <c r="BT2" s="131"/>
      <c r="BU2" s="131"/>
      <c r="BV2" s="131"/>
      <c r="BW2" s="131"/>
      <c r="BX2" s="131"/>
      <c r="BY2" s="131"/>
      <c r="BZ2" s="131"/>
      <c r="CA2" s="131"/>
      <c r="CB2" s="131"/>
      <c r="CC2" s="131"/>
      <c r="CD2" s="131"/>
      <c r="CE2" s="131"/>
      <c r="CF2" s="131"/>
      <c r="CG2" s="131"/>
      <c r="CH2" s="131"/>
      <c r="CI2" s="131"/>
      <c r="CJ2" s="131"/>
      <c r="CK2" s="131"/>
      <c r="CL2" s="131"/>
      <c r="CM2" s="131"/>
      <c r="CN2" s="131"/>
      <c r="CO2" s="131"/>
      <c r="CP2" s="131"/>
      <c r="CQ2" s="131"/>
      <c r="CR2" s="131"/>
      <c r="CS2" s="131"/>
      <c r="CT2" s="131"/>
      <c r="CU2" s="131"/>
      <c r="CV2" s="131"/>
      <c r="CW2" s="131"/>
      <c r="CX2" s="131"/>
      <c r="CY2" s="131"/>
      <c r="CZ2" s="131"/>
      <c r="DA2" s="131"/>
      <c r="DB2" s="131"/>
      <c r="DC2" s="131"/>
      <c r="DD2" s="131"/>
      <c r="DE2" s="131"/>
      <c r="DF2" s="131"/>
      <c r="DG2" s="131"/>
      <c r="DH2" s="131"/>
      <c r="DI2" s="131"/>
      <c r="DJ2" s="131"/>
      <c r="DK2" s="131"/>
      <c r="DL2" s="131"/>
      <c r="DM2" s="131"/>
      <c r="DN2" s="131"/>
      <c r="DO2" s="131"/>
      <c r="DP2" s="131"/>
      <c r="DQ2" s="131"/>
      <c r="DR2" s="131"/>
      <c r="DS2" s="131"/>
      <c r="DT2" s="131"/>
      <c r="DU2" s="131"/>
      <c r="DV2" s="131"/>
      <c r="DW2" s="131"/>
      <c r="DX2" s="131"/>
      <c r="DY2" s="131"/>
      <c r="DZ2" s="131"/>
      <c r="EA2" s="131"/>
      <c r="EB2" s="131"/>
      <c r="EC2" s="131"/>
      <c r="ED2" s="131"/>
      <c r="EE2" s="131"/>
      <c r="EF2" s="131"/>
      <c r="EG2" s="131"/>
      <c r="EH2" s="131"/>
      <c r="EI2" s="131"/>
      <c r="EJ2" s="131"/>
      <c r="EK2" s="131"/>
      <c r="EL2" s="131"/>
      <c r="EM2" s="131"/>
      <c r="EN2" s="131"/>
      <c r="EO2" s="131"/>
      <c r="EP2" s="131"/>
      <c r="EQ2" s="131"/>
      <c r="ER2" s="131"/>
      <c r="ES2" s="131"/>
      <c r="ET2" s="131"/>
      <c r="EU2"/>
      <c r="EV2"/>
      <c r="EW2" s="127"/>
      <c r="EX2" s="128"/>
      <c r="EY2" s="128"/>
      <c r="EZ2" s="128"/>
      <c r="FA2" s="128"/>
      <c r="FB2" s="128"/>
      <c r="FC2" s="129"/>
    </row>
    <row r="3" spans="1:159" s="113" customFormat="1" ht="6.75" customHeight="1" thickBot="1" x14ac:dyDescent="0.35">
      <c r="A3" s="110"/>
      <c r="B3" s="119"/>
      <c r="EU3"/>
      <c r="EV3"/>
      <c r="EX3" s="173"/>
      <c r="EY3" s="173"/>
      <c r="EZ3" s="173"/>
      <c r="FA3" s="173"/>
      <c r="FB3" s="173"/>
      <c r="FC3" s="175"/>
    </row>
    <row r="4" spans="1:159" s="110" customFormat="1" ht="21" customHeight="1" x14ac:dyDescent="0.3">
      <c r="A4" s="114" t="s">
        <v>91</v>
      </c>
      <c r="B4" s="115" t="s">
        <v>94</v>
      </c>
      <c r="C4" s="116" t="s">
        <v>160</v>
      </c>
      <c r="D4" s="117"/>
      <c r="E4" s="116" t="s">
        <v>161</v>
      </c>
      <c r="F4" s="117"/>
      <c r="G4" s="116" t="s">
        <v>162</v>
      </c>
      <c r="H4" s="117"/>
      <c r="I4" s="116" t="s">
        <v>163</v>
      </c>
      <c r="J4" s="117"/>
      <c r="K4" s="116" t="s">
        <v>164</v>
      </c>
      <c r="L4" s="117"/>
      <c r="M4" s="116" t="s">
        <v>165</v>
      </c>
      <c r="N4" s="117"/>
      <c r="O4" s="116" t="s">
        <v>168</v>
      </c>
      <c r="P4" s="117"/>
      <c r="Q4" s="116" t="s">
        <v>169</v>
      </c>
      <c r="R4" s="117"/>
      <c r="S4" s="116" t="s">
        <v>170</v>
      </c>
      <c r="T4" s="117"/>
      <c r="U4" s="116" t="s">
        <v>171</v>
      </c>
      <c r="V4" s="117"/>
      <c r="W4" s="116" t="s">
        <v>172</v>
      </c>
      <c r="X4" s="117"/>
      <c r="Y4" s="116" t="s">
        <v>173</v>
      </c>
      <c r="Z4" s="117"/>
      <c r="AA4" s="116" t="s">
        <v>174</v>
      </c>
      <c r="AB4" s="117"/>
      <c r="AC4" s="116" t="s">
        <v>175</v>
      </c>
      <c r="AD4" s="117"/>
      <c r="AE4" s="116" t="s">
        <v>176</v>
      </c>
      <c r="AF4" s="117"/>
      <c r="AG4" s="116" t="s">
        <v>177</v>
      </c>
      <c r="AH4" s="117"/>
      <c r="AI4" s="116" t="s">
        <v>178</v>
      </c>
      <c r="AJ4" s="117"/>
      <c r="AK4" s="116" t="s">
        <v>180</v>
      </c>
      <c r="AL4" s="117"/>
      <c r="AM4" s="116" t="s">
        <v>181</v>
      </c>
      <c r="AN4" s="117"/>
      <c r="AO4" s="116" t="s">
        <v>184</v>
      </c>
      <c r="AP4" s="117"/>
      <c r="AQ4" s="116" t="s">
        <v>185</v>
      </c>
      <c r="AR4" s="117"/>
      <c r="AS4" s="116" t="s">
        <v>186</v>
      </c>
      <c r="AT4" s="117"/>
      <c r="AU4" s="116" t="s">
        <v>187</v>
      </c>
      <c r="AV4" s="117"/>
      <c r="AW4" s="116" t="s">
        <v>189</v>
      </c>
      <c r="AX4" s="117"/>
      <c r="AY4" s="116" t="s">
        <v>190</v>
      </c>
      <c r="AZ4" s="117"/>
      <c r="BA4" s="116" t="s">
        <v>191</v>
      </c>
      <c r="BB4" s="117"/>
      <c r="BC4" s="116" t="s">
        <v>192</v>
      </c>
      <c r="BD4" s="117"/>
      <c r="BE4" s="116" t="s">
        <v>193</v>
      </c>
      <c r="BF4" s="117"/>
      <c r="BG4" s="116" t="s">
        <v>194</v>
      </c>
      <c r="BH4" s="117"/>
      <c r="BI4" s="116" t="s">
        <v>195</v>
      </c>
      <c r="BJ4" s="117"/>
      <c r="BK4" s="116" t="s">
        <v>196</v>
      </c>
      <c r="BL4" s="117"/>
      <c r="BM4" s="116" t="s">
        <v>197</v>
      </c>
      <c r="BN4" s="117"/>
      <c r="BO4" s="116" t="s">
        <v>198</v>
      </c>
      <c r="BP4" s="117"/>
      <c r="BQ4" s="116" t="s">
        <v>199</v>
      </c>
      <c r="BR4" s="117"/>
      <c r="BS4" s="116" t="s">
        <v>200</v>
      </c>
      <c r="BT4" s="117"/>
      <c r="BU4" s="116" t="s">
        <v>201</v>
      </c>
      <c r="BV4" s="117"/>
      <c r="BW4" s="116" t="s">
        <v>202</v>
      </c>
      <c r="BX4" s="117"/>
      <c r="BY4" s="116" t="s">
        <v>203</v>
      </c>
      <c r="BZ4" s="117"/>
      <c r="CA4" s="116" t="s">
        <v>204</v>
      </c>
      <c r="CB4" s="117"/>
      <c r="CC4" s="116" t="s">
        <v>205</v>
      </c>
      <c r="CD4" s="117"/>
      <c r="CE4" s="116" t="s">
        <v>206</v>
      </c>
      <c r="CF4" s="117"/>
      <c r="CG4" s="116" t="s">
        <v>207</v>
      </c>
      <c r="CH4" s="117"/>
      <c r="CI4" s="116" t="s">
        <v>208</v>
      </c>
      <c r="CJ4" s="117"/>
      <c r="CK4" s="116" t="s">
        <v>209</v>
      </c>
      <c r="CL4" s="117"/>
      <c r="CM4" s="116" t="s">
        <v>210</v>
      </c>
      <c r="CN4" s="117"/>
      <c r="CO4" s="116" t="s">
        <v>211</v>
      </c>
      <c r="CP4" s="117"/>
      <c r="CQ4" s="116" t="s">
        <v>212</v>
      </c>
      <c r="CR4" s="117"/>
      <c r="CS4" s="116" t="s">
        <v>213</v>
      </c>
      <c r="CT4" s="117"/>
      <c r="CU4" s="116" t="s">
        <v>214</v>
      </c>
      <c r="CV4" s="117"/>
      <c r="CW4" s="116" t="s">
        <v>215</v>
      </c>
      <c r="CX4" s="117"/>
      <c r="CY4" s="116" t="s">
        <v>216</v>
      </c>
      <c r="CZ4" s="117"/>
      <c r="DA4" s="116" t="s">
        <v>217</v>
      </c>
      <c r="DB4" s="117"/>
      <c r="DC4" s="116" t="s">
        <v>218</v>
      </c>
      <c r="DD4" s="117"/>
      <c r="DE4" s="116" t="s">
        <v>219</v>
      </c>
      <c r="DF4" s="117"/>
      <c r="DG4" s="116" t="s">
        <v>220</v>
      </c>
      <c r="DH4" s="117"/>
      <c r="DI4" s="116" t="s">
        <v>221</v>
      </c>
      <c r="DJ4" s="117"/>
      <c r="DK4" s="116" t="s">
        <v>222</v>
      </c>
      <c r="DL4" s="117"/>
      <c r="DM4" s="116" t="s">
        <v>223</v>
      </c>
      <c r="DN4" s="117"/>
      <c r="DO4" s="116" t="s">
        <v>224</v>
      </c>
      <c r="DP4" s="117"/>
      <c r="DQ4" s="116" t="s">
        <v>225</v>
      </c>
      <c r="DR4" s="117"/>
      <c r="DS4" s="116" t="s">
        <v>227</v>
      </c>
      <c r="DT4" s="117"/>
      <c r="DU4" s="116" t="s">
        <v>228</v>
      </c>
      <c r="DV4" s="117"/>
      <c r="DW4" s="116" t="s">
        <v>229</v>
      </c>
      <c r="DX4" s="117"/>
      <c r="DY4" s="116" t="s">
        <v>230</v>
      </c>
      <c r="DZ4" s="117"/>
      <c r="EA4" s="116" t="s">
        <v>231</v>
      </c>
      <c r="EB4" s="117"/>
      <c r="EC4" s="116" t="s">
        <v>232</v>
      </c>
      <c r="ED4" s="117"/>
      <c r="EE4" s="116" t="s">
        <v>233</v>
      </c>
      <c r="EF4" s="117"/>
      <c r="EG4" s="116" t="s">
        <v>234</v>
      </c>
      <c r="EH4" s="117"/>
      <c r="EI4" s="116" t="s">
        <v>235</v>
      </c>
      <c r="EJ4" s="117"/>
      <c r="EK4" s="116" t="s">
        <v>236</v>
      </c>
      <c r="EL4" s="117"/>
      <c r="EM4" s="116" t="s">
        <v>237</v>
      </c>
      <c r="EN4" s="117"/>
      <c r="EO4" s="116" t="s">
        <v>238</v>
      </c>
      <c r="EP4" s="117"/>
      <c r="EQ4" s="116" t="s">
        <v>239</v>
      </c>
      <c r="ER4" s="117"/>
      <c r="ES4" s="116" t="str">
        <f>+AM!ES4</f>
        <v>26/02</v>
      </c>
      <c r="ET4" s="117"/>
      <c r="EU4" s="217" t="s">
        <v>245</v>
      </c>
      <c r="EV4" s="218"/>
      <c r="EW4" s="118"/>
      <c r="EX4" s="178"/>
      <c r="EY4" s="179"/>
      <c r="EZ4" s="192"/>
      <c r="FA4" s="179"/>
      <c r="FB4" s="179"/>
      <c r="FC4" s="193"/>
    </row>
    <row r="5" spans="1:159" s="110" customFormat="1" ht="21" customHeight="1" thickBot="1" x14ac:dyDescent="0.35">
      <c r="A5" s="120"/>
      <c r="B5" s="121" t="s">
        <v>76</v>
      </c>
      <c r="C5" s="122" t="s">
        <v>77</v>
      </c>
      <c r="D5" s="123" t="s">
        <v>78</v>
      </c>
      <c r="E5" s="122" t="s">
        <v>77</v>
      </c>
      <c r="F5" s="123" t="s">
        <v>78</v>
      </c>
      <c r="G5" s="122" t="s">
        <v>77</v>
      </c>
      <c r="H5" s="123" t="s">
        <v>78</v>
      </c>
      <c r="I5" s="122" t="s">
        <v>77</v>
      </c>
      <c r="J5" s="123" t="s">
        <v>78</v>
      </c>
      <c r="K5" s="122" t="s">
        <v>77</v>
      </c>
      <c r="L5" s="123" t="s">
        <v>78</v>
      </c>
      <c r="M5" s="122" t="s">
        <v>77</v>
      </c>
      <c r="N5" s="123" t="s">
        <v>78</v>
      </c>
      <c r="O5" s="122" t="s">
        <v>77</v>
      </c>
      <c r="P5" s="123" t="s">
        <v>78</v>
      </c>
      <c r="Q5" s="122" t="s">
        <v>77</v>
      </c>
      <c r="R5" s="123" t="s">
        <v>78</v>
      </c>
      <c r="S5" s="122" t="s">
        <v>77</v>
      </c>
      <c r="T5" s="123" t="s">
        <v>78</v>
      </c>
      <c r="U5" s="122" t="s">
        <v>77</v>
      </c>
      <c r="V5" s="123" t="s">
        <v>78</v>
      </c>
      <c r="W5" s="122" t="s">
        <v>77</v>
      </c>
      <c r="X5" s="123" t="s">
        <v>78</v>
      </c>
      <c r="Y5" s="122" t="s">
        <v>77</v>
      </c>
      <c r="Z5" s="123" t="s">
        <v>78</v>
      </c>
      <c r="AA5" s="122" t="s">
        <v>77</v>
      </c>
      <c r="AB5" s="123" t="s">
        <v>78</v>
      </c>
      <c r="AC5" s="122" t="s">
        <v>77</v>
      </c>
      <c r="AD5" s="123" t="s">
        <v>78</v>
      </c>
      <c r="AE5" s="122" t="s">
        <v>77</v>
      </c>
      <c r="AF5" s="123" t="s">
        <v>78</v>
      </c>
      <c r="AG5" s="122" t="s">
        <v>77</v>
      </c>
      <c r="AH5" s="123" t="s">
        <v>78</v>
      </c>
      <c r="AI5" s="122" t="s">
        <v>77</v>
      </c>
      <c r="AJ5" s="123" t="s">
        <v>78</v>
      </c>
      <c r="AK5" s="122" t="s">
        <v>77</v>
      </c>
      <c r="AL5" s="123" t="s">
        <v>78</v>
      </c>
      <c r="AM5" s="122" t="s">
        <v>77</v>
      </c>
      <c r="AN5" s="123" t="s">
        <v>78</v>
      </c>
      <c r="AO5" s="122" t="s">
        <v>77</v>
      </c>
      <c r="AP5" s="123" t="s">
        <v>78</v>
      </c>
      <c r="AQ5" s="122" t="s">
        <v>77</v>
      </c>
      <c r="AR5" s="123" t="s">
        <v>78</v>
      </c>
      <c r="AS5" s="122" t="s">
        <v>77</v>
      </c>
      <c r="AT5" s="123" t="s">
        <v>78</v>
      </c>
      <c r="AU5" s="122" t="s">
        <v>77</v>
      </c>
      <c r="AV5" s="123" t="s">
        <v>78</v>
      </c>
      <c r="AW5" s="122" t="s">
        <v>77</v>
      </c>
      <c r="AX5" s="123" t="s">
        <v>78</v>
      </c>
      <c r="AY5" s="122" t="s">
        <v>77</v>
      </c>
      <c r="AZ5" s="123" t="s">
        <v>78</v>
      </c>
      <c r="BA5" s="122" t="s">
        <v>77</v>
      </c>
      <c r="BB5" s="123" t="s">
        <v>78</v>
      </c>
      <c r="BC5" s="122" t="s">
        <v>77</v>
      </c>
      <c r="BD5" s="123" t="s">
        <v>78</v>
      </c>
      <c r="BE5" s="122" t="s">
        <v>77</v>
      </c>
      <c r="BF5" s="123" t="s">
        <v>78</v>
      </c>
      <c r="BG5" s="122" t="s">
        <v>77</v>
      </c>
      <c r="BH5" s="123" t="s">
        <v>78</v>
      </c>
      <c r="BI5" s="122" t="s">
        <v>77</v>
      </c>
      <c r="BJ5" s="123" t="s">
        <v>78</v>
      </c>
      <c r="BK5" s="122" t="s">
        <v>77</v>
      </c>
      <c r="BL5" s="123" t="s">
        <v>78</v>
      </c>
      <c r="BM5" s="122" t="s">
        <v>77</v>
      </c>
      <c r="BN5" s="123" t="s">
        <v>78</v>
      </c>
      <c r="BO5" s="122" t="s">
        <v>77</v>
      </c>
      <c r="BP5" s="123" t="s">
        <v>78</v>
      </c>
      <c r="BQ5" s="122" t="s">
        <v>77</v>
      </c>
      <c r="BR5" s="123" t="s">
        <v>78</v>
      </c>
      <c r="BS5" s="122" t="s">
        <v>77</v>
      </c>
      <c r="BT5" s="123" t="s">
        <v>78</v>
      </c>
      <c r="BU5" s="122" t="s">
        <v>77</v>
      </c>
      <c r="BV5" s="123" t="s">
        <v>78</v>
      </c>
      <c r="BW5" s="122" t="s">
        <v>77</v>
      </c>
      <c r="BX5" s="123" t="s">
        <v>78</v>
      </c>
      <c r="BY5" s="122" t="s">
        <v>77</v>
      </c>
      <c r="BZ5" s="123" t="s">
        <v>78</v>
      </c>
      <c r="CA5" s="122" t="s">
        <v>77</v>
      </c>
      <c r="CB5" s="123" t="s">
        <v>78</v>
      </c>
      <c r="CC5" s="122" t="s">
        <v>77</v>
      </c>
      <c r="CD5" s="123" t="s">
        <v>78</v>
      </c>
      <c r="CE5" s="122" t="s">
        <v>77</v>
      </c>
      <c r="CF5" s="123" t="s">
        <v>78</v>
      </c>
      <c r="CG5" s="122" t="s">
        <v>77</v>
      </c>
      <c r="CH5" s="123" t="s">
        <v>78</v>
      </c>
      <c r="CI5" s="122" t="s">
        <v>77</v>
      </c>
      <c r="CJ5" s="123" t="s">
        <v>78</v>
      </c>
      <c r="CK5" s="122" t="s">
        <v>77</v>
      </c>
      <c r="CL5" s="123" t="s">
        <v>78</v>
      </c>
      <c r="CM5" s="122" t="s">
        <v>77</v>
      </c>
      <c r="CN5" s="123" t="s">
        <v>78</v>
      </c>
      <c r="CO5" s="122" t="s">
        <v>77</v>
      </c>
      <c r="CP5" s="123" t="s">
        <v>78</v>
      </c>
      <c r="CQ5" s="122" t="s">
        <v>77</v>
      </c>
      <c r="CR5" s="123" t="s">
        <v>78</v>
      </c>
      <c r="CS5" s="122" t="s">
        <v>77</v>
      </c>
      <c r="CT5" s="123" t="s">
        <v>78</v>
      </c>
      <c r="CU5" s="122" t="s">
        <v>77</v>
      </c>
      <c r="CV5" s="123" t="s">
        <v>78</v>
      </c>
      <c r="CW5" s="122" t="s">
        <v>77</v>
      </c>
      <c r="CX5" s="123" t="s">
        <v>78</v>
      </c>
      <c r="CY5" s="122" t="s">
        <v>77</v>
      </c>
      <c r="CZ5" s="123" t="s">
        <v>78</v>
      </c>
      <c r="DA5" s="122" t="s">
        <v>77</v>
      </c>
      <c r="DB5" s="123" t="s">
        <v>78</v>
      </c>
      <c r="DC5" s="122" t="s">
        <v>77</v>
      </c>
      <c r="DD5" s="123" t="s">
        <v>78</v>
      </c>
      <c r="DE5" s="122" t="s">
        <v>77</v>
      </c>
      <c r="DF5" s="123" t="s">
        <v>78</v>
      </c>
      <c r="DG5" s="122" t="s">
        <v>77</v>
      </c>
      <c r="DH5" s="123" t="s">
        <v>78</v>
      </c>
      <c r="DI5" s="122" t="s">
        <v>77</v>
      </c>
      <c r="DJ5" s="123" t="s">
        <v>78</v>
      </c>
      <c r="DK5" s="122" t="s">
        <v>77</v>
      </c>
      <c r="DL5" s="123" t="s">
        <v>78</v>
      </c>
      <c r="DM5" s="122" t="s">
        <v>77</v>
      </c>
      <c r="DN5" s="123" t="s">
        <v>78</v>
      </c>
      <c r="DO5" s="122" t="s">
        <v>77</v>
      </c>
      <c r="DP5" s="123" t="s">
        <v>78</v>
      </c>
      <c r="DQ5" s="122" t="s">
        <v>77</v>
      </c>
      <c r="DR5" s="123" t="s">
        <v>78</v>
      </c>
      <c r="DS5" s="122" t="s">
        <v>77</v>
      </c>
      <c r="DT5" s="123" t="s">
        <v>78</v>
      </c>
      <c r="DU5" s="122" t="s">
        <v>77</v>
      </c>
      <c r="DV5" s="123" t="s">
        <v>78</v>
      </c>
      <c r="DW5" s="122" t="s">
        <v>77</v>
      </c>
      <c r="DX5" s="123" t="s">
        <v>78</v>
      </c>
      <c r="DY5" s="122" t="s">
        <v>77</v>
      </c>
      <c r="DZ5" s="123" t="s">
        <v>78</v>
      </c>
      <c r="EA5" s="122" t="s">
        <v>77</v>
      </c>
      <c r="EB5" s="123" t="s">
        <v>78</v>
      </c>
      <c r="EC5" s="122" t="s">
        <v>77</v>
      </c>
      <c r="ED5" s="123" t="s">
        <v>78</v>
      </c>
      <c r="EE5" s="122" t="s">
        <v>77</v>
      </c>
      <c r="EF5" s="123" t="s">
        <v>78</v>
      </c>
      <c r="EG5" s="122" t="s">
        <v>77</v>
      </c>
      <c r="EH5" s="123" t="s">
        <v>78</v>
      </c>
      <c r="EI5" s="122" t="s">
        <v>77</v>
      </c>
      <c r="EJ5" s="123" t="s">
        <v>78</v>
      </c>
      <c r="EK5" s="122" t="s">
        <v>77</v>
      </c>
      <c r="EL5" s="123" t="s">
        <v>78</v>
      </c>
      <c r="EM5" s="122" t="s">
        <v>77</v>
      </c>
      <c r="EN5" s="123" t="s">
        <v>78</v>
      </c>
      <c r="EO5" s="122" t="s">
        <v>77</v>
      </c>
      <c r="EP5" s="123" t="s">
        <v>78</v>
      </c>
      <c r="EQ5" s="122" t="s">
        <v>77</v>
      </c>
      <c r="ER5" s="123" t="s">
        <v>78</v>
      </c>
      <c r="ES5" s="122" t="s">
        <v>77</v>
      </c>
      <c r="ET5" s="123" t="s">
        <v>78</v>
      </c>
      <c r="EU5" s="219" t="s">
        <v>77</v>
      </c>
      <c r="EV5" s="220" t="s">
        <v>78</v>
      </c>
      <c r="EW5" s="124"/>
      <c r="EX5" s="125" t="s">
        <v>76</v>
      </c>
      <c r="EY5" s="126"/>
      <c r="EZ5" s="133" t="s">
        <v>157</v>
      </c>
      <c r="FA5" s="126"/>
      <c r="FB5" s="134" t="s">
        <v>128</v>
      </c>
      <c r="FC5" s="181" t="s">
        <v>156</v>
      </c>
    </row>
    <row r="6" spans="1:159" ht="21" customHeight="1" thickBot="1" x14ac:dyDescent="0.35">
      <c r="A6" s="3"/>
      <c r="B6" s="20" t="s">
        <v>89</v>
      </c>
      <c r="C6" s="55">
        <v>87076.66</v>
      </c>
      <c r="D6" s="93">
        <v>2.5987099709450213E-2</v>
      </c>
      <c r="E6" s="55">
        <v>189829.15</v>
      </c>
      <c r="F6" s="93">
        <v>5.5223033165688995E-2</v>
      </c>
      <c r="G6" s="55">
        <v>28050</v>
      </c>
      <c r="H6" s="93">
        <v>9.5269564519560018E-3</v>
      </c>
      <c r="I6" s="55">
        <v>0</v>
      </c>
      <c r="J6" s="93">
        <v>0</v>
      </c>
      <c r="K6" s="55">
        <v>93887.97</v>
      </c>
      <c r="L6" s="93">
        <v>1.8973778774188897E-2</v>
      </c>
      <c r="M6" s="55">
        <v>0</v>
      </c>
      <c r="N6" s="93">
        <v>0</v>
      </c>
      <c r="O6" s="55">
        <v>0</v>
      </c>
      <c r="P6" s="93">
        <v>0</v>
      </c>
      <c r="Q6" s="55">
        <v>64113.55</v>
      </c>
      <c r="R6" s="93">
        <v>1.6239309004320083E-2</v>
      </c>
      <c r="S6" s="55">
        <v>31579.54</v>
      </c>
      <c r="T6" s="93">
        <v>6.654303515502267E-3</v>
      </c>
      <c r="U6" s="55">
        <v>53217.95</v>
      </c>
      <c r="V6" s="93">
        <v>1.2670910096175077E-2</v>
      </c>
      <c r="W6" s="55">
        <v>26882.25</v>
      </c>
      <c r="X6" s="93">
        <v>8.3301204525083102E-3</v>
      </c>
      <c r="Y6" s="55">
        <v>28050.06</v>
      </c>
      <c r="Z6" s="93">
        <v>9.6927499853788381E-3</v>
      </c>
      <c r="AA6" s="55">
        <v>25846</v>
      </c>
      <c r="AB6" s="93">
        <v>8.2336677311255699E-3</v>
      </c>
      <c r="AC6" s="55">
        <v>56100.05</v>
      </c>
      <c r="AD6" s="93">
        <v>1.7747903804384436E-2</v>
      </c>
      <c r="AE6" s="55">
        <v>57405.34</v>
      </c>
      <c r="AF6" s="93">
        <v>1.216128057710323E-2</v>
      </c>
      <c r="AG6" s="55">
        <v>0</v>
      </c>
      <c r="AH6" s="93">
        <v>0</v>
      </c>
      <c r="AI6" s="55">
        <v>28204.04</v>
      </c>
      <c r="AJ6" s="93">
        <v>8.3217525588393897E-3</v>
      </c>
      <c r="AK6" s="55">
        <v>57869.94</v>
      </c>
      <c r="AL6" s="93">
        <v>1.2553132756724782E-2</v>
      </c>
      <c r="AM6" s="55">
        <v>56100.07</v>
      </c>
      <c r="AN6" s="93">
        <v>1.8809778327173125E-2</v>
      </c>
      <c r="AO6" s="55">
        <v>28869.48</v>
      </c>
      <c r="AP6" s="93">
        <v>9.1171329260426887E-3</v>
      </c>
      <c r="AQ6" s="55">
        <v>0</v>
      </c>
      <c r="AR6" s="93">
        <v>0</v>
      </c>
      <c r="AS6" s="55">
        <v>51287.74</v>
      </c>
      <c r="AT6" s="93">
        <v>1.6730849924536429E-2</v>
      </c>
      <c r="AU6" s="55">
        <v>0</v>
      </c>
      <c r="AV6" s="93">
        <v>0</v>
      </c>
      <c r="AW6" s="55">
        <v>0</v>
      </c>
      <c r="AX6" s="93">
        <v>0</v>
      </c>
      <c r="AY6" s="55">
        <v>0</v>
      </c>
      <c r="AZ6" s="93">
        <v>0</v>
      </c>
      <c r="BA6" s="55">
        <v>0</v>
      </c>
      <c r="BB6" s="93">
        <v>0</v>
      </c>
      <c r="BC6" s="55">
        <v>0</v>
      </c>
      <c r="BD6" s="93">
        <v>0</v>
      </c>
      <c r="BE6" s="55">
        <v>0</v>
      </c>
      <c r="BF6" s="93">
        <v>0</v>
      </c>
      <c r="BG6" s="55">
        <v>0</v>
      </c>
      <c r="BH6" s="93">
        <v>0</v>
      </c>
      <c r="BI6" s="55">
        <v>0</v>
      </c>
      <c r="BJ6" s="93">
        <v>0</v>
      </c>
      <c r="BK6" s="55">
        <v>0</v>
      </c>
      <c r="BL6" s="93">
        <v>0</v>
      </c>
      <c r="BM6" s="55">
        <v>0</v>
      </c>
      <c r="BN6" s="93">
        <v>0</v>
      </c>
      <c r="BO6" s="55">
        <v>28708.799999999999</v>
      </c>
      <c r="BP6" s="93">
        <v>8.035510750518518E-3</v>
      </c>
      <c r="BQ6" s="55">
        <v>0</v>
      </c>
      <c r="BR6" s="93">
        <v>0</v>
      </c>
      <c r="BS6" s="55">
        <v>0</v>
      </c>
      <c r="BT6" s="93">
        <v>0</v>
      </c>
      <c r="BU6" s="55">
        <v>0</v>
      </c>
      <c r="BV6" s="93">
        <v>0</v>
      </c>
      <c r="BW6" s="55">
        <v>0</v>
      </c>
      <c r="BX6" s="93">
        <v>0</v>
      </c>
      <c r="BY6" s="55">
        <v>0</v>
      </c>
      <c r="BZ6" s="93">
        <v>0</v>
      </c>
      <c r="CA6" s="55">
        <v>0</v>
      </c>
      <c r="CB6" s="93">
        <v>0</v>
      </c>
      <c r="CC6" s="55">
        <v>0</v>
      </c>
      <c r="CD6" s="93">
        <v>0</v>
      </c>
      <c r="CE6" s="55">
        <v>0</v>
      </c>
      <c r="CF6" s="93">
        <v>0</v>
      </c>
      <c r="CG6" s="55">
        <v>0</v>
      </c>
      <c r="CH6" s="93">
        <v>0</v>
      </c>
      <c r="CI6" s="55">
        <v>0</v>
      </c>
      <c r="CJ6" s="93">
        <v>0</v>
      </c>
      <c r="CK6" s="55">
        <v>0</v>
      </c>
      <c r="CL6" s="93">
        <v>0</v>
      </c>
      <c r="CM6" s="55">
        <v>0</v>
      </c>
      <c r="CN6" s="93">
        <v>0</v>
      </c>
      <c r="CO6" s="55">
        <v>0</v>
      </c>
      <c r="CP6" s="93">
        <v>0</v>
      </c>
      <c r="CQ6" s="55">
        <v>0</v>
      </c>
      <c r="CR6" s="93">
        <v>0</v>
      </c>
      <c r="CS6" s="55">
        <v>0</v>
      </c>
      <c r="CT6" s="93">
        <v>0</v>
      </c>
      <c r="CU6" s="55">
        <v>0</v>
      </c>
      <c r="CV6" s="93">
        <v>0</v>
      </c>
      <c r="CW6" s="55">
        <v>0</v>
      </c>
      <c r="CX6" s="93">
        <v>0</v>
      </c>
      <c r="CY6" s="55">
        <v>0</v>
      </c>
      <c r="CZ6" s="93">
        <v>0</v>
      </c>
      <c r="DA6" s="55">
        <v>0</v>
      </c>
      <c r="DB6" s="93">
        <v>0</v>
      </c>
      <c r="DC6" s="55">
        <v>0</v>
      </c>
      <c r="DD6" s="93">
        <v>0</v>
      </c>
      <c r="DE6" s="55">
        <v>0</v>
      </c>
      <c r="DF6" s="93">
        <v>0</v>
      </c>
      <c r="DG6" s="55">
        <v>0</v>
      </c>
      <c r="DH6" s="93">
        <v>0</v>
      </c>
      <c r="DI6" s="55">
        <v>0</v>
      </c>
      <c r="DJ6" s="93">
        <v>0</v>
      </c>
      <c r="DK6" s="55">
        <v>0</v>
      </c>
      <c r="DL6" s="93">
        <v>0</v>
      </c>
      <c r="DM6" s="55">
        <v>0</v>
      </c>
      <c r="DN6" s="93">
        <v>0</v>
      </c>
      <c r="DO6" s="55">
        <v>0</v>
      </c>
      <c r="DP6" s="93">
        <v>0</v>
      </c>
      <c r="DQ6" s="55">
        <v>0</v>
      </c>
      <c r="DR6" s="93">
        <v>0</v>
      </c>
      <c r="DS6" s="55">
        <v>0</v>
      </c>
      <c r="DT6" s="93">
        <v>0</v>
      </c>
      <c r="DU6" s="55">
        <v>0</v>
      </c>
      <c r="DV6" s="93">
        <v>0</v>
      </c>
      <c r="DW6" s="55">
        <v>0</v>
      </c>
      <c r="DX6" s="93">
        <v>0</v>
      </c>
      <c r="DY6" s="55">
        <v>0</v>
      </c>
      <c r="DZ6" s="93">
        <v>0</v>
      </c>
      <c r="EA6" s="55">
        <v>0</v>
      </c>
      <c r="EB6" s="93">
        <v>0</v>
      </c>
      <c r="EC6" s="55">
        <v>0</v>
      </c>
      <c r="ED6" s="93">
        <v>0</v>
      </c>
      <c r="EE6" s="55">
        <v>0</v>
      </c>
      <c r="EF6" s="93">
        <v>0</v>
      </c>
      <c r="EG6" s="55">
        <v>0</v>
      </c>
      <c r="EH6" s="93">
        <v>0</v>
      </c>
      <c r="EI6" s="55">
        <v>0</v>
      </c>
      <c r="EJ6" s="93">
        <v>0</v>
      </c>
      <c r="EK6" s="55">
        <v>0</v>
      </c>
      <c r="EL6" s="93">
        <v>0</v>
      </c>
      <c r="EM6" s="55">
        <v>0</v>
      </c>
      <c r="EN6" s="93">
        <v>0</v>
      </c>
      <c r="EO6" s="55">
        <v>0</v>
      </c>
      <c r="EP6" s="93">
        <v>0</v>
      </c>
      <c r="EQ6" s="55">
        <v>0</v>
      </c>
      <c r="ER6" s="93">
        <v>0</v>
      </c>
      <c r="ES6" s="55">
        <f t="shared" ref="ES6:ES12" si="0">+$FB6</f>
        <v>0</v>
      </c>
      <c r="ET6" s="93">
        <f>ES6/ES13</f>
        <v>0</v>
      </c>
      <c r="EU6" s="221">
        <f>IF( SUM($EQ6:ES6)&lt;0, "n/a", SUM($EQ6:ES6)/EU$74)</f>
        <v>0</v>
      </c>
      <c r="EV6" s="222">
        <f>EU6/EU13</f>
        <v>0</v>
      </c>
      <c r="EW6" s="22"/>
      <c r="EX6" s="96" t="s">
        <v>31</v>
      </c>
      <c r="EY6" s="35">
        <f>IF(ISERROR(VLOOKUP(EX6,IQSH01E!$A$1:$M$400,2,0)),0,VLOOKUP(EX6,IQSH01E!$A$1:$M$400,2,0))</f>
        <v>0</v>
      </c>
      <c r="EZ6" s="56" t="s">
        <v>64</v>
      </c>
      <c r="FA6" s="35">
        <f>IF(ISERROR(VLOOKUP(EZ6,IQSH01E!$A$1:$M$400,2,0)),0,VLOOKUP(EZ6,IQSH01E!$A$1:$M$400,2,0))</f>
        <v>0</v>
      </c>
      <c r="FB6" s="189">
        <f>+FA6+EY6</f>
        <v>0</v>
      </c>
      <c r="FC6" s="182" t="s">
        <v>123</v>
      </c>
    </row>
    <row r="7" spans="1:159" ht="21" customHeight="1" thickBot="1" x14ac:dyDescent="0.35">
      <c r="A7" s="3"/>
      <c r="B7" s="14" t="s">
        <v>79</v>
      </c>
      <c r="C7" s="60">
        <v>2963570.2600000002</v>
      </c>
      <c r="D7" s="99">
        <v>0.88444591056410871</v>
      </c>
      <c r="E7" s="60">
        <v>2996402.22</v>
      </c>
      <c r="F7" s="99">
        <v>0.87168076753651447</v>
      </c>
      <c r="G7" s="60">
        <v>2611530.7799999998</v>
      </c>
      <c r="H7" s="99">
        <v>0.8869853837434114</v>
      </c>
      <c r="I7" s="60">
        <v>3787746.2300000009</v>
      </c>
      <c r="J7" s="99">
        <v>0.92013096410554795</v>
      </c>
      <c r="K7" s="60">
        <v>4502715.43</v>
      </c>
      <c r="L7" s="99">
        <v>0.90995179096903289</v>
      </c>
      <c r="M7" s="60">
        <v>3759736.21</v>
      </c>
      <c r="N7" s="99">
        <v>0.92354201976357952</v>
      </c>
      <c r="O7" s="60">
        <v>3123700.43</v>
      </c>
      <c r="P7" s="99">
        <v>0.9115466979075858</v>
      </c>
      <c r="Q7" s="60">
        <v>3480132.41</v>
      </c>
      <c r="R7" s="99">
        <v>0.88148208267892125</v>
      </c>
      <c r="S7" s="60">
        <v>4242103.3199999994</v>
      </c>
      <c r="T7" s="99">
        <v>0.89387758768493253</v>
      </c>
      <c r="U7" s="60">
        <v>3702155.5200000005</v>
      </c>
      <c r="V7" s="99">
        <v>0.88146348658635487</v>
      </c>
      <c r="W7" s="60">
        <v>2857428.2900000005</v>
      </c>
      <c r="X7" s="99">
        <v>0.88544380920885912</v>
      </c>
      <c r="Y7" s="60">
        <v>2517350.1599999997</v>
      </c>
      <c r="Z7" s="99">
        <v>0.86987499230067289</v>
      </c>
      <c r="AA7" s="60">
        <v>2832266.3200000003</v>
      </c>
      <c r="AB7" s="99">
        <v>0.90226494641096378</v>
      </c>
      <c r="AC7" s="60">
        <v>2934041.1000000006</v>
      </c>
      <c r="AD7" s="99">
        <v>0.92821805329781881</v>
      </c>
      <c r="AE7" s="60">
        <v>4427316.1399999987</v>
      </c>
      <c r="AF7" s="99">
        <v>0.93792378517534492</v>
      </c>
      <c r="AG7" s="60">
        <v>4512768.1399999997</v>
      </c>
      <c r="AH7" s="99">
        <v>0.94637907844411584</v>
      </c>
      <c r="AI7" s="60">
        <v>3177937.48</v>
      </c>
      <c r="AJ7" s="99">
        <v>0.9376674177182277</v>
      </c>
      <c r="AK7" s="60">
        <v>4331618.4699999988</v>
      </c>
      <c r="AL7" s="99">
        <v>0.93961358358745606</v>
      </c>
      <c r="AM7" s="60">
        <v>2614783.9000000004</v>
      </c>
      <c r="AN7" s="99">
        <v>0.87671023463003217</v>
      </c>
      <c r="AO7" s="60">
        <v>2972618.1500000004</v>
      </c>
      <c r="AP7" s="99">
        <v>0.93876837448811379</v>
      </c>
      <c r="AQ7" s="60">
        <v>3877964.7099999995</v>
      </c>
      <c r="AR7" s="99">
        <v>0.94663910364402803</v>
      </c>
      <c r="AS7" s="60">
        <v>2789426.1199999996</v>
      </c>
      <c r="AT7" s="99">
        <v>0.90995371972525874</v>
      </c>
      <c r="AU7" s="60">
        <v>2907223.19</v>
      </c>
      <c r="AV7" s="99">
        <v>0.93906483022599474</v>
      </c>
      <c r="AW7" s="60">
        <v>2026347.38</v>
      </c>
      <c r="AX7" s="99">
        <v>0.92163594191155862</v>
      </c>
      <c r="AY7" s="60">
        <v>3805354.13</v>
      </c>
      <c r="AZ7" s="99">
        <v>0.96410561188562627</v>
      </c>
      <c r="BA7" s="60">
        <v>3160819.93</v>
      </c>
      <c r="BB7" s="99">
        <v>0.93700906180291443</v>
      </c>
      <c r="BC7" s="60">
        <v>4861410.34</v>
      </c>
      <c r="BD7" s="99">
        <v>0.95872770040625743</v>
      </c>
      <c r="BE7" s="60">
        <v>4546634.9700000007</v>
      </c>
      <c r="BF7" s="99">
        <v>0.97406383562851262</v>
      </c>
      <c r="BG7" s="60">
        <v>4665527.4100000011</v>
      </c>
      <c r="BH7" s="99">
        <v>0.97260694635489964</v>
      </c>
      <c r="BI7" s="60">
        <v>4650598.120000001</v>
      </c>
      <c r="BJ7" s="99">
        <v>0.97136500607797882</v>
      </c>
      <c r="BK7" s="60">
        <v>3422604.96</v>
      </c>
      <c r="BL7" s="99">
        <v>0.96168970226176609</v>
      </c>
      <c r="BM7" s="60">
        <v>3393676.8000000003</v>
      </c>
      <c r="BN7" s="99">
        <v>0.96280579499284913</v>
      </c>
      <c r="BO7" s="60">
        <v>3400825.4499999997</v>
      </c>
      <c r="BP7" s="99">
        <v>0.95188128602073152</v>
      </c>
      <c r="BQ7" s="60">
        <v>3255160.0200000005</v>
      </c>
      <c r="BR7" s="99">
        <v>0.96622837773273362</v>
      </c>
      <c r="BS7" s="60">
        <v>2869735.28</v>
      </c>
      <c r="BT7" s="99">
        <v>0.97386133934514363</v>
      </c>
      <c r="BU7" s="60">
        <v>2129655.33</v>
      </c>
      <c r="BV7" s="99">
        <v>0.97948910382787102</v>
      </c>
      <c r="BW7" s="60">
        <v>2895497.82</v>
      </c>
      <c r="BX7" s="99">
        <v>0.95654099478131582</v>
      </c>
      <c r="BY7" s="60">
        <v>3458111.2800000003</v>
      </c>
      <c r="BZ7" s="99">
        <v>0.96798676311460752</v>
      </c>
      <c r="CA7" s="60">
        <v>4501739</v>
      </c>
      <c r="CB7" s="99">
        <v>0.96724997563740223</v>
      </c>
      <c r="CC7" s="60">
        <v>3710840.79</v>
      </c>
      <c r="CD7" s="99">
        <v>0.9731135469130805</v>
      </c>
      <c r="CE7" s="60">
        <v>4435924.3600000003</v>
      </c>
      <c r="CF7" s="99">
        <v>0.97883580346296883</v>
      </c>
      <c r="CG7" s="60">
        <v>4170354.5300000003</v>
      </c>
      <c r="CH7" s="99">
        <v>0.98465089503520475</v>
      </c>
      <c r="CI7" s="60">
        <v>3207525.47</v>
      </c>
      <c r="CJ7" s="99">
        <v>0.97310587590610687</v>
      </c>
      <c r="CK7" s="60">
        <v>3713012.1899999995</v>
      </c>
      <c r="CL7" s="99">
        <v>0.97684628036968413</v>
      </c>
      <c r="CM7" s="60">
        <v>3506476.92</v>
      </c>
      <c r="CN7" s="99">
        <v>0.97771680757782831</v>
      </c>
      <c r="CO7" s="60">
        <v>3101310.6100000003</v>
      </c>
      <c r="CP7" s="99">
        <v>0.97812643271433009</v>
      </c>
      <c r="CQ7" s="60">
        <v>3043531.69</v>
      </c>
      <c r="CR7" s="99">
        <v>0.97300748683980709</v>
      </c>
      <c r="CS7" s="60">
        <v>2211716.0399999996</v>
      </c>
      <c r="CT7" s="99">
        <v>0.98025107355594776</v>
      </c>
      <c r="CU7" s="60">
        <v>3779578.8099999996</v>
      </c>
      <c r="CV7" s="99">
        <v>0.97614883581460044</v>
      </c>
      <c r="CW7" s="60">
        <v>3730890.9700000007</v>
      </c>
      <c r="CX7" s="99">
        <v>0.98372459589154182</v>
      </c>
      <c r="CY7" s="60">
        <v>4766708.42</v>
      </c>
      <c r="CZ7" s="99">
        <v>0.99260260916859699</v>
      </c>
      <c r="DA7" s="60">
        <v>4541485.3099999996</v>
      </c>
      <c r="DB7" s="99">
        <v>0.98432735542305738</v>
      </c>
      <c r="DC7" s="60">
        <v>4899838.99</v>
      </c>
      <c r="DD7" s="99">
        <v>0.98972947406978384</v>
      </c>
      <c r="DE7" s="60">
        <v>4078685.47</v>
      </c>
      <c r="DF7" s="99">
        <v>0.98961663123991328</v>
      </c>
      <c r="DG7" s="60">
        <v>3637691</v>
      </c>
      <c r="DH7" s="99">
        <v>0.98322592209322546</v>
      </c>
      <c r="DI7" s="60">
        <v>4292826.88</v>
      </c>
      <c r="DJ7" s="99">
        <v>0.97850634954397142</v>
      </c>
      <c r="DK7" s="60">
        <v>3474163.4</v>
      </c>
      <c r="DL7" s="99">
        <v>0.9763267385845027</v>
      </c>
      <c r="DM7" s="60">
        <v>4195121.17</v>
      </c>
      <c r="DN7" s="99">
        <v>0.98389703063293099</v>
      </c>
      <c r="DO7" s="60">
        <v>3109660.9000000004</v>
      </c>
      <c r="DP7" s="99">
        <v>0.97820108857405308</v>
      </c>
      <c r="DQ7" s="60">
        <v>2889154.38</v>
      </c>
      <c r="DR7" s="99">
        <v>0.97503918653314225</v>
      </c>
      <c r="DS7" s="60">
        <v>3900005.5299999993</v>
      </c>
      <c r="DT7" s="99">
        <v>0.97966087986494432</v>
      </c>
      <c r="DU7" s="60">
        <v>3806421.75</v>
      </c>
      <c r="DV7" s="99">
        <v>0.98745897174739439</v>
      </c>
      <c r="DW7" s="60">
        <v>3891339.62</v>
      </c>
      <c r="DX7" s="99">
        <v>0.98181480658388476</v>
      </c>
      <c r="DY7" s="60">
        <v>4307850.75</v>
      </c>
      <c r="DZ7" s="99">
        <v>0.98134191839528484</v>
      </c>
      <c r="EA7" s="60">
        <v>4802767.05</v>
      </c>
      <c r="EB7" s="99">
        <v>0.98188917644551577</v>
      </c>
      <c r="EC7" s="60">
        <v>4088642.3099999996</v>
      </c>
      <c r="ED7" s="99">
        <v>0.98977532676336788</v>
      </c>
      <c r="EE7" s="60">
        <v>3393828.98</v>
      </c>
      <c r="EF7" s="99">
        <v>0.98644458023612935</v>
      </c>
      <c r="EG7" s="60">
        <v>3504088.36</v>
      </c>
      <c r="EH7" s="99">
        <v>0.9803815600295267</v>
      </c>
      <c r="EI7" s="60">
        <v>3615851.51</v>
      </c>
      <c r="EJ7" s="99">
        <v>0.99099009128171911</v>
      </c>
      <c r="EK7" s="60">
        <v>3725637.5300000003</v>
      </c>
      <c r="EL7" s="99">
        <v>0.98265605791083876</v>
      </c>
      <c r="EM7" s="60">
        <v>3185650.21</v>
      </c>
      <c r="EN7" s="99">
        <v>0.98040985422431437</v>
      </c>
      <c r="EO7" s="60">
        <v>2930442.55</v>
      </c>
      <c r="EP7" s="99">
        <v>0.98625547218026721</v>
      </c>
      <c r="EQ7" s="60">
        <v>4645399.05</v>
      </c>
      <c r="ER7" s="99">
        <v>0.98930473072334257</v>
      </c>
      <c r="ES7" s="60">
        <f t="shared" si="0"/>
        <v>3862576.7</v>
      </c>
      <c r="ET7" s="99">
        <f>ES7/ES13</f>
        <v>0.98224319608372246</v>
      </c>
      <c r="EU7" s="221">
        <f>IF( SUM($EQ7:ES7)&lt;0, "n/a", SUM($EQ7:ES7)/EU$74)</f>
        <v>4253988.3696523653</v>
      </c>
      <c r="EV7" s="223">
        <f>EU7/EU13</f>
        <v>0.98608628783529362</v>
      </c>
      <c r="EW7" s="22"/>
      <c r="EX7" s="100" t="s">
        <v>113</v>
      </c>
      <c r="EY7" s="150">
        <f>+EY16-EY15-EY14-EY6-EY9-EY10-EY11-EY12-EY8</f>
        <v>3862576.7</v>
      </c>
      <c r="EZ7" s="156" t="s">
        <v>113</v>
      </c>
      <c r="FA7" s="160">
        <f>+FA16-FA15-FA14-FA6-FA9-FA10-FA11-FA12-FA8</f>
        <v>0</v>
      </c>
      <c r="FB7" s="161">
        <f t="shared" ref="FB7:FB16" si="1">+FA7+EY7</f>
        <v>3862576.7</v>
      </c>
      <c r="FC7" s="183"/>
    </row>
    <row r="8" spans="1:159" ht="21" customHeight="1" thickBot="1" x14ac:dyDescent="0.35">
      <c r="A8" s="3"/>
      <c r="B8" s="14" t="s">
        <v>107</v>
      </c>
      <c r="C8" s="60">
        <v>0</v>
      </c>
      <c r="D8" s="99">
        <v>0</v>
      </c>
      <c r="E8" s="60">
        <v>0</v>
      </c>
      <c r="F8" s="99">
        <v>0</v>
      </c>
      <c r="G8" s="60">
        <v>0</v>
      </c>
      <c r="H8" s="99">
        <v>0</v>
      </c>
      <c r="I8" s="60">
        <v>0</v>
      </c>
      <c r="J8" s="99">
        <v>0</v>
      </c>
      <c r="K8" s="60">
        <v>0</v>
      </c>
      <c r="L8" s="99">
        <v>0</v>
      </c>
      <c r="M8" s="60">
        <v>0</v>
      </c>
      <c r="N8" s="99">
        <v>0</v>
      </c>
      <c r="O8" s="60">
        <v>0</v>
      </c>
      <c r="P8" s="99">
        <v>0</v>
      </c>
      <c r="Q8" s="60">
        <v>0</v>
      </c>
      <c r="R8" s="99">
        <v>0</v>
      </c>
      <c r="S8" s="60">
        <v>0</v>
      </c>
      <c r="T8" s="99">
        <v>0</v>
      </c>
      <c r="U8" s="60">
        <v>0</v>
      </c>
      <c r="V8" s="99">
        <v>0</v>
      </c>
      <c r="W8" s="60">
        <v>0</v>
      </c>
      <c r="X8" s="99">
        <v>0</v>
      </c>
      <c r="Y8" s="60">
        <v>0</v>
      </c>
      <c r="Z8" s="99">
        <v>0</v>
      </c>
      <c r="AA8" s="60">
        <v>0</v>
      </c>
      <c r="AB8" s="99">
        <v>0</v>
      </c>
      <c r="AC8" s="60">
        <v>0</v>
      </c>
      <c r="AD8" s="99">
        <v>0</v>
      </c>
      <c r="AE8" s="60">
        <v>0</v>
      </c>
      <c r="AF8" s="99">
        <v>0</v>
      </c>
      <c r="AG8" s="60">
        <v>0</v>
      </c>
      <c r="AH8" s="99">
        <v>0</v>
      </c>
      <c r="AI8" s="60">
        <v>0</v>
      </c>
      <c r="AJ8" s="99">
        <v>0</v>
      </c>
      <c r="AK8" s="60">
        <v>0</v>
      </c>
      <c r="AL8" s="99">
        <v>0</v>
      </c>
      <c r="AM8" s="60">
        <v>0</v>
      </c>
      <c r="AN8" s="99">
        <v>0</v>
      </c>
      <c r="AO8" s="60">
        <v>0</v>
      </c>
      <c r="AP8" s="99">
        <v>0</v>
      </c>
      <c r="AQ8" s="60">
        <v>0</v>
      </c>
      <c r="AR8" s="99">
        <v>0</v>
      </c>
      <c r="AS8" s="60">
        <v>0</v>
      </c>
      <c r="AT8" s="99">
        <v>0</v>
      </c>
      <c r="AU8" s="60">
        <v>0</v>
      </c>
      <c r="AV8" s="99">
        <v>0</v>
      </c>
      <c r="AW8" s="60">
        <v>0</v>
      </c>
      <c r="AX8" s="99">
        <v>0</v>
      </c>
      <c r="AY8" s="60">
        <v>0</v>
      </c>
      <c r="AZ8" s="99">
        <v>0</v>
      </c>
      <c r="BA8" s="60">
        <v>0</v>
      </c>
      <c r="BB8" s="99">
        <v>0</v>
      </c>
      <c r="BC8" s="60">
        <v>0</v>
      </c>
      <c r="BD8" s="99">
        <v>0</v>
      </c>
      <c r="BE8" s="60">
        <v>0</v>
      </c>
      <c r="BF8" s="99">
        <v>0</v>
      </c>
      <c r="BG8" s="60">
        <v>0</v>
      </c>
      <c r="BH8" s="99">
        <v>0</v>
      </c>
      <c r="BI8" s="60">
        <v>0</v>
      </c>
      <c r="BJ8" s="99">
        <v>0</v>
      </c>
      <c r="BK8" s="60">
        <v>0</v>
      </c>
      <c r="BL8" s="99">
        <v>0</v>
      </c>
      <c r="BM8" s="60">
        <v>0</v>
      </c>
      <c r="BN8" s="99">
        <v>0</v>
      </c>
      <c r="BO8" s="60">
        <v>0</v>
      </c>
      <c r="BP8" s="99">
        <v>0</v>
      </c>
      <c r="BQ8" s="60">
        <v>0</v>
      </c>
      <c r="BR8" s="99">
        <v>0</v>
      </c>
      <c r="BS8" s="60">
        <v>0</v>
      </c>
      <c r="BT8" s="99">
        <v>0</v>
      </c>
      <c r="BU8" s="60">
        <v>0</v>
      </c>
      <c r="BV8" s="99">
        <v>0</v>
      </c>
      <c r="BW8" s="60">
        <v>0</v>
      </c>
      <c r="BX8" s="99">
        <v>0</v>
      </c>
      <c r="BY8" s="60">
        <v>0</v>
      </c>
      <c r="BZ8" s="99">
        <v>0</v>
      </c>
      <c r="CA8" s="60">
        <v>0</v>
      </c>
      <c r="CB8" s="99">
        <v>0</v>
      </c>
      <c r="CC8" s="60">
        <v>0</v>
      </c>
      <c r="CD8" s="99">
        <v>0</v>
      </c>
      <c r="CE8" s="60">
        <v>0</v>
      </c>
      <c r="CF8" s="99">
        <v>0</v>
      </c>
      <c r="CG8" s="60">
        <v>0</v>
      </c>
      <c r="CH8" s="99">
        <v>0</v>
      </c>
      <c r="CI8" s="60">
        <v>0</v>
      </c>
      <c r="CJ8" s="99">
        <v>0</v>
      </c>
      <c r="CK8" s="60">
        <v>0</v>
      </c>
      <c r="CL8" s="99">
        <v>0</v>
      </c>
      <c r="CM8" s="60">
        <v>0</v>
      </c>
      <c r="CN8" s="99">
        <v>0</v>
      </c>
      <c r="CO8" s="60">
        <v>0</v>
      </c>
      <c r="CP8" s="99">
        <v>0</v>
      </c>
      <c r="CQ8" s="60">
        <v>0</v>
      </c>
      <c r="CR8" s="99">
        <v>0</v>
      </c>
      <c r="CS8" s="60">
        <v>0</v>
      </c>
      <c r="CT8" s="99">
        <v>0</v>
      </c>
      <c r="CU8" s="60">
        <v>0</v>
      </c>
      <c r="CV8" s="99">
        <v>0</v>
      </c>
      <c r="CW8" s="60">
        <v>0</v>
      </c>
      <c r="CX8" s="99">
        <v>0</v>
      </c>
      <c r="CY8" s="60">
        <v>0</v>
      </c>
      <c r="CZ8" s="99">
        <v>0</v>
      </c>
      <c r="DA8" s="60">
        <v>0</v>
      </c>
      <c r="DB8" s="99">
        <v>0</v>
      </c>
      <c r="DC8" s="60">
        <v>0</v>
      </c>
      <c r="DD8" s="99">
        <v>0</v>
      </c>
      <c r="DE8" s="60">
        <v>0</v>
      </c>
      <c r="DF8" s="99">
        <v>0</v>
      </c>
      <c r="DG8" s="60">
        <v>0</v>
      </c>
      <c r="DH8" s="99">
        <v>0</v>
      </c>
      <c r="DI8" s="60">
        <v>0</v>
      </c>
      <c r="DJ8" s="99">
        <v>0</v>
      </c>
      <c r="DK8" s="60">
        <v>0</v>
      </c>
      <c r="DL8" s="99">
        <v>0</v>
      </c>
      <c r="DM8" s="60">
        <v>0</v>
      </c>
      <c r="DN8" s="99">
        <v>0</v>
      </c>
      <c r="DO8" s="60">
        <v>0</v>
      </c>
      <c r="DP8" s="99">
        <v>0</v>
      </c>
      <c r="DQ8" s="60">
        <v>0</v>
      </c>
      <c r="DR8" s="99">
        <v>0</v>
      </c>
      <c r="DS8" s="60">
        <v>0</v>
      </c>
      <c r="DT8" s="99">
        <v>0</v>
      </c>
      <c r="DU8" s="60">
        <v>0</v>
      </c>
      <c r="DV8" s="99">
        <v>0</v>
      </c>
      <c r="DW8" s="60">
        <v>0</v>
      </c>
      <c r="DX8" s="99">
        <v>0</v>
      </c>
      <c r="DY8" s="60">
        <v>0</v>
      </c>
      <c r="DZ8" s="99">
        <v>0</v>
      </c>
      <c r="EA8" s="60">
        <v>0</v>
      </c>
      <c r="EB8" s="99">
        <v>0</v>
      </c>
      <c r="EC8" s="60">
        <v>0</v>
      </c>
      <c r="ED8" s="99">
        <v>0</v>
      </c>
      <c r="EE8" s="60">
        <v>0</v>
      </c>
      <c r="EF8" s="99">
        <v>0</v>
      </c>
      <c r="EG8" s="60">
        <v>0</v>
      </c>
      <c r="EH8" s="99">
        <v>0</v>
      </c>
      <c r="EI8" s="60">
        <v>0</v>
      </c>
      <c r="EJ8" s="99">
        <v>0</v>
      </c>
      <c r="EK8" s="60">
        <v>0</v>
      </c>
      <c r="EL8" s="99">
        <v>0</v>
      </c>
      <c r="EM8" s="60">
        <v>0</v>
      </c>
      <c r="EN8" s="99">
        <v>0</v>
      </c>
      <c r="EO8" s="60">
        <v>0</v>
      </c>
      <c r="EP8" s="99">
        <v>0</v>
      </c>
      <c r="EQ8" s="60">
        <v>0</v>
      </c>
      <c r="ER8" s="99">
        <v>0</v>
      </c>
      <c r="ES8" s="60">
        <f t="shared" si="0"/>
        <v>0</v>
      </c>
      <c r="ET8" s="99">
        <f>ES8/ES13</f>
        <v>0</v>
      </c>
      <c r="EU8" s="221">
        <f>IF( SUM($EQ8:ES8)&lt;0, "n/a", SUM($EQ8:ES8)/EU$74)</f>
        <v>0</v>
      </c>
      <c r="EV8" s="224">
        <f>EU8/EU13</f>
        <v>0</v>
      </c>
      <c r="EW8" s="22"/>
      <c r="EX8" s="154" t="s">
        <v>121</v>
      </c>
      <c r="EY8" s="151">
        <f>IF(ISERROR(VLOOKUP(EX8,IQSH01E!$A$1:$M$400,2,0)),0,VLOOKUP(EX8,IQSH01E!$A$1:$M$400,2,0))</f>
        <v>0</v>
      </c>
      <c r="EZ8" s="162" t="s">
        <v>122</v>
      </c>
      <c r="FA8" s="151">
        <f>IF(ISERROR(VLOOKUP(EZ8,IQSH01E!$A$1:$M$400,2,0)),0,VLOOKUP(EZ8,IQSH01E!$A$1:$M$400,2,0))</f>
        <v>0</v>
      </c>
      <c r="FB8" s="163">
        <f>+FA8+EY8</f>
        <v>0</v>
      </c>
      <c r="FC8" s="194" t="s">
        <v>117</v>
      </c>
    </row>
    <row r="9" spans="1:159" ht="21" customHeight="1" x14ac:dyDescent="0.3">
      <c r="A9" s="152"/>
      <c r="B9" s="14" t="s">
        <v>80</v>
      </c>
      <c r="C9" s="60">
        <v>300089.21000000002</v>
      </c>
      <c r="D9" s="99">
        <v>8.9558421533395341E-2</v>
      </c>
      <c r="E9" s="60">
        <v>251268.15</v>
      </c>
      <c r="F9" s="99">
        <v>7.3096199297796552E-2</v>
      </c>
      <c r="G9" s="60">
        <v>304696.34999999998</v>
      </c>
      <c r="H9" s="99">
        <v>0.10348765980463258</v>
      </c>
      <c r="I9" s="60">
        <v>328536.17</v>
      </c>
      <c r="J9" s="99">
        <v>7.9809016890142637E-2</v>
      </c>
      <c r="K9" s="60">
        <v>346491.86</v>
      </c>
      <c r="L9" s="99">
        <v>7.0022388370919411E-2</v>
      </c>
      <c r="M9" s="60">
        <v>308877.82</v>
      </c>
      <c r="N9" s="99">
        <v>7.5872781974502229E-2</v>
      </c>
      <c r="O9" s="60">
        <v>303112.96000000002</v>
      </c>
      <c r="P9" s="99">
        <v>8.8453302092414199E-2</v>
      </c>
      <c r="Q9" s="60">
        <v>400665.71</v>
      </c>
      <c r="R9" s="99">
        <v>0.10148454222430826</v>
      </c>
      <c r="S9" s="60">
        <v>471014.77</v>
      </c>
      <c r="T9" s="99">
        <v>9.9250186667205781E-2</v>
      </c>
      <c r="U9" s="60">
        <v>435365.8</v>
      </c>
      <c r="V9" s="99">
        <v>0.10365827527646855</v>
      </c>
      <c r="W9" s="60">
        <v>342631.26</v>
      </c>
      <c r="X9" s="99">
        <v>0.10617264799615704</v>
      </c>
      <c r="Y9" s="60">
        <v>348497.93</v>
      </c>
      <c r="Z9" s="99">
        <v>0.1204241026904062</v>
      </c>
      <c r="AA9" s="60">
        <v>280928.19</v>
      </c>
      <c r="AB9" s="99">
        <v>8.9494288198038882E-2</v>
      </c>
      <c r="AC9" s="60">
        <v>170798.34</v>
      </c>
      <c r="AD9" s="99">
        <v>5.4034042897796813E-2</v>
      </c>
      <c r="AE9" s="60">
        <v>234916.32</v>
      </c>
      <c r="AF9" s="99">
        <v>4.9766855830146943E-2</v>
      </c>
      <c r="AG9" s="60">
        <v>255689.07</v>
      </c>
      <c r="AH9" s="99">
        <v>5.3620921555884112E-2</v>
      </c>
      <c r="AI9" s="60">
        <v>165521.94</v>
      </c>
      <c r="AJ9" s="99">
        <v>4.883813197467668E-2</v>
      </c>
      <c r="AK9" s="60">
        <v>213989.45</v>
      </c>
      <c r="AL9" s="99">
        <v>4.6418537402812585E-2</v>
      </c>
      <c r="AM9" s="60">
        <v>310577.84999999998</v>
      </c>
      <c r="AN9" s="99">
        <v>0.10413356902816745</v>
      </c>
      <c r="AO9" s="60">
        <v>165013.19</v>
      </c>
      <c r="AP9" s="99">
        <v>5.2112029305007856E-2</v>
      </c>
      <c r="AQ9" s="60">
        <v>187799.04000000001</v>
      </c>
      <c r="AR9" s="99">
        <v>4.5843097651811535E-2</v>
      </c>
      <c r="AS9" s="60">
        <v>222401.41</v>
      </c>
      <c r="AT9" s="99">
        <v>7.2550761911429437E-2</v>
      </c>
      <c r="AU9" s="60">
        <v>188647.4</v>
      </c>
      <c r="AV9" s="99">
        <v>6.0935169774005316E-2</v>
      </c>
      <c r="AW9" s="60">
        <v>159438.24</v>
      </c>
      <c r="AX9" s="99">
        <v>7.2516693805541446E-2</v>
      </c>
      <c r="AY9" s="60">
        <v>141588.24</v>
      </c>
      <c r="AZ9" s="99">
        <v>3.5872092871684691E-2</v>
      </c>
      <c r="BA9" s="60">
        <v>212487.82</v>
      </c>
      <c r="BB9" s="99">
        <v>6.2990938197085636E-2</v>
      </c>
      <c r="BC9" s="60">
        <v>204604</v>
      </c>
      <c r="BD9" s="99">
        <v>4.0350332248217893E-2</v>
      </c>
      <c r="BE9" s="60">
        <v>121062.16</v>
      </c>
      <c r="BF9" s="99">
        <v>2.5936164371487398E-2</v>
      </c>
      <c r="BG9" s="60">
        <v>131356.72</v>
      </c>
      <c r="BH9" s="99">
        <v>2.7383497533110743E-2</v>
      </c>
      <c r="BI9" s="60">
        <v>134572.46</v>
      </c>
      <c r="BJ9" s="99">
        <v>2.81079927899314E-2</v>
      </c>
      <c r="BK9" s="60">
        <v>136342.91</v>
      </c>
      <c r="BL9" s="99">
        <v>3.8309876265533949E-2</v>
      </c>
      <c r="BM9" s="60">
        <v>131101.32</v>
      </c>
      <c r="BN9" s="99">
        <v>3.719420500715092E-2</v>
      </c>
      <c r="BO9" s="60">
        <v>143189.92000000001</v>
      </c>
      <c r="BP9" s="99">
        <v>4.0078447776496641E-2</v>
      </c>
      <c r="BQ9" s="60">
        <v>113725.1</v>
      </c>
      <c r="BR9" s="99">
        <v>3.3756994496538725E-2</v>
      </c>
      <c r="BS9" s="60">
        <v>76827.86</v>
      </c>
      <c r="BT9" s="99">
        <v>2.6071980631823709E-2</v>
      </c>
      <c r="BU9" s="60">
        <v>44595.839999999997</v>
      </c>
      <c r="BV9" s="99">
        <v>2.0510896172128999E-2</v>
      </c>
      <c r="BW9" s="60">
        <v>131159.75</v>
      </c>
      <c r="BX9" s="99">
        <v>4.3329225418055638E-2</v>
      </c>
      <c r="BY9" s="60">
        <v>111482.13</v>
      </c>
      <c r="BZ9" s="99">
        <v>3.1205828102738753E-2</v>
      </c>
      <c r="CA9" s="60">
        <v>152288.65</v>
      </c>
      <c r="CB9" s="99">
        <v>3.272095361422616E-2</v>
      </c>
      <c r="CC9" s="60">
        <v>102527.96</v>
      </c>
      <c r="CD9" s="99">
        <v>2.6886453086919539E-2</v>
      </c>
      <c r="CE9" s="60">
        <v>95885.14</v>
      </c>
      <c r="CF9" s="99">
        <v>2.1158117324628873E-2</v>
      </c>
      <c r="CG9" s="60">
        <v>65009.04</v>
      </c>
      <c r="CH9" s="99">
        <v>1.5349104964795265E-2</v>
      </c>
      <c r="CI9" s="60">
        <v>88647.69</v>
      </c>
      <c r="CJ9" s="99">
        <v>2.6894124093893173E-2</v>
      </c>
      <c r="CK9" s="60">
        <v>83046.740000000005</v>
      </c>
      <c r="CL9" s="99">
        <v>2.1848540999761242E-2</v>
      </c>
      <c r="CM9" s="60">
        <v>79863.490000000005</v>
      </c>
      <c r="CN9" s="99">
        <v>2.2268470110113778E-2</v>
      </c>
      <c r="CO9" s="60">
        <v>67982.009999999995</v>
      </c>
      <c r="CP9" s="99">
        <v>2.144093555661292E-2</v>
      </c>
      <c r="CQ9" s="60">
        <v>83982.39</v>
      </c>
      <c r="CR9" s="99">
        <v>2.6848905336254458E-2</v>
      </c>
      <c r="CS9" s="60">
        <v>44507.77</v>
      </c>
      <c r="CT9" s="99">
        <v>1.972621644688222E-2</v>
      </c>
      <c r="CU9" s="60">
        <v>92281.04</v>
      </c>
      <c r="CV9" s="99">
        <v>2.3833351357941544E-2</v>
      </c>
      <c r="CW9" s="60">
        <v>61688.27</v>
      </c>
      <c r="CX9" s="99">
        <v>1.6265355638896709E-2</v>
      </c>
      <c r="CY9" s="60">
        <v>35387.129999999997</v>
      </c>
      <c r="CZ9" s="99">
        <v>7.3688915859863591E-3</v>
      </c>
      <c r="DA9" s="60">
        <v>72246.83</v>
      </c>
      <c r="DB9" s="99">
        <v>1.5658870668371537E-2</v>
      </c>
      <c r="DC9" s="60">
        <v>49513.23</v>
      </c>
      <c r="DD9" s="99">
        <v>1.0001288447928417E-2</v>
      </c>
      <c r="DE9" s="60">
        <v>42766.15</v>
      </c>
      <c r="DF9" s="99">
        <v>1.0376405242667761E-2</v>
      </c>
      <c r="DG9" s="60">
        <v>62023.81</v>
      </c>
      <c r="DH9" s="99">
        <v>1.6764320493132874E-2</v>
      </c>
      <c r="DI9" s="60">
        <v>75204.3</v>
      </c>
      <c r="DJ9" s="99">
        <v>1.7142057464709523E-2</v>
      </c>
      <c r="DK9" s="60">
        <v>84189.79</v>
      </c>
      <c r="DL9" s="99">
        <v>2.3659434985934796E-2</v>
      </c>
      <c r="DM9" s="60">
        <v>40201.96</v>
      </c>
      <c r="DN9" s="99">
        <v>9.4287119410245458E-3</v>
      </c>
      <c r="DO9" s="60">
        <v>69292.11</v>
      </c>
      <c r="DP9" s="99">
        <v>2.1797108948951E-2</v>
      </c>
      <c r="DQ9" s="60">
        <v>66844.27</v>
      </c>
      <c r="DR9" s="99">
        <v>2.2558774669978601E-2</v>
      </c>
      <c r="DS9" s="60">
        <v>80825.22</v>
      </c>
      <c r="DT9" s="99">
        <v>2.0302870221950098E-2</v>
      </c>
      <c r="DU9" s="60">
        <v>44235.040000000001</v>
      </c>
      <c r="DV9" s="99">
        <v>1.1475419693996038E-2</v>
      </c>
      <c r="DW9" s="60">
        <v>72040.63</v>
      </c>
      <c r="DX9" s="99">
        <v>1.8176403017126325E-2</v>
      </c>
      <c r="DY9" s="60">
        <v>51343.39</v>
      </c>
      <c r="DZ9" s="99">
        <v>1.169618535171333E-2</v>
      </c>
      <c r="EA9" s="60">
        <v>86560.33</v>
      </c>
      <c r="EB9" s="99">
        <v>1.7696600782782516E-2</v>
      </c>
      <c r="EC9" s="60">
        <v>42044.02</v>
      </c>
      <c r="ED9" s="99">
        <v>1.0177983418154663E-2</v>
      </c>
      <c r="EE9" s="60">
        <v>46371.199999999997</v>
      </c>
      <c r="EF9" s="99">
        <v>1.3478174412620402E-2</v>
      </c>
      <c r="EG9" s="60">
        <v>70067.350000000006</v>
      </c>
      <c r="EH9" s="99">
        <v>1.9603597524616892E-2</v>
      </c>
      <c r="EI9" s="60">
        <v>32805.730000000003</v>
      </c>
      <c r="EJ9" s="99">
        <v>8.9910089718433801E-3</v>
      </c>
      <c r="EK9" s="60">
        <v>64404.73</v>
      </c>
      <c r="EL9" s="99">
        <v>1.6987078743704823E-2</v>
      </c>
      <c r="EM9" s="60">
        <v>56089.1</v>
      </c>
      <c r="EN9" s="99">
        <v>1.7261878338668258E-2</v>
      </c>
      <c r="EO9" s="60">
        <v>40838.86</v>
      </c>
      <c r="EP9" s="99">
        <v>1.3744527819732835E-2</v>
      </c>
      <c r="EQ9" s="60">
        <v>50181.63</v>
      </c>
      <c r="ER9" s="99">
        <v>1.0686901904457145E-2</v>
      </c>
      <c r="ES9" s="60">
        <f t="shared" si="0"/>
        <v>69826.92</v>
      </c>
      <c r="ET9" s="99">
        <f>ES9/ES13</f>
        <v>1.7756803916277545E-2</v>
      </c>
      <c r="EU9" s="221">
        <f>IF( SUM($EQ9:ES9)&lt;0, "n/a", SUM($EQ9:ES9)/EU$74)</f>
        <v>60004.280343450955</v>
      </c>
      <c r="EV9" s="224">
        <f>EU9/EU13</f>
        <v>1.3909158398319065E-2</v>
      </c>
      <c r="EW9" s="22"/>
      <c r="EX9" s="96" t="s">
        <v>40</v>
      </c>
      <c r="EY9" s="153">
        <f>IF(ISERROR(VLOOKUP(EX9,IQSH01E!$A$1:$M$400,2,0)),0,VLOOKUP(EX9,IQSH01E!$A$1:$M$400,2,0))</f>
        <v>69826.92</v>
      </c>
      <c r="EZ9" s="164" t="s">
        <v>41</v>
      </c>
      <c r="FA9" s="153">
        <f>IF(ISERROR(VLOOKUP(EZ9,IQSH01E!$A$1:$M$400,2,0)),0,VLOOKUP(EZ9,IQSH01E!$A$1:$M$400,2,0))</f>
        <v>0</v>
      </c>
      <c r="FB9" s="195">
        <f t="shared" si="1"/>
        <v>69826.92</v>
      </c>
      <c r="FC9" s="185" t="s">
        <v>118</v>
      </c>
    </row>
    <row r="10" spans="1:159" ht="21" customHeight="1" x14ac:dyDescent="0.3">
      <c r="A10" s="5"/>
      <c r="B10" s="14" t="s">
        <v>81</v>
      </c>
      <c r="C10" s="18">
        <v>0</v>
      </c>
      <c r="D10" s="92">
        <v>0</v>
      </c>
      <c r="E10" s="18">
        <v>0</v>
      </c>
      <c r="F10" s="92">
        <v>0</v>
      </c>
      <c r="G10" s="18">
        <v>0</v>
      </c>
      <c r="H10" s="92">
        <v>0</v>
      </c>
      <c r="I10" s="18">
        <v>0</v>
      </c>
      <c r="J10" s="92">
        <v>0</v>
      </c>
      <c r="K10" s="18">
        <v>0</v>
      </c>
      <c r="L10" s="92">
        <v>0</v>
      </c>
      <c r="M10" s="18">
        <v>0</v>
      </c>
      <c r="N10" s="92">
        <v>0</v>
      </c>
      <c r="O10" s="18">
        <v>0</v>
      </c>
      <c r="P10" s="92">
        <v>0</v>
      </c>
      <c r="Q10" s="18">
        <v>0</v>
      </c>
      <c r="R10" s="92">
        <v>0</v>
      </c>
      <c r="S10" s="18">
        <v>0</v>
      </c>
      <c r="T10" s="92">
        <v>0</v>
      </c>
      <c r="U10" s="18">
        <v>0</v>
      </c>
      <c r="V10" s="92">
        <v>0</v>
      </c>
      <c r="W10" s="18">
        <v>0</v>
      </c>
      <c r="X10" s="92">
        <v>0</v>
      </c>
      <c r="Y10" s="18">
        <v>0</v>
      </c>
      <c r="Z10" s="92">
        <v>0</v>
      </c>
      <c r="AA10" s="18">
        <v>0</v>
      </c>
      <c r="AB10" s="92">
        <v>0</v>
      </c>
      <c r="AC10" s="18">
        <v>0</v>
      </c>
      <c r="AD10" s="92">
        <v>0</v>
      </c>
      <c r="AE10" s="18">
        <v>0</v>
      </c>
      <c r="AF10" s="92">
        <v>0</v>
      </c>
      <c r="AG10" s="18">
        <v>0</v>
      </c>
      <c r="AH10" s="92">
        <v>0</v>
      </c>
      <c r="AI10" s="18">
        <v>0</v>
      </c>
      <c r="AJ10" s="92">
        <v>0</v>
      </c>
      <c r="AK10" s="18">
        <v>0</v>
      </c>
      <c r="AL10" s="92">
        <v>0</v>
      </c>
      <c r="AM10" s="18">
        <v>0</v>
      </c>
      <c r="AN10" s="92">
        <v>0</v>
      </c>
      <c r="AO10" s="18">
        <v>0</v>
      </c>
      <c r="AP10" s="92">
        <v>0</v>
      </c>
      <c r="AQ10" s="18">
        <v>0</v>
      </c>
      <c r="AR10" s="92">
        <v>0</v>
      </c>
      <c r="AS10" s="18">
        <v>0</v>
      </c>
      <c r="AT10" s="92">
        <v>0</v>
      </c>
      <c r="AU10" s="18">
        <v>0</v>
      </c>
      <c r="AV10" s="92">
        <v>0</v>
      </c>
      <c r="AW10" s="18">
        <v>0</v>
      </c>
      <c r="AX10" s="92">
        <v>0</v>
      </c>
      <c r="AY10" s="18">
        <v>0</v>
      </c>
      <c r="AZ10" s="92">
        <v>0</v>
      </c>
      <c r="BA10" s="18">
        <v>0</v>
      </c>
      <c r="BB10" s="92">
        <v>0</v>
      </c>
      <c r="BC10" s="18">
        <v>0</v>
      </c>
      <c r="BD10" s="92">
        <v>0</v>
      </c>
      <c r="BE10" s="18">
        <v>0</v>
      </c>
      <c r="BF10" s="92">
        <v>0</v>
      </c>
      <c r="BG10" s="18">
        <v>0</v>
      </c>
      <c r="BH10" s="92">
        <v>0</v>
      </c>
      <c r="BI10" s="18">
        <v>0</v>
      </c>
      <c r="BJ10" s="92">
        <v>0</v>
      </c>
      <c r="BK10" s="18">
        <v>0</v>
      </c>
      <c r="BL10" s="92">
        <v>0</v>
      </c>
      <c r="BM10" s="18">
        <v>0</v>
      </c>
      <c r="BN10" s="92">
        <v>0</v>
      </c>
      <c r="BO10" s="18">
        <v>0</v>
      </c>
      <c r="BP10" s="92">
        <v>0</v>
      </c>
      <c r="BQ10" s="18">
        <v>0</v>
      </c>
      <c r="BR10" s="92">
        <v>0</v>
      </c>
      <c r="BS10" s="18">
        <v>0</v>
      </c>
      <c r="BT10" s="92">
        <v>0</v>
      </c>
      <c r="BU10" s="18">
        <v>0</v>
      </c>
      <c r="BV10" s="92">
        <v>0</v>
      </c>
      <c r="BW10" s="18">
        <v>0</v>
      </c>
      <c r="BX10" s="92">
        <v>0</v>
      </c>
      <c r="BY10" s="18">
        <v>0</v>
      </c>
      <c r="BZ10" s="92">
        <v>0</v>
      </c>
      <c r="CA10" s="18">
        <v>0</v>
      </c>
      <c r="CB10" s="92">
        <v>0</v>
      </c>
      <c r="CC10" s="18">
        <v>0</v>
      </c>
      <c r="CD10" s="92">
        <v>0</v>
      </c>
      <c r="CE10" s="18">
        <v>0</v>
      </c>
      <c r="CF10" s="92">
        <v>0</v>
      </c>
      <c r="CG10" s="18">
        <v>0</v>
      </c>
      <c r="CH10" s="92">
        <v>0</v>
      </c>
      <c r="CI10" s="18">
        <v>0</v>
      </c>
      <c r="CJ10" s="92">
        <v>0</v>
      </c>
      <c r="CK10" s="18">
        <v>0</v>
      </c>
      <c r="CL10" s="92">
        <v>0</v>
      </c>
      <c r="CM10" s="18">
        <v>0</v>
      </c>
      <c r="CN10" s="92">
        <v>0</v>
      </c>
      <c r="CO10" s="18">
        <v>0</v>
      </c>
      <c r="CP10" s="92">
        <v>0</v>
      </c>
      <c r="CQ10" s="18">
        <v>0</v>
      </c>
      <c r="CR10" s="92">
        <v>0</v>
      </c>
      <c r="CS10" s="18">
        <v>0</v>
      </c>
      <c r="CT10" s="92">
        <v>0</v>
      </c>
      <c r="CU10" s="18">
        <v>0</v>
      </c>
      <c r="CV10" s="92">
        <v>0</v>
      </c>
      <c r="CW10" s="18">
        <v>0</v>
      </c>
      <c r="CX10" s="92">
        <v>0</v>
      </c>
      <c r="CY10" s="18">
        <v>0</v>
      </c>
      <c r="CZ10" s="92">
        <v>0</v>
      </c>
      <c r="DA10" s="18">
        <v>0</v>
      </c>
      <c r="DB10" s="92">
        <v>0</v>
      </c>
      <c r="DC10" s="18">
        <v>0</v>
      </c>
      <c r="DD10" s="92">
        <v>0</v>
      </c>
      <c r="DE10" s="18">
        <v>0</v>
      </c>
      <c r="DF10" s="92">
        <v>0</v>
      </c>
      <c r="DG10" s="18">
        <v>0</v>
      </c>
      <c r="DH10" s="92">
        <v>0</v>
      </c>
      <c r="DI10" s="18">
        <v>0</v>
      </c>
      <c r="DJ10" s="92">
        <v>0</v>
      </c>
      <c r="DK10" s="18">
        <v>0</v>
      </c>
      <c r="DL10" s="92">
        <v>0</v>
      </c>
      <c r="DM10" s="18">
        <v>0</v>
      </c>
      <c r="DN10" s="92">
        <v>0</v>
      </c>
      <c r="DO10" s="18">
        <v>0</v>
      </c>
      <c r="DP10" s="92">
        <v>0</v>
      </c>
      <c r="DQ10" s="18">
        <v>0</v>
      </c>
      <c r="DR10" s="92">
        <v>0</v>
      </c>
      <c r="DS10" s="18">
        <v>0</v>
      </c>
      <c r="DT10" s="92">
        <v>0</v>
      </c>
      <c r="DU10" s="18">
        <v>0</v>
      </c>
      <c r="DV10" s="92">
        <v>0</v>
      </c>
      <c r="DW10" s="18">
        <v>0</v>
      </c>
      <c r="DX10" s="92">
        <v>0</v>
      </c>
      <c r="DY10" s="18">
        <v>0</v>
      </c>
      <c r="DZ10" s="92">
        <v>0</v>
      </c>
      <c r="EA10" s="18">
        <v>0</v>
      </c>
      <c r="EB10" s="92">
        <v>0</v>
      </c>
      <c r="EC10" s="18">
        <v>0</v>
      </c>
      <c r="ED10" s="92">
        <v>0</v>
      </c>
      <c r="EE10" s="18">
        <v>0</v>
      </c>
      <c r="EF10" s="92">
        <v>0</v>
      </c>
      <c r="EG10" s="18">
        <v>0</v>
      </c>
      <c r="EH10" s="92">
        <v>0</v>
      </c>
      <c r="EI10" s="18">
        <v>0</v>
      </c>
      <c r="EJ10" s="92">
        <v>0</v>
      </c>
      <c r="EK10" s="18">
        <v>0</v>
      </c>
      <c r="EL10" s="92">
        <v>0</v>
      </c>
      <c r="EM10" s="18">
        <v>0</v>
      </c>
      <c r="EN10" s="92">
        <v>0</v>
      </c>
      <c r="EO10" s="18">
        <v>0</v>
      </c>
      <c r="EP10" s="92">
        <v>0</v>
      </c>
      <c r="EQ10" s="18">
        <v>0</v>
      </c>
      <c r="ER10" s="92">
        <v>0</v>
      </c>
      <c r="ES10" s="18">
        <f t="shared" si="0"/>
        <v>0</v>
      </c>
      <c r="ET10" s="92">
        <f>ES10/ES13</f>
        <v>0</v>
      </c>
      <c r="EU10" s="221">
        <f>IF( SUM($EQ10:ES10)&lt;0, "n/a", SUM($EQ10:ES10)/EU$74)</f>
        <v>0</v>
      </c>
      <c r="EV10" s="224">
        <f>EU10/EU13</f>
        <v>0</v>
      </c>
      <c r="EW10" s="22"/>
      <c r="EX10" s="96" t="s">
        <v>110</v>
      </c>
      <c r="EY10" s="35">
        <f>IF(ISERROR(VLOOKUP(EX10,IQSH01E!$A$1:$M$400,2,0)),0,VLOOKUP(EX10,IQSH01E!$A$1:$M$400,2,0))</f>
        <v>0</v>
      </c>
      <c r="EZ10" s="56" t="s">
        <v>129</v>
      </c>
      <c r="FA10" s="35">
        <f>IF(ISERROR(VLOOKUP(EZ10,IQSH01E!$A$1:$M$400,2,0)),0,VLOOKUP(EZ10,IQSH01E!$A$1:$M$400,2,0))</f>
        <v>0</v>
      </c>
      <c r="FB10" s="189">
        <f t="shared" si="1"/>
        <v>0</v>
      </c>
      <c r="FC10" s="182" t="s">
        <v>123</v>
      </c>
    </row>
    <row r="11" spans="1:159" ht="21" customHeight="1" x14ac:dyDescent="0.3">
      <c r="A11" s="5" t="s">
        <v>86</v>
      </c>
      <c r="B11" s="14" t="s">
        <v>82</v>
      </c>
      <c r="C11" s="18">
        <v>28.71</v>
      </c>
      <c r="D11" s="92">
        <v>8.5681930457405648E-6</v>
      </c>
      <c r="E11" s="18">
        <v>0</v>
      </c>
      <c r="F11" s="92">
        <v>0</v>
      </c>
      <c r="G11" s="18">
        <v>0</v>
      </c>
      <c r="H11" s="92">
        <v>0</v>
      </c>
      <c r="I11" s="18">
        <v>247.07</v>
      </c>
      <c r="J11" s="92">
        <v>6.0019004309472358E-5</v>
      </c>
      <c r="K11" s="18">
        <v>13.84</v>
      </c>
      <c r="L11" s="92">
        <v>2.7969195439498197E-6</v>
      </c>
      <c r="M11" s="18">
        <v>2382.34</v>
      </c>
      <c r="N11" s="92">
        <v>5.8519826191837164E-4</v>
      </c>
      <c r="O11" s="18">
        <v>0</v>
      </c>
      <c r="P11" s="92">
        <v>0</v>
      </c>
      <c r="Q11" s="18">
        <v>0</v>
      </c>
      <c r="R11" s="92">
        <v>0</v>
      </c>
      <c r="S11" s="18">
        <v>0</v>
      </c>
      <c r="T11" s="92">
        <v>0</v>
      </c>
      <c r="U11" s="18">
        <v>8577.7999999999993</v>
      </c>
      <c r="V11" s="92">
        <v>2.042328436607772E-3</v>
      </c>
      <c r="W11" s="18">
        <v>172.4</v>
      </c>
      <c r="X11" s="92">
        <v>5.3422342475515731E-5</v>
      </c>
      <c r="Y11" s="18">
        <v>23.6</v>
      </c>
      <c r="Z11" s="92">
        <v>8.1550235420152601E-6</v>
      </c>
      <c r="AA11" s="18">
        <v>22.28</v>
      </c>
      <c r="AB11" s="92">
        <v>7.0976598719135535E-6</v>
      </c>
      <c r="AC11" s="18">
        <v>0</v>
      </c>
      <c r="AD11" s="92">
        <v>0</v>
      </c>
      <c r="AE11" s="18">
        <v>176.49</v>
      </c>
      <c r="AF11" s="92">
        <v>3.7389281363945398E-5</v>
      </c>
      <c r="AG11" s="18">
        <v>0</v>
      </c>
      <c r="AH11" s="92">
        <v>0</v>
      </c>
      <c r="AI11" s="18">
        <v>0</v>
      </c>
      <c r="AJ11" s="92">
        <v>0</v>
      </c>
      <c r="AK11" s="18">
        <v>43</v>
      </c>
      <c r="AL11" s="92">
        <v>9.3275491306741571E-6</v>
      </c>
      <c r="AM11" s="18">
        <v>1033.19</v>
      </c>
      <c r="AN11" s="92">
        <v>3.4641801462729019E-4</v>
      </c>
      <c r="AO11" s="18">
        <v>7.8</v>
      </c>
      <c r="AP11" s="92">
        <v>2.4632808357868926E-6</v>
      </c>
      <c r="AQ11" s="18">
        <v>34.479999999999997</v>
      </c>
      <c r="AR11" s="92">
        <v>8.4168162256551549E-6</v>
      </c>
      <c r="AS11" s="18">
        <v>2344.06</v>
      </c>
      <c r="AT11" s="92">
        <v>7.6466843877520956E-4</v>
      </c>
      <c r="AU11" s="18">
        <v>0</v>
      </c>
      <c r="AV11" s="92">
        <v>0</v>
      </c>
      <c r="AW11" s="18">
        <v>0</v>
      </c>
      <c r="AX11" s="92">
        <v>0</v>
      </c>
      <c r="AY11" s="18">
        <v>88</v>
      </c>
      <c r="AZ11" s="92">
        <v>2.2295242688999121E-5</v>
      </c>
      <c r="BA11" s="18">
        <v>0</v>
      </c>
      <c r="BB11" s="92">
        <v>0</v>
      </c>
      <c r="BC11" s="18">
        <v>0</v>
      </c>
      <c r="BD11" s="92">
        <v>0</v>
      </c>
      <c r="BE11" s="18">
        <v>0</v>
      </c>
      <c r="BF11" s="92">
        <v>0</v>
      </c>
      <c r="BG11" s="18">
        <v>45.84</v>
      </c>
      <c r="BH11" s="92">
        <v>9.5561119896857689E-6</v>
      </c>
      <c r="BI11" s="18">
        <v>129.1</v>
      </c>
      <c r="BJ11" s="92">
        <v>2.6964966451383468E-5</v>
      </c>
      <c r="BK11" s="18">
        <v>1.5</v>
      </c>
      <c r="BL11" s="92">
        <v>4.2147269996144955E-7</v>
      </c>
      <c r="BM11" s="18">
        <v>0</v>
      </c>
      <c r="BN11" s="92">
        <v>0</v>
      </c>
      <c r="BO11" s="18">
        <v>16.989999999999998</v>
      </c>
      <c r="BP11" s="92">
        <v>4.7554522533616737E-6</v>
      </c>
      <c r="BQ11" s="18">
        <v>49.28</v>
      </c>
      <c r="BR11" s="92">
        <v>1.4627770727741091E-5</v>
      </c>
      <c r="BS11" s="18">
        <v>196.49</v>
      </c>
      <c r="BT11" s="92">
        <v>6.6680023032621768E-5</v>
      </c>
      <c r="BU11" s="18">
        <v>0</v>
      </c>
      <c r="BV11" s="92">
        <v>0</v>
      </c>
      <c r="BW11" s="18">
        <v>95.85</v>
      </c>
      <c r="BX11" s="92">
        <v>3.166448743856734E-5</v>
      </c>
      <c r="BY11" s="18">
        <v>2884.45</v>
      </c>
      <c r="BZ11" s="92">
        <v>8.0740878265372917E-4</v>
      </c>
      <c r="CA11" s="18">
        <v>135.30000000000001</v>
      </c>
      <c r="CB11" s="92">
        <v>2.9070748371627172E-5</v>
      </c>
      <c r="CC11" s="18">
        <v>0</v>
      </c>
      <c r="CD11" s="92">
        <v>0</v>
      </c>
      <c r="CE11" s="18">
        <v>27.55</v>
      </c>
      <c r="CF11" s="92">
        <v>6.0792124023965072E-6</v>
      </c>
      <c r="CG11" s="18">
        <v>0</v>
      </c>
      <c r="CH11" s="92">
        <v>0</v>
      </c>
      <c r="CI11" s="18">
        <v>0</v>
      </c>
      <c r="CJ11" s="92">
        <v>0</v>
      </c>
      <c r="CK11" s="18">
        <v>0</v>
      </c>
      <c r="CL11" s="92">
        <v>0</v>
      </c>
      <c r="CM11" s="18">
        <v>52.8</v>
      </c>
      <c r="CN11" s="92">
        <v>1.4722312057912912E-5</v>
      </c>
      <c r="CO11" s="18">
        <v>1371.73</v>
      </c>
      <c r="CP11" s="92">
        <v>4.3263172905703501E-4</v>
      </c>
      <c r="CQ11" s="18">
        <v>449.2</v>
      </c>
      <c r="CR11" s="92">
        <v>1.4360782393839353E-4</v>
      </c>
      <c r="CS11" s="18">
        <v>51.24</v>
      </c>
      <c r="CT11" s="92">
        <v>2.2709997169892921E-5</v>
      </c>
      <c r="CU11" s="18">
        <v>68.97</v>
      </c>
      <c r="CV11" s="92">
        <v>1.7812827457917989E-5</v>
      </c>
      <c r="CW11" s="18">
        <v>38.11</v>
      </c>
      <c r="CX11" s="92">
        <v>1.004846956152853E-5</v>
      </c>
      <c r="CY11" s="18">
        <v>136.86000000000001</v>
      </c>
      <c r="CZ11" s="92">
        <v>2.8499245416570752E-5</v>
      </c>
      <c r="DA11" s="18">
        <v>63.55</v>
      </c>
      <c r="DB11" s="92">
        <v>1.3773908571144381E-5</v>
      </c>
      <c r="DC11" s="18">
        <v>152.41</v>
      </c>
      <c r="DD11" s="92">
        <v>3.0785637946641128E-5</v>
      </c>
      <c r="DE11" s="18">
        <v>28.7</v>
      </c>
      <c r="DF11" s="92">
        <v>6.9635174189064182E-6</v>
      </c>
      <c r="DG11" s="18">
        <v>36.1</v>
      </c>
      <c r="DH11" s="92">
        <v>9.7574136416659464E-6</v>
      </c>
      <c r="DI11" s="18">
        <v>2728.48</v>
      </c>
      <c r="DJ11" s="92">
        <v>6.2192934381824765E-4</v>
      </c>
      <c r="DK11" s="18">
        <v>49.2</v>
      </c>
      <c r="DL11" s="92">
        <v>1.3826429562396961E-5</v>
      </c>
      <c r="DM11" s="18">
        <v>98.25</v>
      </c>
      <c r="DN11" s="92">
        <v>2.3042929951814828E-5</v>
      </c>
      <c r="DO11" s="18">
        <v>5.73</v>
      </c>
      <c r="DP11" s="92">
        <v>1.8024769959738452E-6</v>
      </c>
      <c r="DQ11" s="18">
        <v>104.96</v>
      </c>
      <c r="DR11" s="92">
        <v>3.5422168412654571E-5</v>
      </c>
      <c r="DS11" s="18">
        <v>144.31</v>
      </c>
      <c r="DT11" s="92">
        <v>3.6249913105459148E-5</v>
      </c>
      <c r="DU11" s="18">
        <v>153.96</v>
      </c>
      <c r="DV11" s="92">
        <v>3.9940183530694894E-5</v>
      </c>
      <c r="DW11" s="18">
        <v>34.840000000000003</v>
      </c>
      <c r="DX11" s="92">
        <v>8.7903989889688802E-6</v>
      </c>
      <c r="DY11" s="18">
        <v>30110.02</v>
      </c>
      <c r="DZ11" s="92">
        <v>6.8591570378152946E-3</v>
      </c>
      <c r="EA11" s="18">
        <v>673.11</v>
      </c>
      <c r="EB11" s="92">
        <v>1.376122174314578E-4</v>
      </c>
      <c r="EC11" s="18">
        <v>192.87</v>
      </c>
      <c r="ED11" s="92">
        <v>4.6689818477383707E-5</v>
      </c>
      <c r="EE11" s="18">
        <v>265.76</v>
      </c>
      <c r="EF11" s="92">
        <v>7.7245351250301871E-5</v>
      </c>
      <c r="EG11" s="18">
        <v>53.05</v>
      </c>
      <c r="EH11" s="92">
        <v>1.4842445856464187E-5</v>
      </c>
      <c r="EI11" s="18">
        <v>68.959999999999994</v>
      </c>
      <c r="EJ11" s="92">
        <v>1.889974643753757E-5</v>
      </c>
      <c r="EK11" s="18">
        <v>0</v>
      </c>
      <c r="EL11" s="92">
        <v>0</v>
      </c>
      <c r="EM11" s="18">
        <v>7565.25</v>
      </c>
      <c r="EN11" s="92">
        <v>2.3282674370173535E-3</v>
      </c>
      <c r="EO11" s="18">
        <v>0</v>
      </c>
      <c r="EP11" s="92">
        <v>0</v>
      </c>
      <c r="EQ11" s="18">
        <v>39.29</v>
      </c>
      <c r="ER11" s="92">
        <v>8.3673722002677324E-6</v>
      </c>
      <c r="ES11" s="18">
        <f t="shared" si="0"/>
        <v>0</v>
      </c>
      <c r="ET11" s="92">
        <f>ES11/ES13</f>
        <v>0</v>
      </c>
      <c r="EU11" s="221">
        <f>IF( SUM($EQ11:ES11)&lt;0, "n/a", SUM($EQ11:ES11)/EU$74)</f>
        <v>19.645004183686101</v>
      </c>
      <c r="EV11" s="224">
        <f>EU11/EU13</f>
        <v>4.5537663873732888E-6</v>
      </c>
      <c r="EW11" s="22"/>
      <c r="EX11" s="96" t="s">
        <v>21</v>
      </c>
      <c r="EY11" s="35">
        <f>IF(ISERROR(VLOOKUP(EX11,IQSH01E!$A$1:$M$400,2,0)),0,VLOOKUP(EX11,IQSH01E!$A$1:$M$400,2,0))</f>
        <v>0</v>
      </c>
      <c r="EZ11" s="56" t="s">
        <v>22</v>
      </c>
      <c r="FA11" s="35">
        <f>IF(ISERROR(VLOOKUP(EZ11,IQSH01E!$A$1:$M$400,2,0)),0,VLOOKUP(EZ11,IQSH01E!$A$1:$M$400,2,0))</f>
        <v>0</v>
      </c>
      <c r="FB11" s="189">
        <f t="shared" si="1"/>
        <v>0</v>
      </c>
      <c r="FC11" s="182" t="s">
        <v>118</v>
      </c>
    </row>
    <row r="12" spans="1:159" ht="21" customHeight="1" x14ac:dyDescent="0.3">
      <c r="A12" s="3"/>
      <c r="B12" s="14" t="s">
        <v>102</v>
      </c>
      <c r="C12" s="18">
        <v>0</v>
      </c>
      <c r="D12" s="92">
        <v>0</v>
      </c>
      <c r="E12" s="18">
        <v>0</v>
      </c>
      <c r="F12" s="92">
        <v>0</v>
      </c>
      <c r="G12" s="18">
        <v>0</v>
      </c>
      <c r="H12" s="92">
        <v>0</v>
      </c>
      <c r="I12" s="18">
        <v>0</v>
      </c>
      <c r="J12" s="92">
        <v>0</v>
      </c>
      <c r="K12" s="18">
        <v>5191.9799999999996</v>
      </c>
      <c r="L12" s="92">
        <v>1.0492449663147821E-3</v>
      </c>
      <c r="M12" s="18">
        <v>0</v>
      </c>
      <c r="N12" s="92">
        <v>0</v>
      </c>
      <c r="O12" s="18">
        <v>0</v>
      </c>
      <c r="P12" s="92">
        <v>0</v>
      </c>
      <c r="Q12" s="18">
        <v>3135.01</v>
      </c>
      <c r="R12" s="92">
        <v>7.9406609245055845E-4</v>
      </c>
      <c r="S12" s="18">
        <v>1034.2</v>
      </c>
      <c r="T12" s="92">
        <v>2.1792213235951013E-4</v>
      </c>
      <c r="U12" s="18">
        <v>693</v>
      </c>
      <c r="V12" s="92">
        <v>1.6499960439380566E-4</v>
      </c>
      <c r="W12" s="18">
        <v>0</v>
      </c>
      <c r="X12" s="92">
        <v>0</v>
      </c>
      <c r="Y12" s="18">
        <v>0</v>
      </c>
      <c r="Z12" s="92">
        <v>0</v>
      </c>
      <c r="AA12" s="18">
        <v>0</v>
      </c>
      <c r="AB12" s="92">
        <v>0</v>
      </c>
      <c r="AC12" s="18">
        <v>0</v>
      </c>
      <c r="AD12" s="92">
        <v>0</v>
      </c>
      <c r="AE12" s="18">
        <v>522.49</v>
      </c>
      <c r="AF12" s="92">
        <v>1.1068913604083989E-4</v>
      </c>
      <c r="AG12" s="18">
        <v>0</v>
      </c>
      <c r="AH12" s="92">
        <v>0</v>
      </c>
      <c r="AI12" s="18">
        <v>17531.28</v>
      </c>
      <c r="AJ12" s="92">
        <v>5.1726977482562716E-3</v>
      </c>
      <c r="AK12" s="18">
        <v>6478.98</v>
      </c>
      <c r="AL12" s="92">
        <v>1.4054187038757032E-3</v>
      </c>
      <c r="AM12" s="18">
        <v>0</v>
      </c>
      <c r="AN12" s="92">
        <v>0</v>
      </c>
      <c r="AO12" s="18">
        <v>0</v>
      </c>
      <c r="AP12" s="92">
        <v>0</v>
      </c>
      <c r="AQ12" s="18">
        <v>30762.639999999999</v>
      </c>
      <c r="AR12" s="92">
        <v>7.5093818879346961E-3</v>
      </c>
      <c r="AS12" s="18">
        <v>0</v>
      </c>
      <c r="AT12" s="92">
        <v>0</v>
      </c>
      <c r="AU12" s="18">
        <v>0</v>
      </c>
      <c r="AV12" s="92">
        <v>0</v>
      </c>
      <c r="AW12" s="18">
        <v>12856.26</v>
      </c>
      <c r="AX12" s="92">
        <v>5.8473642828999516E-3</v>
      </c>
      <c r="AY12" s="18">
        <v>0</v>
      </c>
      <c r="AZ12" s="92">
        <v>0</v>
      </c>
      <c r="BA12" s="18">
        <v>0</v>
      </c>
      <c r="BB12" s="92">
        <v>0</v>
      </c>
      <c r="BC12" s="18">
        <v>4675.01</v>
      </c>
      <c r="BD12" s="92">
        <v>9.2196734552472644E-4</v>
      </c>
      <c r="BE12" s="18">
        <v>0</v>
      </c>
      <c r="BF12" s="92">
        <v>0</v>
      </c>
      <c r="BG12" s="18">
        <v>0</v>
      </c>
      <c r="BH12" s="92">
        <v>0</v>
      </c>
      <c r="BI12" s="18">
        <v>2394.02</v>
      </c>
      <c r="BJ12" s="92">
        <v>5.0003616563858296E-4</v>
      </c>
      <c r="BK12" s="18">
        <v>0</v>
      </c>
      <c r="BL12" s="92">
        <v>0</v>
      </c>
      <c r="BM12" s="18">
        <v>0</v>
      </c>
      <c r="BN12" s="92">
        <v>0</v>
      </c>
      <c r="BO12" s="18">
        <v>0</v>
      </c>
      <c r="BP12" s="92">
        <v>0</v>
      </c>
      <c r="BQ12" s="18">
        <v>0</v>
      </c>
      <c r="BR12" s="92">
        <v>0</v>
      </c>
      <c r="BS12" s="18">
        <v>0</v>
      </c>
      <c r="BT12" s="92">
        <v>0</v>
      </c>
      <c r="BU12" s="18">
        <v>0</v>
      </c>
      <c r="BV12" s="92">
        <v>0</v>
      </c>
      <c r="BW12" s="18">
        <v>297</v>
      </c>
      <c r="BX12" s="92">
        <v>9.8115313189926987E-5</v>
      </c>
      <c r="BY12" s="18">
        <v>0</v>
      </c>
      <c r="BZ12" s="92">
        <v>0</v>
      </c>
      <c r="CA12" s="18">
        <v>0</v>
      </c>
      <c r="CB12" s="92">
        <v>0</v>
      </c>
      <c r="CC12" s="18">
        <v>0</v>
      </c>
      <c r="CD12" s="92">
        <v>0</v>
      </c>
      <c r="CE12" s="18">
        <v>0</v>
      </c>
      <c r="CF12" s="92">
        <v>0</v>
      </c>
      <c r="CG12" s="18">
        <v>0</v>
      </c>
      <c r="CH12" s="92">
        <v>0</v>
      </c>
      <c r="CI12" s="18">
        <v>0</v>
      </c>
      <c r="CJ12" s="92">
        <v>0</v>
      </c>
      <c r="CK12" s="18">
        <v>4961.01</v>
      </c>
      <c r="CL12" s="92">
        <v>1.3051786305546193E-3</v>
      </c>
      <c r="CM12" s="18">
        <v>0</v>
      </c>
      <c r="CN12" s="92">
        <v>0</v>
      </c>
      <c r="CO12" s="18">
        <v>0</v>
      </c>
      <c r="CP12" s="92">
        <v>0</v>
      </c>
      <c r="CQ12" s="18">
        <v>0</v>
      </c>
      <c r="CR12" s="92">
        <v>0</v>
      </c>
      <c r="CS12" s="18">
        <v>0</v>
      </c>
      <c r="CT12" s="92">
        <v>0</v>
      </c>
      <c r="CU12" s="18">
        <v>0</v>
      </c>
      <c r="CV12" s="92">
        <v>0</v>
      </c>
      <c r="CW12" s="18">
        <v>0</v>
      </c>
      <c r="CX12" s="92">
        <v>0</v>
      </c>
      <c r="CY12" s="18">
        <v>0</v>
      </c>
      <c r="CZ12" s="92">
        <v>0</v>
      </c>
      <c r="DA12" s="18">
        <v>0</v>
      </c>
      <c r="DB12" s="92">
        <v>0</v>
      </c>
      <c r="DC12" s="18">
        <v>1180.5</v>
      </c>
      <c r="DD12" s="92">
        <v>2.3845184434098717E-4</v>
      </c>
      <c r="DE12" s="18">
        <v>0</v>
      </c>
      <c r="DF12" s="92">
        <v>0</v>
      </c>
      <c r="DG12" s="18">
        <v>0</v>
      </c>
      <c r="DH12" s="92">
        <v>0</v>
      </c>
      <c r="DI12" s="18">
        <v>16362.49</v>
      </c>
      <c r="DJ12" s="92">
        <v>3.729663647500674E-3</v>
      </c>
      <c r="DK12" s="18">
        <v>0</v>
      </c>
      <c r="DL12" s="92">
        <v>0</v>
      </c>
      <c r="DM12" s="18">
        <v>28359.32</v>
      </c>
      <c r="DN12" s="92">
        <v>6.6512144960926339E-3</v>
      </c>
      <c r="DO12" s="18">
        <v>0</v>
      </c>
      <c r="DP12" s="92">
        <v>0</v>
      </c>
      <c r="DQ12" s="18">
        <v>7012.56</v>
      </c>
      <c r="DR12" s="92">
        <v>2.3666166284665108E-3</v>
      </c>
      <c r="DS12" s="18">
        <v>0</v>
      </c>
      <c r="DT12" s="92">
        <v>0</v>
      </c>
      <c r="DU12" s="18">
        <v>3953.71</v>
      </c>
      <c r="DV12" s="92">
        <v>1.0256683750788757E-3</v>
      </c>
      <c r="DW12" s="18">
        <v>0</v>
      </c>
      <c r="DX12" s="92">
        <v>0</v>
      </c>
      <c r="DY12" s="18">
        <v>451</v>
      </c>
      <c r="DZ12" s="92">
        <v>1.0273921518666205E-4</v>
      </c>
      <c r="EA12" s="18">
        <v>1353</v>
      </c>
      <c r="EB12" s="92">
        <v>2.7661055427012285E-4</v>
      </c>
      <c r="EC12" s="18">
        <v>0</v>
      </c>
      <c r="ED12" s="92">
        <v>0</v>
      </c>
      <c r="EE12" s="18">
        <v>0</v>
      </c>
      <c r="EF12" s="92">
        <v>0</v>
      </c>
      <c r="EG12" s="18">
        <v>0</v>
      </c>
      <c r="EH12" s="92">
        <v>0</v>
      </c>
      <c r="EI12" s="18">
        <v>0</v>
      </c>
      <c r="EJ12" s="92">
        <v>0</v>
      </c>
      <c r="EK12" s="18">
        <v>1353.01</v>
      </c>
      <c r="EL12" s="92">
        <v>3.5686334545646038E-4</v>
      </c>
      <c r="EM12" s="18">
        <v>0</v>
      </c>
      <c r="EN12" s="92">
        <v>0</v>
      </c>
      <c r="EO12" s="18">
        <v>0</v>
      </c>
      <c r="EP12" s="92">
        <v>0</v>
      </c>
      <c r="EQ12" s="18">
        <v>0</v>
      </c>
      <c r="ER12" s="92">
        <v>0</v>
      </c>
      <c r="ES12" s="18">
        <f t="shared" si="0"/>
        <v>0</v>
      </c>
      <c r="ET12" s="92">
        <f>ES12/ES13</f>
        <v>0</v>
      </c>
      <c r="EU12" s="221">
        <f>IF( SUM($EQ12:ES12)&lt;0, "n/a", SUM($EQ12:ES12)/EU$74)</f>
        <v>0</v>
      </c>
      <c r="EV12" s="224">
        <f>EU12/EU13</f>
        <v>0</v>
      </c>
      <c r="EW12" s="22"/>
      <c r="EX12" s="96" t="s">
        <v>109</v>
      </c>
      <c r="EY12" s="35">
        <f>IF(ISERROR(VLOOKUP(EX12,IQSH01E!$A$1:$M$400,2,0)),0,VLOOKUP(EX12,IQSH01E!$A$1:$M$400,2,0))</f>
        <v>0</v>
      </c>
      <c r="EZ12" s="56" t="s">
        <v>130</v>
      </c>
      <c r="FA12" s="35">
        <f>IF(ISERROR(VLOOKUP(EZ12,IQSH01E!$A$1:$M$400,2,0)),0,VLOOKUP(EZ12,IQSH01E!$A$1:$M$400,2,0))</f>
        <v>0</v>
      </c>
      <c r="FB12" s="189">
        <f t="shared" si="1"/>
        <v>0</v>
      </c>
      <c r="FC12" s="182" t="s">
        <v>123</v>
      </c>
    </row>
    <row r="13" spans="1:159" ht="21" customHeight="1" thickBot="1" x14ac:dyDescent="0.35">
      <c r="A13" s="3"/>
      <c r="B13" s="15" t="s">
        <v>83</v>
      </c>
      <c r="C13" s="19">
        <v>3350764.8400000003</v>
      </c>
      <c r="D13" s="95">
        <v>1</v>
      </c>
      <c r="E13" s="19">
        <v>3437499.52</v>
      </c>
      <c r="F13" s="95">
        <v>1</v>
      </c>
      <c r="G13" s="19">
        <v>2944277.13</v>
      </c>
      <c r="H13" s="95">
        <v>1</v>
      </c>
      <c r="I13" s="19">
        <v>4116529.4700000007</v>
      </c>
      <c r="J13" s="95">
        <v>1</v>
      </c>
      <c r="K13" s="19">
        <v>4948301.08</v>
      </c>
      <c r="L13" s="95">
        <v>1</v>
      </c>
      <c r="M13" s="19">
        <v>4070996.3699999996</v>
      </c>
      <c r="N13" s="95">
        <v>1</v>
      </c>
      <c r="O13" s="19">
        <v>3426813.39</v>
      </c>
      <c r="P13" s="95">
        <v>1</v>
      </c>
      <c r="Q13" s="19">
        <v>3948046.6799999997</v>
      </c>
      <c r="R13" s="95">
        <v>1</v>
      </c>
      <c r="S13" s="19">
        <v>4745731.8299999991</v>
      </c>
      <c r="T13" s="95">
        <v>1</v>
      </c>
      <c r="U13" s="19">
        <v>4200010.07</v>
      </c>
      <c r="V13" s="95">
        <v>1</v>
      </c>
      <c r="W13" s="19">
        <v>3227114.2000000007</v>
      </c>
      <c r="X13" s="95">
        <v>1</v>
      </c>
      <c r="Y13" s="19">
        <v>2893921.75</v>
      </c>
      <c r="Z13" s="95">
        <v>1</v>
      </c>
      <c r="AA13" s="19">
        <v>3139062.79</v>
      </c>
      <c r="AB13" s="95">
        <v>1</v>
      </c>
      <c r="AC13" s="19">
        <v>3160939.49</v>
      </c>
      <c r="AD13" s="95">
        <v>1</v>
      </c>
      <c r="AE13" s="19">
        <v>4720336.7799999993</v>
      </c>
      <c r="AF13" s="95">
        <v>1</v>
      </c>
      <c r="AG13" s="19">
        <v>4768457.21</v>
      </c>
      <c r="AH13" s="95">
        <v>1</v>
      </c>
      <c r="AI13" s="19">
        <v>3389194.7399999998</v>
      </c>
      <c r="AJ13" s="95">
        <v>1</v>
      </c>
      <c r="AK13" s="19">
        <v>4609999.84</v>
      </c>
      <c r="AL13" s="95">
        <v>1</v>
      </c>
      <c r="AM13" s="19">
        <v>2982495.0100000002</v>
      </c>
      <c r="AN13" s="95">
        <v>1</v>
      </c>
      <c r="AO13" s="19">
        <v>3166508.62</v>
      </c>
      <c r="AP13" s="95">
        <v>1</v>
      </c>
      <c r="AQ13" s="19">
        <v>4096560.8699999996</v>
      </c>
      <c r="AR13" s="95">
        <v>1</v>
      </c>
      <c r="AS13" s="19">
        <v>3065459.33</v>
      </c>
      <c r="AT13" s="95">
        <v>1</v>
      </c>
      <c r="AU13" s="19">
        <v>3095870.59</v>
      </c>
      <c r="AV13" s="95">
        <v>1</v>
      </c>
      <c r="AW13" s="19">
        <v>2198641.88</v>
      </c>
      <c r="AX13" s="95">
        <v>1</v>
      </c>
      <c r="AY13" s="19">
        <v>3947030.37</v>
      </c>
      <c r="AZ13" s="95">
        <v>1</v>
      </c>
      <c r="BA13" s="19">
        <v>3373307.75</v>
      </c>
      <c r="BB13" s="95">
        <v>1</v>
      </c>
      <c r="BC13" s="19">
        <v>5070689.3499999996</v>
      </c>
      <c r="BD13" s="95">
        <v>1</v>
      </c>
      <c r="BE13" s="19">
        <v>4667697.1300000008</v>
      </c>
      <c r="BF13" s="95">
        <v>1</v>
      </c>
      <c r="BG13" s="19">
        <v>4796929.9700000007</v>
      </c>
      <c r="BH13" s="95">
        <v>1</v>
      </c>
      <c r="BI13" s="19">
        <v>4787693.7</v>
      </c>
      <c r="BJ13" s="95">
        <v>1</v>
      </c>
      <c r="BK13" s="19">
        <v>3558949.37</v>
      </c>
      <c r="BL13" s="95">
        <v>1</v>
      </c>
      <c r="BM13" s="19">
        <v>3524778.12</v>
      </c>
      <c r="BN13" s="95">
        <v>1</v>
      </c>
      <c r="BO13" s="19">
        <v>3572741.1599999997</v>
      </c>
      <c r="BP13" s="95">
        <v>1</v>
      </c>
      <c r="BQ13" s="19">
        <v>3368934.4000000004</v>
      </c>
      <c r="BR13" s="95">
        <v>1</v>
      </c>
      <c r="BS13" s="19">
        <v>2946759.63</v>
      </c>
      <c r="BT13" s="95">
        <v>1</v>
      </c>
      <c r="BU13" s="19">
        <v>2174251.17</v>
      </c>
      <c r="BV13" s="95">
        <v>1</v>
      </c>
      <c r="BW13" s="19">
        <v>3027050.42</v>
      </c>
      <c r="BX13" s="95">
        <v>1</v>
      </c>
      <c r="BY13" s="19">
        <v>3572477.8600000003</v>
      </c>
      <c r="BZ13" s="95">
        <v>1</v>
      </c>
      <c r="CA13" s="19">
        <v>4654162.95</v>
      </c>
      <c r="CB13" s="95">
        <v>1</v>
      </c>
      <c r="CC13" s="19">
        <v>3813368.75</v>
      </c>
      <c r="CD13" s="95">
        <v>1</v>
      </c>
      <c r="CE13" s="19">
        <v>4531837.05</v>
      </c>
      <c r="CF13" s="95">
        <v>1</v>
      </c>
      <c r="CG13" s="19">
        <v>4235363.57</v>
      </c>
      <c r="CH13" s="95">
        <v>1</v>
      </c>
      <c r="CI13" s="19">
        <v>3296173.16</v>
      </c>
      <c r="CJ13" s="95">
        <v>1</v>
      </c>
      <c r="CK13" s="19">
        <v>3801019.9399999995</v>
      </c>
      <c r="CL13" s="95">
        <v>1</v>
      </c>
      <c r="CM13" s="19">
        <v>3586393.21</v>
      </c>
      <c r="CN13" s="95">
        <v>1</v>
      </c>
      <c r="CO13" s="19">
        <v>3170664.35</v>
      </c>
      <c r="CP13" s="95">
        <v>1</v>
      </c>
      <c r="CQ13" s="19">
        <v>3127963.2800000003</v>
      </c>
      <c r="CR13" s="95">
        <v>1</v>
      </c>
      <c r="CS13" s="19">
        <v>2256275.0499999998</v>
      </c>
      <c r="CT13" s="95">
        <v>1</v>
      </c>
      <c r="CU13" s="19">
        <v>3871928.82</v>
      </c>
      <c r="CV13" s="95">
        <v>1</v>
      </c>
      <c r="CW13" s="19">
        <v>3792617.3500000006</v>
      </c>
      <c r="CX13" s="95">
        <v>1</v>
      </c>
      <c r="CY13" s="19">
        <v>4802232.41</v>
      </c>
      <c r="CZ13" s="95">
        <v>1</v>
      </c>
      <c r="DA13" s="19">
        <v>4613795.6899999995</v>
      </c>
      <c r="DB13" s="95">
        <v>1</v>
      </c>
      <c r="DC13" s="19">
        <v>4950685.1300000008</v>
      </c>
      <c r="DD13" s="95">
        <v>1</v>
      </c>
      <c r="DE13" s="19">
        <v>4121480.3200000003</v>
      </c>
      <c r="DF13" s="95">
        <v>1</v>
      </c>
      <c r="DG13" s="19">
        <v>3699750.91</v>
      </c>
      <c r="DH13" s="95">
        <v>1</v>
      </c>
      <c r="DI13" s="19">
        <v>4387122.1500000004</v>
      </c>
      <c r="DJ13" s="95">
        <v>1</v>
      </c>
      <c r="DK13" s="19">
        <v>3558402.39</v>
      </c>
      <c r="DL13" s="95">
        <v>1</v>
      </c>
      <c r="DM13" s="19">
        <v>4263780.7</v>
      </c>
      <c r="DN13" s="95">
        <v>1</v>
      </c>
      <c r="DO13" s="19">
        <v>3178958.74</v>
      </c>
      <c r="DP13" s="95">
        <v>1</v>
      </c>
      <c r="DQ13" s="19">
        <v>2963116.17</v>
      </c>
      <c r="DR13" s="95">
        <v>1</v>
      </c>
      <c r="DS13" s="19">
        <v>3980975.0599999996</v>
      </c>
      <c r="DT13" s="95">
        <v>1</v>
      </c>
      <c r="DU13" s="19">
        <v>3854764.46</v>
      </c>
      <c r="DV13" s="95">
        <v>1</v>
      </c>
      <c r="DW13" s="19">
        <v>3963415.09</v>
      </c>
      <c r="DX13" s="95">
        <v>1</v>
      </c>
      <c r="DY13" s="19">
        <v>4389755.1599999992</v>
      </c>
      <c r="DZ13" s="95">
        <v>1</v>
      </c>
      <c r="EA13" s="19">
        <v>4891353.49</v>
      </c>
      <c r="EB13" s="95">
        <v>1</v>
      </c>
      <c r="EC13" s="19">
        <v>4130879.1999999997</v>
      </c>
      <c r="ED13" s="95">
        <v>1</v>
      </c>
      <c r="EE13" s="19">
        <v>3440465.94</v>
      </c>
      <c r="EF13" s="95">
        <v>1</v>
      </c>
      <c r="EG13" s="19">
        <v>3574208.76</v>
      </c>
      <c r="EH13" s="95">
        <v>1</v>
      </c>
      <c r="EI13" s="19">
        <v>3648726.1999999997</v>
      </c>
      <c r="EJ13" s="95">
        <v>1</v>
      </c>
      <c r="EK13" s="19">
        <v>3791395.27</v>
      </c>
      <c r="EL13" s="95">
        <v>1</v>
      </c>
      <c r="EM13" s="19">
        <v>3249304.56</v>
      </c>
      <c r="EN13" s="95">
        <v>1</v>
      </c>
      <c r="EO13" s="19">
        <v>2971281.4099999997</v>
      </c>
      <c r="EP13" s="95">
        <v>1</v>
      </c>
      <c r="EQ13" s="19">
        <v>4695619.97</v>
      </c>
      <c r="ER13" s="95">
        <v>1</v>
      </c>
      <c r="ES13" s="19">
        <f>SUM(ES6:ES12)</f>
        <v>3932403.62</v>
      </c>
      <c r="ET13" s="95">
        <f>ES13/ES13</f>
        <v>1</v>
      </c>
      <c r="EU13" s="225">
        <f>IF( SUM($EQ13:ES13)&lt;0, "n/a", SUM($EQ13:ES13)/EU$74)</f>
        <v>4314012.2949999999</v>
      </c>
      <c r="EV13" s="226">
        <f>EU13/EU13</f>
        <v>1</v>
      </c>
      <c r="EW13" s="22"/>
      <c r="EX13" s="100" t="s">
        <v>148</v>
      </c>
      <c r="EY13" s="103">
        <f>IF(ISERROR(VLOOKUP(EX13,IQSH01E!$A$1:$M$400,2,0)),0,VLOOKUP(EX13,IQSH01E!$A$1:$M$400,2,0))</f>
        <v>0</v>
      </c>
      <c r="EZ13" s="102" t="s">
        <v>148</v>
      </c>
      <c r="FA13" s="103">
        <f>IF(ISERROR(VLOOKUP(EZ13,IQSH01E!$A$1:$M$400,2,0)),0,VLOOKUP(EZ13,IQSH01E!$A$1:$M$400,2,0))</f>
        <v>0</v>
      </c>
      <c r="FB13" s="196">
        <f t="shared" si="1"/>
        <v>0</v>
      </c>
      <c r="FC13" s="186"/>
    </row>
    <row r="14" spans="1:159" ht="21" customHeight="1" x14ac:dyDescent="0.3">
      <c r="A14" s="3"/>
      <c r="B14" s="14" t="s">
        <v>88</v>
      </c>
      <c r="C14" s="18">
        <v>272602.55</v>
      </c>
      <c r="D14" s="24"/>
      <c r="E14" s="18">
        <v>205451.79</v>
      </c>
      <c r="F14" s="24"/>
      <c r="G14" s="18">
        <v>281343.53000000003</v>
      </c>
      <c r="H14" s="24"/>
      <c r="I14" s="18">
        <v>341062.22</v>
      </c>
      <c r="J14" s="24"/>
      <c r="K14" s="18">
        <v>282214.65000000002</v>
      </c>
      <c r="L14" s="24"/>
      <c r="M14" s="18">
        <v>307295.81</v>
      </c>
      <c r="N14" s="24"/>
      <c r="O14" s="18">
        <v>587620.85</v>
      </c>
      <c r="P14" s="24"/>
      <c r="Q14" s="18">
        <v>476441.59</v>
      </c>
      <c r="R14" s="24"/>
      <c r="S14" s="18">
        <v>619565.64</v>
      </c>
      <c r="T14" s="24"/>
      <c r="U14" s="18">
        <v>252189.37</v>
      </c>
      <c r="V14" s="24"/>
      <c r="W14" s="18">
        <v>295237.55</v>
      </c>
      <c r="X14" s="24"/>
      <c r="Y14" s="18">
        <v>131497.31</v>
      </c>
      <c r="Z14" s="24"/>
      <c r="AA14" s="18">
        <v>300732.75</v>
      </c>
      <c r="AB14" s="24"/>
      <c r="AC14" s="18">
        <v>167873.94</v>
      </c>
      <c r="AD14" s="24"/>
      <c r="AE14" s="18">
        <v>301594.99</v>
      </c>
      <c r="AF14" s="24"/>
      <c r="AG14" s="18">
        <v>246605.96</v>
      </c>
      <c r="AH14" s="24"/>
      <c r="AI14" s="18">
        <v>157171.45000000001</v>
      </c>
      <c r="AJ14" s="24"/>
      <c r="AK14" s="18">
        <v>220872.57</v>
      </c>
      <c r="AL14" s="24"/>
      <c r="AM14" s="18">
        <v>378442.69</v>
      </c>
      <c r="AN14" s="24"/>
      <c r="AO14" s="18">
        <v>258725.87</v>
      </c>
      <c r="AP14" s="24"/>
      <c r="AQ14" s="18">
        <v>376993.06</v>
      </c>
      <c r="AR14" s="24"/>
      <c r="AS14" s="18">
        <v>236995.94</v>
      </c>
      <c r="AT14" s="24"/>
      <c r="AU14" s="18">
        <v>209609.08</v>
      </c>
      <c r="AV14" s="24"/>
      <c r="AW14" s="18">
        <v>289683.27</v>
      </c>
      <c r="AX14" s="24"/>
      <c r="AY14" s="18">
        <v>318351.06</v>
      </c>
      <c r="AZ14" s="24"/>
      <c r="BA14" s="18">
        <v>241160.84</v>
      </c>
      <c r="BB14" s="24"/>
      <c r="BC14" s="18">
        <v>303653.40000000002</v>
      </c>
      <c r="BD14" s="24"/>
      <c r="BE14" s="18">
        <v>366314.48</v>
      </c>
      <c r="BF14" s="24"/>
      <c r="BG14" s="18">
        <v>264080.93</v>
      </c>
      <c r="BH14" s="24"/>
      <c r="BI14" s="18">
        <v>339683.64</v>
      </c>
      <c r="BJ14" s="24"/>
      <c r="BK14" s="18">
        <v>504387.47</v>
      </c>
      <c r="BL14" s="24"/>
      <c r="BM14" s="18">
        <v>864915.83</v>
      </c>
      <c r="BN14" s="24"/>
      <c r="BO14" s="18">
        <v>893370.1</v>
      </c>
      <c r="BP14" s="24"/>
      <c r="BQ14" s="18">
        <v>1134422.72</v>
      </c>
      <c r="BR14" s="24"/>
      <c r="BS14" s="18">
        <v>770743.21</v>
      </c>
      <c r="BT14" s="24"/>
      <c r="BU14" s="18">
        <v>348220.14</v>
      </c>
      <c r="BV14" s="24"/>
      <c r="BW14" s="18">
        <v>510938.92</v>
      </c>
      <c r="BX14" s="24"/>
      <c r="BY14" s="18">
        <v>326223.55</v>
      </c>
      <c r="BZ14" s="24"/>
      <c r="CA14" s="18">
        <v>387095.96</v>
      </c>
      <c r="CB14" s="24"/>
      <c r="CC14" s="18">
        <v>421463.41</v>
      </c>
      <c r="CD14" s="24"/>
      <c r="CE14" s="18">
        <v>333144.92</v>
      </c>
      <c r="CF14" s="24"/>
      <c r="CG14" s="18">
        <v>450228.54</v>
      </c>
      <c r="CH14" s="24"/>
      <c r="CI14" s="18">
        <v>320477.53999999998</v>
      </c>
      <c r="CJ14" s="24"/>
      <c r="CK14" s="18">
        <v>445664.37</v>
      </c>
      <c r="CL14" s="24"/>
      <c r="CM14" s="18">
        <v>563662.5</v>
      </c>
      <c r="CN14" s="24"/>
      <c r="CO14" s="18">
        <v>405741.52</v>
      </c>
      <c r="CP14" s="24"/>
      <c r="CQ14" s="18">
        <v>320244.09000000003</v>
      </c>
      <c r="CR14" s="24"/>
      <c r="CS14" s="18">
        <v>282504.87</v>
      </c>
      <c r="CT14" s="24"/>
      <c r="CU14" s="18">
        <v>557794.61</v>
      </c>
      <c r="CV14" s="24"/>
      <c r="CW14" s="18">
        <v>409497.63</v>
      </c>
      <c r="CX14" s="24"/>
      <c r="CY14" s="18">
        <v>420374.45</v>
      </c>
      <c r="CZ14" s="24"/>
      <c r="DA14" s="18">
        <v>503595.24</v>
      </c>
      <c r="DB14" s="24"/>
      <c r="DC14" s="18">
        <v>503231.85</v>
      </c>
      <c r="DD14" s="24"/>
      <c r="DE14" s="18">
        <v>594215.04</v>
      </c>
      <c r="DF14" s="24"/>
      <c r="DG14" s="18">
        <v>453993.06</v>
      </c>
      <c r="DH14" s="24"/>
      <c r="DI14" s="18">
        <v>643081.13</v>
      </c>
      <c r="DJ14" s="24"/>
      <c r="DK14" s="18">
        <v>610598.34</v>
      </c>
      <c r="DL14" s="24"/>
      <c r="DM14" s="18">
        <v>542094.57999999996</v>
      </c>
      <c r="DN14" s="24"/>
      <c r="DO14" s="18">
        <v>494029.11</v>
      </c>
      <c r="DP14" s="24"/>
      <c r="DQ14" s="18">
        <v>285273.37</v>
      </c>
      <c r="DR14" s="24"/>
      <c r="DS14" s="18">
        <v>438712.7</v>
      </c>
      <c r="DT14" s="24"/>
      <c r="DU14" s="18">
        <v>307541.5</v>
      </c>
      <c r="DV14" s="24"/>
      <c r="DW14" s="18">
        <v>666102.63</v>
      </c>
      <c r="DX14" s="24"/>
      <c r="DY14" s="18">
        <v>645209.65</v>
      </c>
      <c r="DZ14" s="24"/>
      <c r="EA14" s="18">
        <v>377388.33</v>
      </c>
      <c r="EB14" s="24"/>
      <c r="EC14" s="18">
        <v>531554.89</v>
      </c>
      <c r="ED14" s="24"/>
      <c r="EE14" s="18">
        <v>602315.37</v>
      </c>
      <c r="EF14" s="24"/>
      <c r="EG14" s="18">
        <v>574531.41</v>
      </c>
      <c r="EH14" s="24"/>
      <c r="EI14" s="18">
        <v>547584.64</v>
      </c>
      <c r="EJ14" s="24"/>
      <c r="EK14" s="18">
        <v>678160.64</v>
      </c>
      <c r="EL14" s="24"/>
      <c r="EM14" s="18">
        <v>426525.37</v>
      </c>
      <c r="EN14" s="24"/>
      <c r="EO14" s="18">
        <v>584739.68000000005</v>
      </c>
      <c r="EP14" s="24"/>
      <c r="EQ14" s="18">
        <v>468507.3</v>
      </c>
      <c r="ER14" s="24"/>
      <c r="ES14" s="18">
        <f>+$FB14</f>
        <v>454996.22</v>
      </c>
      <c r="ET14" s="24"/>
      <c r="EU14" s="221">
        <f>IF( SUM($EQ14:ES14)&lt;0, "n/a", SUM($EQ14:ES14)/EU$74)</f>
        <v>461751.76</v>
      </c>
      <c r="EV14" s="227"/>
      <c r="EW14" s="22"/>
      <c r="EX14" s="96" t="s">
        <v>13</v>
      </c>
      <c r="EY14" s="35">
        <f>IF(ISERROR(VLOOKUP(EX14,IQSH01E!$A$1:$M$400,2,0)),0,VLOOKUP(EX14,IQSH01E!$A$1:$M$400,2,0))</f>
        <v>454996.22</v>
      </c>
      <c r="EZ14" s="56" t="s">
        <v>14</v>
      </c>
      <c r="FA14" s="35">
        <f>IF(ISERROR(VLOOKUP(EZ14,IQSH01E!$A$1:$M$400,2,0)),0,VLOOKUP(EZ14,IQSH01E!$A$1:$M$400,2,0))</f>
        <v>0</v>
      </c>
      <c r="FB14" s="189">
        <f t="shared" si="1"/>
        <v>454996.22</v>
      </c>
      <c r="FC14" s="182" t="s">
        <v>118</v>
      </c>
    </row>
    <row r="15" spans="1:159" ht="21" customHeight="1" x14ac:dyDescent="0.3">
      <c r="A15" s="3"/>
      <c r="B15" s="14" t="s">
        <v>71</v>
      </c>
      <c r="C15" s="60">
        <v>0</v>
      </c>
      <c r="D15" s="24"/>
      <c r="E15" s="60">
        <v>0</v>
      </c>
      <c r="F15" s="24"/>
      <c r="G15" s="60">
        <v>0</v>
      </c>
      <c r="H15" s="24"/>
      <c r="I15" s="60">
        <v>0</v>
      </c>
      <c r="J15" s="24"/>
      <c r="K15" s="60">
        <v>0</v>
      </c>
      <c r="L15" s="24"/>
      <c r="M15" s="60">
        <v>0</v>
      </c>
      <c r="N15" s="24"/>
      <c r="O15" s="60">
        <v>0</v>
      </c>
      <c r="P15" s="24"/>
      <c r="Q15" s="60">
        <v>0</v>
      </c>
      <c r="R15" s="24"/>
      <c r="S15" s="60">
        <v>0</v>
      </c>
      <c r="T15" s="24"/>
      <c r="U15" s="60">
        <v>0</v>
      </c>
      <c r="V15" s="24"/>
      <c r="W15" s="60">
        <v>0</v>
      </c>
      <c r="X15" s="24"/>
      <c r="Y15" s="60">
        <v>0</v>
      </c>
      <c r="Z15" s="24"/>
      <c r="AA15" s="60">
        <v>0</v>
      </c>
      <c r="AB15" s="24"/>
      <c r="AC15" s="60">
        <v>0</v>
      </c>
      <c r="AD15" s="24"/>
      <c r="AE15" s="60">
        <v>0</v>
      </c>
      <c r="AF15" s="24"/>
      <c r="AG15" s="60">
        <v>0</v>
      </c>
      <c r="AH15" s="24"/>
      <c r="AI15" s="60">
        <v>0</v>
      </c>
      <c r="AJ15" s="24"/>
      <c r="AK15" s="60">
        <v>0</v>
      </c>
      <c r="AL15" s="24"/>
      <c r="AM15" s="60">
        <v>0</v>
      </c>
      <c r="AN15" s="24"/>
      <c r="AO15" s="60">
        <v>0</v>
      </c>
      <c r="AP15" s="24"/>
      <c r="AQ15" s="60">
        <v>0</v>
      </c>
      <c r="AR15" s="24"/>
      <c r="AS15" s="60">
        <v>0</v>
      </c>
      <c r="AT15" s="24"/>
      <c r="AU15" s="60">
        <v>0</v>
      </c>
      <c r="AV15" s="24"/>
      <c r="AW15" s="60">
        <v>0</v>
      </c>
      <c r="AX15" s="24"/>
      <c r="AY15" s="60">
        <v>0</v>
      </c>
      <c r="AZ15" s="24"/>
      <c r="BA15" s="60">
        <v>0</v>
      </c>
      <c r="BB15" s="24"/>
      <c r="BC15" s="60">
        <v>0</v>
      </c>
      <c r="BD15" s="24"/>
      <c r="BE15" s="60">
        <v>0</v>
      </c>
      <c r="BF15" s="24"/>
      <c r="BG15" s="60">
        <v>0</v>
      </c>
      <c r="BH15" s="24"/>
      <c r="BI15" s="60">
        <v>0</v>
      </c>
      <c r="BJ15" s="24"/>
      <c r="BK15" s="60">
        <v>0</v>
      </c>
      <c r="BL15" s="24"/>
      <c r="BM15" s="60">
        <v>0</v>
      </c>
      <c r="BN15" s="24"/>
      <c r="BO15" s="60">
        <v>0</v>
      </c>
      <c r="BP15" s="24"/>
      <c r="BQ15" s="60">
        <v>0</v>
      </c>
      <c r="BR15" s="24"/>
      <c r="BS15" s="60">
        <v>0</v>
      </c>
      <c r="BT15" s="24"/>
      <c r="BU15" s="60">
        <v>0</v>
      </c>
      <c r="BV15" s="24"/>
      <c r="BW15" s="60">
        <v>0</v>
      </c>
      <c r="BX15" s="24"/>
      <c r="BY15" s="60">
        <v>0</v>
      </c>
      <c r="BZ15" s="24"/>
      <c r="CA15" s="60">
        <v>0</v>
      </c>
      <c r="CB15" s="24"/>
      <c r="CC15" s="60">
        <v>0</v>
      </c>
      <c r="CD15" s="24"/>
      <c r="CE15" s="60">
        <v>0</v>
      </c>
      <c r="CF15" s="24"/>
      <c r="CG15" s="60">
        <v>0</v>
      </c>
      <c r="CH15" s="24"/>
      <c r="CI15" s="60">
        <v>0</v>
      </c>
      <c r="CJ15" s="24"/>
      <c r="CK15" s="60">
        <v>0</v>
      </c>
      <c r="CL15" s="24"/>
      <c r="CM15" s="60">
        <v>0</v>
      </c>
      <c r="CN15" s="24"/>
      <c r="CO15" s="60">
        <v>0</v>
      </c>
      <c r="CP15" s="24"/>
      <c r="CQ15" s="60">
        <v>0</v>
      </c>
      <c r="CR15" s="24"/>
      <c r="CS15" s="60">
        <v>0</v>
      </c>
      <c r="CT15" s="24"/>
      <c r="CU15" s="60">
        <v>0</v>
      </c>
      <c r="CV15" s="24"/>
      <c r="CW15" s="60">
        <v>0</v>
      </c>
      <c r="CX15" s="24"/>
      <c r="CY15" s="60">
        <v>0</v>
      </c>
      <c r="CZ15" s="24"/>
      <c r="DA15" s="60">
        <v>0</v>
      </c>
      <c r="DB15" s="24"/>
      <c r="DC15" s="60">
        <v>0</v>
      </c>
      <c r="DD15" s="24"/>
      <c r="DE15" s="60">
        <v>0</v>
      </c>
      <c r="DF15" s="24"/>
      <c r="DG15" s="60">
        <v>0</v>
      </c>
      <c r="DH15" s="24"/>
      <c r="DI15" s="60">
        <v>0</v>
      </c>
      <c r="DJ15" s="24"/>
      <c r="DK15" s="60">
        <v>0</v>
      </c>
      <c r="DL15" s="24"/>
      <c r="DM15" s="60">
        <v>0</v>
      </c>
      <c r="DN15" s="24"/>
      <c r="DO15" s="60">
        <v>0</v>
      </c>
      <c r="DP15" s="24"/>
      <c r="DQ15" s="60">
        <v>0</v>
      </c>
      <c r="DR15" s="24"/>
      <c r="DS15" s="60">
        <v>0</v>
      </c>
      <c r="DT15" s="24"/>
      <c r="DU15" s="60">
        <v>0</v>
      </c>
      <c r="DV15" s="24"/>
      <c r="DW15" s="60">
        <v>0</v>
      </c>
      <c r="DX15" s="24"/>
      <c r="DY15" s="60">
        <v>0</v>
      </c>
      <c r="DZ15" s="24"/>
      <c r="EA15" s="60">
        <v>0</v>
      </c>
      <c r="EB15" s="24"/>
      <c r="EC15" s="60">
        <v>0</v>
      </c>
      <c r="ED15" s="24"/>
      <c r="EE15" s="60">
        <v>0</v>
      </c>
      <c r="EF15" s="24"/>
      <c r="EG15" s="60">
        <v>0</v>
      </c>
      <c r="EH15" s="24"/>
      <c r="EI15" s="60">
        <v>0</v>
      </c>
      <c r="EJ15" s="24"/>
      <c r="EK15" s="60">
        <v>0</v>
      </c>
      <c r="EL15" s="24"/>
      <c r="EM15" s="60">
        <v>0</v>
      </c>
      <c r="EN15" s="24"/>
      <c r="EO15" s="60">
        <v>0</v>
      </c>
      <c r="EP15" s="24"/>
      <c r="EQ15" s="60">
        <v>0</v>
      </c>
      <c r="ER15" s="24"/>
      <c r="ES15" s="60">
        <f>+$FB15</f>
        <v>0</v>
      </c>
      <c r="ET15" s="24"/>
      <c r="EU15" s="221">
        <f>IF( SUM($EQ15:ES15)&lt;0, "n/a", SUM($EQ15:ES15)/EU$74)</f>
        <v>0</v>
      </c>
      <c r="EV15" s="224"/>
      <c r="EW15" s="22"/>
      <c r="EX15" s="154" t="s">
        <v>3</v>
      </c>
      <c r="EY15" s="34">
        <f>IF(ISERROR(VLOOKUP(EX15,IQSH01E!$A$1:$M$400,2,0)),0,VLOOKUP(EX15,IQSH01E!$A$1:$M$400,2,0))</f>
        <v>0</v>
      </c>
      <c r="EZ15" s="57" t="s">
        <v>63</v>
      </c>
      <c r="FA15" s="34">
        <f>IF(ISERROR(VLOOKUP(EZ15,IQSH01E!$A$1:$M$400,2,0)),0,VLOOKUP(EZ15,IQSH01E!$A$1:$M$400,2,0))</f>
        <v>0</v>
      </c>
      <c r="FB15" s="197">
        <f t="shared" si="1"/>
        <v>0</v>
      </c>
      <c r="FC15" s="187" t="s">
        <v>117</v>
      </c>
    </row>
    <row r="16" spans="1:159" ht="21" customHeight="1" thickBot="1" x14ac:dyDescent="0.35">
      <c r="A16" s="7"/>
      <c r="B16" s="16" t="s">
        <v>84</v>
      </c>
      <c r="C16" s="19">
        <v>3623367.39</v>
      </c>
      <c r="D16" s="25"/>
      <c r="E16" s="19">
        <v>3642951.31</v>
      </c>
      <c r="F16" s="25"/>
      <c r="G16" s="19">
        <v>3225620.66</v>
      </c>
      <c r="H16" s="25"/>
      <c r="I16" s="19">
        <v>4457591.6900000004</v>
      </c>
      <c r="J16" s="25"/>
      <c r="K16" s="19">
        <v>5230515.7300000004</v>
      </c>
      <c r="L16" s="25"/>
      <c r="M16" s="19">
        <v>4378292.18</v>
      </c>
      <c r="N16" s="25"/>
      <c r="O16" s="19">
        <v>4014434.24</v>
      </c>
      <c r="P16" s="25"/>
      <c r="Q16" s="19">
        <v>4424488.2699999996</v>
      </c>
      <c r="R16" s="25"/>
      <c r="S16" s="19">
        <v>5365297.4699999988</v>
      </c>
      <c r="T16" s="25"/>
      <c r="U16" s="19">
        <v>4452199.4400000004</v>
      </c>
      <c r="V16" s="25"/>
      <c r="W16" s="19">
        <v>3522351.7500000005</v>
      </c>
      <c r="X16" s="25"/>
      <c r="Y16" s="19">
        <v>3025419.06</v>
      </c>
      <c r="Z16" s="25"/>
      <c r="AA16" s="19">
        <v>3439795.54</v>
      </c>
      <c r="AB16" s="25"/>
      <c r="AC16" s="19">
        <v>3328813.43</v>
      </c>
      <c r="AD16" s="25"/>
      <c r="AE16" s="19">
        <v>5021931.7699999996</v>
      </c>
      <c r="AF16" s="25"/>
      <c r="AG16" s="19">
        <v>5015063.17</v>
      </c>
      <c r="AH16" s="25"/>
      <c r="AI16" s="19">
        <v>3546366.19</v>
      </c>
      <c r="AJ16" s="25"/>
      <c r="AK16" s="19">
        <v>4830872.41</v>
      </c>
      <c r="AL16" s="25"/>
      <c r="AM16" s="19">
        <v>3360937.7</v>
      </c>
      <c r="AN16" s="25"/>
      <c r="AO16" s="19">
        <v>3425234.49</v>
      </c>
      <c r="AP16" s="25"/>
      <c r="AQ16" s="19">
        <v>4473553.93</v>
      </c>
      <c r="AR16" s="25"/>
      <c r="AS16" s="19">
        <v>3302455.27</v>
      </c>
      <c r="AT16" s="25"/>
      <c r="AU16" s="19">
        <v>3305479.67</v>
      </c>
      <c r="AV16" s="25"/>
      <c r="AW16" s="19">
        <v>2488325.15</v>
      </c>
      <c r="AX16" s="25"/>
      <c r="AY16" s="19">
        <v>4265381.43</v>
      </c>
      <c r="AZ16" s="25"/>
      <c r="BA16" s="19">
        <v>3614468.59</v>
      </c>
      <c r="BB16" s="25"/>
      <c r="BC16" s="19">
        <v>5374342.75</v>
      </c>
      <c r="BD16" s="25"/>
      <c r="BE16" s="19">
        <v>5034011.6100000013</v>
      </c>
      <c r="BF16" s="25"/>
      <c r="BG16" s="19">
        <v>5061010.9000000004</v>
      </c>
      <c r="BH16" s="25"/>
      <c r="BI16" s="19">
        <v>5127377.34</v>
      </c>
      <c r="BJ16" s="25"/>
      <c r="BK16" s="19">
        <v>4063336.84</v>
      </c>
      <c r="BL16" s="25"/>
      <c r="BM16" s="19">
        <v>4389693.95</v>
      </c>
      <c r="BN16" s="25"/>
      <c r="BO16" s="19">
        <v>4466111.26</v>
      </c>
      <c r="BP16" s="25"/>
      <c r="BQ16" s="19">
        <v>4503357.12</v>
      </c>
      <c r="BR16" s="25"/>
      <c r="BS16" s="19">
        <v>3717502.84</v>
      </c>
      <c r="BT16" s="25"/>
      <c r="BU16" s="19">
        <v>2522471.31</v>
      </c>
      <c r="BV16" s="25"/>
      <c r="BW16" s="19">
        <v>3537989.34</v>
      </c>
      <c r="BX16" s="25"/>
      <c r="BY16" s="19">
        <v>3898701.41</v>
      </c>
      <c r="BZ16" s="25"/>
      <c r="CA16" s="19">
        <v>5041258.91</v>
      </c>
      <c r="CB16" s="25"/>
      <c r="CC16" s="19">
        <v>4234832.16</v>
      </c>
      <c r="CD16" s="25"/>
      <c r="CE16" s="19">
        <v>4864981.97</v>
      </c>
      <c r="CF16" s="25"/>
      <c r="CG16" s="19">
        <v>4685592.1100000003</v>
      </c>
      <c r="CH16" s="25"/>
      <c r="CI16" s="19">
        <v>3616650.7</v>
      </c>
      <c r="CJ16" s="25"/>
      <c r="CK16" s="19">
        <v>4246684.3099999996</v>
      </c>
      <c r="CL16" s="25"/>
      <c r="CM16" s="19">
        <v>4150055.71</v>
      </c>
      <c r="CN16" s="25"/>
      <c r="CO16" s="19">
        <v>3576405.87</v>
      </c>
      <c r="CP16" s="25"/>
      <c r="CQ16" s="19">
        <v>3448207.37</v>
      </c>
      <c r="CR16" s="25"/>
      <c r="CS16" s="19">
        <v>2538779.92</v>
      </c>
      <c r="CT16" s="25"/>
      <c r="CU16" s="19">
        <v>4429723.43</v>
      </c>
      <c r="CV16" s="25"/>
      <c r="CW16" s="19">
        <v>4202114.9800000004</v>
      </c>
      <c r="CX16" s="25"/>
      <c r="CY16" s="19">
        <v>5222606.8600000003</v>
      </c>
      <c r="CZ16" s="25"/>
      <c r="DA16" s="19">
        <v>5117390.93</v>
      </c>
      <c r="DB16" s="25"/>
      <c r="DC16" s="19">
        <v>5453916.9800000004</v>
      </c>
      <c r="DD16" s="25"/>
      <c r="DE16" s="19">
        <v>4715695.3600000003</v>
      </c>
      <c r="DF16" s="25"/>
      <c r="DG16" s="19">
        <v>4153743.97</v>
      </c>
      <c r="DH16" s="25"/>
      <c r="DI16" s="19">
        <v>5030203.28</v>
      </c>
      <c r="DJ16" s="25"/>
      <c r="DK16" s="19">
        <v>4169000.73</v>
      </c>
      <c r="DL16" s="25"/>
      <c r="DM16" s="19">
        <v>4805875.28</v>
      </c>
      <c r="DN16" s="25"/>
      <c r="DO16" s="19">
        <v>3672987.85</v>
      </c>
      <c r="DP16" s="25"/>
      <c r="DQ16" s="19">
        <v>3248389.54</v>
      </c>
      <c r="DR16" s="25"/>
      <c r="DS16" s="19">
        <v>4419687.76</v>
      </c>
      <c r="DT16" s="25"/>
      <c r="DU16" s="19">
        <v>4162305.96</v>
      </c>
      <c r="DV16" s="25"/>
      <c r="DW16" s="19">
        <v>4629517.72</v>
      </c>
      <c r="DX16" s="25"/>
      <c r="DY16" s="19">
        <v>5034964.8099999996</v>
      </c>
      <c r="DZ16" s="25"/>
      <c r="EA16" s="19">
        <v>5268741.82</v>
      </c>
      <c r="EB16" s="25"/>
      <c r="EC16" s="19">
        <v>4662434.09</v>
      </c>
      <c r="ED16" s="25"/>
      <c r="EE16" s="19">
        <v>4042781.31</v>
      </c>
      <c r="EF16" s="25"/>
      <c r="EG16" s="19">
        <v>4148740.17</v>
      </c>
      <c r="EH16" s="25"/>
      <c r="EI16" s="19">
        <v>4196310.84</v>
      </c>
      <c r="EJ16" s="25"/>
      <c r="EK16" s="19">
        <v>4469555.91</v>
      </c>
      <c r="EL16" s="25"/>
      <c r="EM16" s="19">
        <v>3675829.93</v>
      </c>
      <c r="EN16" s="25"/>
      <c r="EO16" s="19">
        <v>3556021.09</v>
      </c>
      <c r="EP16" s="25"/>
      <c r="EQ16" s="19">
        <v>5164127.2699999996</v>
      </c>
      <c r="ER16" s="25"/>
      <c r="ES16" s="19">
        <f>SUM(ES13:ES15)</f>
        <v>4387399.84</v>
      </c>
      <c r="ET16" s="25"/>
      <c r="EU16" s="225">
        <f>IF( SUM($EQ16:ES16)&lt;0, "n/a", SUM($EQ16:ES16)/EU$74)</f>
        <v>4775763.5549999997</v>
      </c>
      <c r="EV16" s="228"/>
      <c r="EW16" s="61"/>
      <c r="EX16" s="37" t="s">
        <v>52</v>
      </c>
      <c r="EY16" s="38">
        <f>IF(ISERROR(VLOOKUP(EX16,IQSH01E!$A$1:$M$400,2,0)),0,VLOOKUP(EX16,IQSH01E!$A$1:$M$400,2,0))</f>
        <v>4387399.84</v>
      </c>
      <c r="EZ16" s="58" t="s">
        <v>53</v>
      </c>
      <c r="FA16" s="38">
        <f>IF(ISERROR(VLOOKUP(EZ16,IQSH01E!$A$1:$M$400,2,0)),0,VLOOKUP(EZ16,IQSH01E!$A$1:$M$400,2,0))</f>
        <v>0</v>
      </c>
      <c r="FB16" s="41">
        <f t="shared" si="1"/>
        <v>4387399.84</v>
      </c>
      <c r="FC16" s="188" t="s">
        <v>118</v>
      </c>
    </row>
    <row r="17" spans="1:159" ht="21" customHeight="1" thickBot="1" x14ac:dyDescent="0.35">
      <c r="A17" s="3"/>
      <c r="B17" s="14" t="s">
        <v>89</v>
      </c>
      <c r="C17" s="18">
        <v>0</v>
      </c>
      <c r="D17" s="92">
        <v>0</v>
      </c>
      <c r="E17" s="18">
        <v>0</v>
      </c>
      <c r="F17" s="92">
        <v>0</v>
      </c>
      <c r="G17" s="18">
        <v>0</v>
      </c>
      <c r="H17" s="92">
        <v>0</v>
      </c>
      <c r="I17" s="18">
        <v>0</v>
      </c>
      <c r="J17" s="92">
        <v>0</v>
      </c>
      <c r="K17" s="18">
        <v>0</v>
      </c>
      <c r="L17" s="92">
        <v>0</v>
      </c>
      <c r="M17" s="18">
        <v>0</v>
      </c>
      <c r="N17" s="92">
        <v>0</v>
      </c>
      <c r="O17" s="18">
        <v>0</v>
      </c>
      <c r="P17" s="92">
        <v>0</v>
      </c>
      <c r="Q17" s="18">
        <v>0</v>
      </c>
      <c r="R17" s="92">
        <v>0</v>
      </c>
      <c r="S17" s="18">
        <v>0</v>
      </c>
      <c r="T17" s="92">
        <v>0</v>
      </c>
      <c r="U17" s="18">
        <v>0</v>
      </c>
      <c r="V17" s="92">
        <v>0</v>
      </c>
      <c r="W17" s="18">
        <v>0</v>
      </c>
      <c r="X17" s="92">
        <v>0</v>
      </c>
      <c r="Y17" s="18">
        <v>0</v>
      </c>
      <c r="Z17" s="92">
        <v>0</v>
      </c>
      <c r="AA17" s="18">
        <v>0</v>
      </c>
      <c r="AB17" s="92">
        <v>0</v>
      </c>
      <c r="AC17" s="18">
        <v>0</v>
      </c>
      <c r="AD17" s="92">
        <v>0</v>
      </c>
      <c r="AE17" s="18">
        <v>0</v>
      </c>
      <c r="AF17" s="92">
        <v>0</v>
      </c>
      <c r="AG17" s="18">
        <v>0</v>
      </c>
      <c r="AH17" s="92">
        <v>0</v>
      </c>
      <c r="AI17" s="18">
        <v>0</v>
      </c>
      <c r="AJ17" s="92">
        <v>0</v>
      </c>
      <c r="AK17" s="18">
        <v>0</v>
      </c>
      <c r="AL17" s="92">
        <v>0</v>
      </c>
      <c r="AM17" s="18">
        <v>0</v>
      </c>
      <c r="AN17" s="92">
        <v>0</v>
      </c>
      <c r="AO17" s="18">
        <v>0</v>
      </c>
      <c r="AP17" s="92">
        <v>0</v>
      </c>
      <c r="AQ17" s="18">
        <v>0</v>
      </c>
      <c r="AR17" s="92">
        <v>0</v>
      </c>
      <c r="AS17" s="18">
        <v>0</v>
      </c>
      <c r="AT17" s="92">
        <v>0</v>
      </c>
      <c r="AU17" s="18">
        <v>0</v>
      </c>
      <c r="AV17" s="92">
        <v>0</v>
      </c>
      <c r="AW17" s="18">
        <v>0</v>
      </c>
      <c r="AX17" s="92">
        <v>0</v>
      </c>
      <c r="AY17" s="18">
        <v>0</v>
      </c>
      <c r="AZ17" s="92">
        <v>0</v>
      </c>
      <c r="BA17" s="18">
        <v>0</v>
      </c>
      <c r="BB17" s="92">
        <v>0</v>
      </c>
      <c r="BC17" s="18">
        <v>0</v>
      </c>
      <c r="BD17" s="92">
        <v>0</v>
      </c>
      <c r="BE17" s="18">
        <v>0</v>
      </c>
      <c r="BF17" s="92">
        <v>0</v>
      </c>
      <c r="BG17" s="18">
        <v>0</v>
      </c>
      <c r="BH17" s="92">
        <v>0</v>
      </c>
      <c r="BI17" s="18">
        <v>0</v>
      </c>
      <c r="BJ17" s="92">
        <v>0</v>
      </c>
      <c r="BK17" s="18">
        <v>0</v>
      </c>
      <c r="BL17" s="92">
        <v>0</v>
      </c>
      <c r="BM17" s="18">
        <v>0</v>
      </c>
      <c r="BN17" s="92">
        <v>0</v>
      </c>
      <c r="BO17" s="18">
        <v>0</v>
      </c>
      <c r="BP17" s="92">
        <v>0</v>
      </c>
      <c r="BQ17" s="18">
        <v>0</v>
      </c>
      <c r="BR17" s="92">
        <v>0</v>
      </c>
      <c r="BS17" s="18">
        <v>0</v>
      </c>
      <c r="BT17" s="92">
        <v>0</v>
      </c>
      <c r="BU17" s="18">
        <v>0</v>
      </c>
      <c r="BV17" s="92">
        <v>0</v>
      </c>
      <c r="BW17" s="18">
        <v>0</v>
      </c>
      <c r="BX17" s="92">
        <v>0</v>
      </c>
      <c r="BY17" s="18">
        <v>0</v>
      </c>
      <c r="BZ17" s="92">
        <v>0</v>
      </c>
      <c r="CA17" s="18">
        <v>0</v>
      </c>
      <c r="CB17" s="92">
        <v>0</v>
      </c>
      <c r="CC17" s="18">
        <v>0</v>
      </c>
      <c r="CD17" s="92">
        <v>0</v>
      </c>
      <c r="CE17" s="18">
        <v>0</v>
      </c>
      <c r="CF17" s="92">
        <v>0</v>
      </c>
      <c r="CG17" s="18">
        <v>0</v>
      </c>
      <c r="CH17" s="92">
        <v>0</v>
      </c>
      <c r="CI17" s="18">
        <v>0</v>
      </c>
      <c r="CJ17" s="92">
        <v>0</v>
      </c>
      <c r="CK17" s="18">
        <v>0</v>
      </c>
      <c r="CL17" s="92">
        <v>0</v>
      </c>
      <c r="CM17" s="18">
        <v>0</v>
      </c>
      <c r="CN17" s="92">
        <v>0</v>
      </c>
      <c r="CO17" s="18">
        <v>0</v>
      </c>
      <c r="CP17" s="92">
        <v>0</v>
      </c>
      <c r="CQ17" s="18">
        <v>0</v>
      </c>
      <c r="CR17" s="92">
        <v>0</v>
      </c>
      <c r="CS17" s="18">
        <v>0</v>
      </c>
      <c r="CT17" s="92">
        <v>0</v>
      </c>
      <c r="CU17" s="18">
        <v>0</v>
      </c>
      <c r="CV17" s="92">
        <v>0</v>
      </c>
      <c r="CW17" s="18">
        <v>0</v>
      </c>
      <c r="CX17" s="92">
        <v>0</v>
      </c>
      <c r="CY17" s="18">
        <v>0</v>
      </c>
      <c r="CZ17" s="92">
        <v>0</v>
      </c>
      <c r="DA17" s="18">
        <v>0</v>
      </c>
      <c r="DB17" s="92">
        <v>0</v>
      </c>
      <c r="DC17" s="18">
        <v>0</v>
      </c>
      <c r="DD17" s="92">
        <v>0</v>
      </c>
      <c r="DE17" s="18">
        <v>0</v>
      </c>
      <c r="DF17" s="92">
        <v>0</v>
      </c>
      <c r="DG17" s="18">
        <v>0</v>
      </c>
      <c r="DH17" s="92">
        <v>0</v>
      </c>
      <c r="DI17" s="18">
        <v>0</v>
      </c>
      <c r="DJ17" s="92">
        <v>0</v>
      </c>
      <c r="DK17" s="18">
        <v>0</v>
      </c>
      <c r="DL17" s="92">
        <v>0</v>
      </c>
      <c r="DM17" s="18">
        <v>0</v>
      </c>
      <c r="DN17" s="92">
        <v>0</v>
      </c>
      <c r="DO17" s="18">
        <v>0</v>
      </c>
      <c r="DP17" s="92">
        <v>0</v>
      </c>
      <c r="DQ17" s="18">
        <v>0</v>
      </c>
      <c r="DR17" s="92">
        <v>0</v>
      </c>
      <c r="DS17" s="18">
        <v>0</v>
      </c>
      <c r="DT17" s="92">
        <v>0</v>
      </c>
      <c r="DU17" s="18">
        <v>0</v>
      </c>
      <c r="DV17" s="92">
        <v>0</v>
      </c>
      <c r="DW17" s="18">
        <v>0</v>
      </c>
      <c r="DX17" s="92">
        <v>0</v>
      </c>
      <c r="DY17" s="18">
        <v>0</v>
      </c>
      <c r="DZ17" s="92">
        <v>0</v>
      </c>
      <c r="EA17" s="18">
        <v>0</v>
      </c>
      <c r="EB17" s="92">
        <v>0</v>
      </c>
      <c r="EC17" s="18">
        <v>0</v>
      </c>
      <c r="ED17" s="92">
        <v>0</v>
      </c>
      <c r="EE17" s="18">
        <v>0</v>
      </c>
      <c r="EF17" s="92">
        <v>0</v>
      </c>
      <c r="EG17" s="18">
        <v>0</v>
      </c>
      <c r="EH17" s="92">
        <v>0</v>
      </c>
      <c r="EI17" s="18">
        <v>0</v>
      </c>
      <c r="EJ17" s="92">
        <v>0</v>
      </c>
      <c r="EK17" s="18">
        <v>0</v>
      </c>
      <c r="EL17" s="92">
        <v>0</v>
      </c>
      <c r="EM17" s="18">
        <v>0</v>
      </c>
      <c r="EN17" s="92">
        <v>0</v>
      </c>
      <c r="EO17" s="18">
        <v>0</v>
      </c>
      <c r="EP17" s="92">
        <v>0</v>
      </c>
      <c r="EQ17" s="18">
        <v>0</v>
      </c>
      <c r="ER17" s="92">
        <v>0</v>
      </c>
      <c r="ES17" s="18">
        <f t="shared" ref="ES17:ES23" si="2">+$EY17</f>
        <v>0</v>
      </c>
      <c r="ET17" s="92">
        <f>ES17/ES24</f>
        <v>0</v>
      </c>
      <c r="EU17" s="221">
        <f>IF( SUM($EQ17:ES17)&lt;0, "n/a", SUM($EQ17:ES17)/EU$74)</f>
        <v>0</v>
      </c>
      <c r="EV17" s="222">
        <f>EU17/EU24</f>
        <v>0</v>
      </c>
      <c r="EW17" s="22"/>
      <c r="EX17" s="96" t="s">
        <v>32</v>
      </c>
      <c r="EY17" s="35">
        <f>IF(ISERROR(VLOOKUP(EX17,IQSH01E!$A$1:$M$400,2,0)),0,VLOOKUP(EX17,IQSH01E!$A$1:$M$400,2,0))</f>
        <v>0</v>
      </c>
      <c r="EZ17" s="42"/>
      <c r="FA17" s="43"/>
      <c r="FB17" s="43"/>
      <c r="FC17" s="182" t="s">
        <v>123</v>
      </c>
    </row>
    <row r="18" spans="1:159" ht="21" customHeight="1" thickBot="1" x14ac:dyDescent="0.35">
      <c r="A18" s="3"/>
      <c r="B18" s="14" t="s">
        <v>79</v>
      </c>
      <c r="C18" s="60">
        <v>1975352.1400000011</v>
      </c>
      <c r="D18" s="99">
        <v>0.39098455185260084</v>
      </c>
      <c r="E18" s="60">
        <v>2021558.12</v>
      </c>
      <c r="F18" s="99">
        <v>0.29719176178366041</v>
      </c>
      <c r="G18" s="60">
        <v>4623716.040000001</v>
      </c>
      <c r="H18" s="99">
        <v>0.58353237838890215</v>
      </c>
      <c r="I18" s="60">
        <v>5689185.0700000003</v>
      </c>
      <c r="J18" s="99">
        <v>0.73664735505744183</v>
      </c>
      <c r="K18" s="60">
        <v>4352088.5199999996</v>
      </c>
      <c r="L18" s="99">
        <v>0.78291351763109662</v>
      </c>
      <c r="M18" s="60">
        <v>4754241.5600000005</v>
      </c>
      <c r="N18" s="99">
        <v>0.96045854882636506</v>
      </c>
      <c r="O18" s="60">
        <v>4902246.8800000018</v>
      </c>
      <c r="P18" s="99">
        <v>0.88981226574675487</v>
      </c>
      <c r="Q18" s="60">
        <v>4706933.370000001</v>
      </c>
      <c r="R18" s="99">
        <v>0.75713646324873618</v>
      </c>
      <c r="S18" s="60">
        <v>3959923.8099999996</v>
      </c>
      <c r="T18" s="99">
        <v>0.90162455880566805</v>
      </c>
      <c r="U18" s="60">
        <v>4436126.040000001</v>
      </c>
      <c r="V18" s="99">
        <v>0.95248320614876836</v>
      </c>
      <c r="W18" s="60">
        <v>3513819.5300000003</v>
      </c>
      <c r="X18" s="99">
        <v>0.81244450009818381</v>
      </c>
      <c r="Y18" s="60">
        <v>4377412.7999999989</v>
      </c>
      <c r="Z18" s="99">
        <v>0.80910918160270673</v>
      </c>
      <c r="AA18" s="60">
        <v>4520318.8400000008</v>
      </c>
      <c r="AB18" s="99">
        <v>0.82846593647921574</v>
      </c>
      <c r="AC18" s="60">
        <v>5227250.5900000008</v>
      </c>
      <c r="AD18" s="99">
        <v>0.86924805997939825</v>
      </c>
      <c r="AE18" s="60">
        <v>5604941.4000000004</v>
      </c>
      <c r="AF18" s="99">
        <v>0.96216484017117043</v>
      </c>
      <c r="AG18" s="60">
        <v>3985220.1800000006</v>
      </c>
      <c r="AH18" s="99">
        <v>0.98576116369174083</v>
      </c>
      <c r="AI18" s="60">
        <v>2669876.67</v>
      </c>
      <c r="AJ18" s="99">
        <v>0.73843760521234025</v>
      </c>
      <c r="AK18" s="60">
        <v>3432386.24</v>
      </c>
      <c r="AL18" s="99">
        <v>0.68788561537852744</v>
      </c>
      <c r="AM18" s="60">
        <v>2840099.59</v>
      </c>
      <c r="AN18" s="99">
        <v>0.54419886332685485</v>
      </c>
      <c r="AO18" s="60">
        <v>4498588.51</v>
      </c>
      <c r="AP18" s="99">
        <v>0.63813705894131556</v>
      </c>
      <c r="AQ18" s="60">
        <v>4780195.5700000012</v>
      </c>
      <c r="AR18" s="99">
        <v>0.52685580751842109</v>
      </c>
      <c r="AS18" s="60">
        <v>3825957.9799999995</v>
      </c>
      <c r="AT18" s="99">
        <v>0.59043647440175673</v>
      </c>
      <c r="AU18" s="60">
        <v>2820834.2100000004</v>
      </c>
      <c r="AV18" s="99">
        <v>0.5603218306703095</v>
      </c>
      <c r="AW18" s="60">
        <v>2632146.5799999991</v>
      </c>
      <c r="AX18" s="99">
        <v>0.55561852167888792</v>
      </c>
      <c r="AY18" s="60">
        <v>3129632.8699999996</v>
      </c>
      <c r="AZ18" s="99">
        <v>0.48430509723347148</v>
      </c>
      <c r="BA18" s="60">
        <v>4198216.16</v>
      </c>
      <c r="BB18" s="99">
        <v>0.56419590700842259</v>
      </c>
      <c r="BC18" s="60">
        <v>4900645.6800000016</v>
      </c>
      <c r="BD18" s="99">
        <v>0.55088161392208557</v>
      </c>
      <c r="BE18" s="60">
        <v>4717227.2699999996</v>
      </c>
      <c r="BF18" s="99">
        <v>0.77725583406327792</v>
      </c>
      <c r="BG18" s="60">
        <v>5206096.740000003</v>
      </c>
      <c r="BH18" s="99">
        <v>0.61119170632915265</v>
      </c>
      <c r="BI18" s="60">
        <v>4260622.41</v>
      </c>
      <c r="BJ18" s="99">
        <v>0.56706464121991829</v>
      </c>
      <c r="BK18" s="60">
        <v>3717129.6800000011</v>
      </c>
      <c r="BL18" s="99">
        <v>0.692315153623275</v>
      </c>
      <c r="BM18" s="60">
        <v>1282846.0699999996</v>
      </c>
      <c r="BN18" s="99">
        <v>0.41052750505908653</v>
      </c>
      <c r="BO18" s="60">
        <v>864005.24000000115</v>
      </c>
      <c r="BP18" s="99">
        <v>0.30922439736923674</v>
      </c>
      <c r="BQ18" s="60">
        <v>1949415.540000001</v>
      </c>
      <c r="BR18" s="99">
        <v>0.55229759705968573</v>
      </c>
      <c r="BS18" s="60">
        <v>2151216.0100000002</v>
      </c>
      <c r="BT18" s="99">
        <v>0.62081975111448684</v>
      </c>
      <c r="BU18" s="60">
        <v>2049006</v>
      </c>
      <c r="BV18" s="99">
        <v>0.619533736284273</v>
      </c>
      <c r="BW18" s="60">
        <v>3002475.02</v>
      </c>
      <c r="BX18" s="99">
        <v>0.54870035999264599</v>
      </c>
      <c r="BY18" s="60">
        <v>3566646.1499999994</v>
      </c>
      <c r="BZ18" s="99">
        <v>0.62564049546725153</v>
      </c>
      <c r="CA18" s="60">
        <v>4845750.7199999988</v>
      </c>
      <c r="CB18" s="99">
        <v>0.92193859947868206</v>
      </c>
      <c r="CC18" s="60">
        <v>4139769.9100000006</v>
      </c>
      <c r="CD18" s="99">
        <v>0.96731707252900945</v>
      </c>
      <c r="CE18" s="60">
        <v>4213401.91</v>
      </c>
      <c r="CF18" s="99">
        <v>0.78150483527008996</v>
      </c>
      <c r="CG18" s="60">
        <v>3845963.600000001</v>
      </c>
      <c r="CH18" s="99">
        <v>0.70887271605076352</v>
      </c>
      <c r="CI18" s="60">
        <v>3786144.8499999992</v>
      </c>
      <c r="CJ18" s="99">
        <v>0.83637421746030949</v>
      </c>
      <c r="CK18" s="60">
        <v>1358245.7900000005</v>
      </c>
      <c r="CL18" s="99">
        <v>0.67629315593984807</v>
      </c>
      <c r="CM18" s="60">
        <v>551054.22999999905</v>
      </c>
      <c r="CN18" s="99">
        <v>0.27877732829680635</v>
      </c>
      <c r="CO18" s="60">
        <v>3588434.92</v>
      </c>
      <c r="CP18" s="99">
        <v>0.8828869095515669</v>
      </c>
      <c r="CQ18" s="60">
        <v>3241986.6999999993</v>
      </c>
      <c r="CR18" s="99">
        <v>0.79377189715802099</v>
      </c>
      <c r="CS18" s="60">
        <v>2527916.1900000004</v>
      </c>
      <c r="CT18" s="99">
        <v>0.5817307106601356</v>
      </c>
      <c r="CU18" s="60">
        <v>6168245.6399999987</v>
      </c>
      <c r="CV18" s="99">
        <v>0.82071234742025934</v>
      </c>
      <c r="CW18" s="60">
        <v>5603294.3200000003</v>
      </c>
      <c r="CX18" s="99">
        <v>0.79455862649671316</v>
      </c>
      <c r="CY18" s="60">
        <v>4506323.9200000009</v>
      </c>
      <c r="CZ18" s="99">
        <v>0.89962150836417687</v>
      </c>
      <c r="DA18" s="60">
        <v>6664459.5300000012</v>
      </c>
      <c r="DB18" s="99">
        <v>0.99516740666810721</v>
      </c>
      <c r="DC18" s="60">
        <v>5366670.0499999989</v>
      </c>
      <c r="DD18" s="99">
        <v>0.99852777963249539</v>
      </c>
      <c r="DE18" s="60">
        <v>4830451.1800000006</v>
      </c>
      <c r="DF18" s="99">
        <v>0.99643333083931973</v>
      </c>
      <c r="DG18" s="60">
        <v>4456573.2700000005</v>
      </c>
      <c r="DH18" s="99">
        <v>0.8902867894124461</v>
      </c>
      <c r="DI18" s="60">
        <v>3782907.2199999997</v>
      </c>
      <c r="DJ18" s="99">
        <v>0.85798964218028606</v>
      </c>
      <c r="DK18" s="60">
        <v>2090787.16</v>
      </c>
      <c r="DL18" s="99">
        <v>0.82295911646018749</v>
      </c>
      <c r="DM18" s="60">
        <v>4109528.2800000003</v>
      </c>
      <c r="DN18" s="99">
        <v>0.96678885865271047</v>
      </c>
      <c r="DO18" s="60">
        <v>1586371.2200000007</v>
      </c>
      <c r="DP18" s="99">
        <v>0.85178144429401859</v>
      </c>
      <c r="DQ18" s="60">
        <v>2754114.97</v>
      </c>
      <c r="DR18" s="99">
        <v>0.83254451320704337</v>
      </c>
      <c r="DS18" s="60">
        <v>4361214.87</v>
      </c>
      <c r="DT18" s="99">
        <v>0.88072112671692071</v>
      </c>
      <c r="DU18" s="60">
        <v>4205767.5500000007</v>
      </c>
      <c r="DV18" s="99">
        <v>0.82299568219413943</v>
      </c>
      <c r="DW18" s="60">
        <v>4094004.8400000017</v>
      </c>
      <c r="DX18" s="99">
        <v>0.89811144760147832</v>
      </c>
      <c r="DY18" s="60">
        <v>4460339.0500000007</v>
      </c>
      <c r="DZ18" s="99">
        <v>0.88923956754909805</v>
      </c>
      <c r="EA18" s="60">
        <v>3528535.5699999994</v>
      </c>
      <c r="EB18" s="99">
        <v>0.9981641715392886</v>
      </c>
      <c r="EC18" s="60">
        <v>2325983.4300000006</v>
      </c>
      <c r="ED18" s="99">
        <v>0.99425929997063789</v>
      </c>
      <c r="EE18" s="60">
        <v>4231383.2300000014</v>
      </c>
      <c r="EF18" s="99">
        <v>0.99442110253700555</v>
      </c>
      <c r="EG18" s="60">
        <v>3087735.57</v>
      </c>
      <c r="EH18" s="99">
        <v>0.99416143510142907</v>
      </c>
      <c r="EI18" s="60">
        <v>1941806.4799999995</v>
      </c>
      <c r="EJ18" s="99">
        <v>0.99016381241350537</v>
      </c>
      <c r="EK18" s="60">
        <v>989778.09000000032</v>
      </c>
      <c r="EL18" s="99">
        <v>0.98489785219950188</v>
      </c>
      <c r="EM18" s="60">
        <v>1750366.2299999993</v>
      </c>
      <c r="EN18" s="99">
        <v>0.98886136681999792</v>
      </c>
      <c r="EO18" s="60">
        <v>4208065.8100000005</v>
      </c>
      <c r="EP18" s="99">
        <v>0.99862919877053302</v>
      </c>
      <c r="EQ18" s="60">
        <v>5460205.5199999986</v>
      </c>
      <c r="ER18" s="99">
        <v>0.99786558736713737</v>
      </c>
      <c r="ES18" s="60">
        <f t="shared" si="2"/>
        <v>5019510.21</v>
      </c>
      <c r="ET18" s="99">
        <f>ES18/ES24</f>
        <v>0.9981949303629053</v>
      </c>
      <c r="EU18" s="221">
        <f>IF( SUM($EQ18:ES18)&lt;0, "n/a", SUM($EQ18:ES18)/EU$74)</f>
        <v>5239858.363932793</v>
      </c>
      <c r="EV18" s="223">
        <f>EU18/EU24</f>
        <v>0.99802330692598185</v>
      </c>
      <c r="EW18" s="22"/>
      <c r="EX18" s="100" t="s">
        <v>113</v>
      </c>
      <c r="EY18" s="150">
        <f>+EY27-EY26-EY25-EY17-EY20-EY21-EY22-EY23-EY19</f>
        <v>5019510.21</v>
      </c>
      <c r="EZ18" s="156"/>
      <c r="FA18" s="156"/>
      <c r="FB18" s="156"/>
      <c r="FC18" s="198"/>
    </row>
    <row r="19" spans="1:159" ht="21" customHeight="1" thickBot="1" x14ac:dyDescent="0.35">
      <c r="A19" s="3"/>
      <c r="B19" s="14" t="s">
        <v>107</v>
      </c>
      <c r="C19" s="60">
        <v>3072776.68</v>
      </c>
      <c r="D19" s="99">
        <v>0.60819951483330059</v>
      </c>
      <c r="E19" s="60">
        <v>4763468</v>
      </c>
      <c r="F19" s="99">
        <v>0.70028332755532607</v>
      </c>
      <c r="G19" s="60">
        <v>3289007.01</v>
      </c>
      <c r="H19" s="99">
        <v>0.41508649460295816</v>
      </c>
      <c r="I19" s="60">
        <v>1971227.71</v>
      </c>
      <c r="J19" s="99">
        <v>0.25523860815226351</v>
      </c>
      <c r="K19" s="60">
        <v>1168466.29</v>
      </c>
      <c r="L19" s="99">
        <v>0.2101997808944514</v>
      </c>
      <c r="M19" s="60">
        <v>180714.25</v>
      </c>
      <c r="N19" s="99">
        <v>3.6508146276699689E-2</v>
      </c>
      <c r="O19" s="60">
        <v>542771.38</v>
      </c>
      <c r="P19" s="99">
        <v>9.8519034892076404E-2</v>
      </c>
      <c r="Q19" s="60">
        <v>1418962.81</v>
      </c>
      <c r="R19" s="99">
        <v>0.22824807555006632</v>
      </c>
      <c r="S19" s="60">
        <v>364399.88</v>
      </c>
      <c r="T19" s="99">
        <v>8.2969243045572239E-2</v>
      </c>
      <c r="U19" s="60">
        <v>180714.33</v>
      </c>
      <c r="V19" s="99">
        <v>3.8801279062717187E-2</v>
      </c>
      <c r="W19" s="60">
        <v>770961.5</v>
      </c>
      <c r="X19" s="99">
        <v>0.17825714300769621</v>
      </c>
      <c r="Y19" s="60">
        <v>1008100.81</v>
      </c>
      <c r="Z19" s="99">
        <v>0.18633463614674997</v>
      </c>
      <c r="AA19" s="60">
        <v>853340.67</v>
      </c>
      <c r="AB19" s="99">
        <v>0.15639686100269673</v>
      </c>
      <c r="AC19" s="60">
        <v>750935.6</v>
      </c>
      <c r="AD19" s="99">
        <v>0.1248743105444779</v>
      </c>
      <c r="AE19" s="60">
        <v>180714.23999999999</v>
      </c>
      <c r="AF19" s="99">
        <v>3.1022070604744326E-2</v>
      </c>
      <c r="AG19" s="60">
        <v>0</v>
      </c>
      <c r="AH19" s="99">
        <v>0</v>
      </c>
      <c r="AI19" s="60">
        <v>916980.68</v>
      </c>
      <c r="AJ19" s="99">
        <v>0.25361958661752843</v>
      </c>
      <c r="AK19" s="60">
        <v>1507449.03</v>
      </c>
      <c r="AL19" s="99">
        <v>0.30210833838248757</v>
      </c>
      <c r="AM19" s="60">
        <v>2332349.09</v>
      </c>
      <c r="AN19" s="99">
        <v>0.4469074704733943</v>
      </c>
      <c r="AO19" s="60">
        <v>2539591.6</v>
      </c>
      <c r="AP19" s="99">
        <v>0.36024800021908876</v>
      </c>
      <c r="AQ19" s="60">
        <v>4263810.37</v>
      </c>
      <c r="AR19" s="99">
        <v>0.46994170483107811</v>
      </c>
      <c r="AS19" s="60">
        <v>2616119.7999999998</v>
      </c>
      <c r="AT19" s="99">
        <v>0.40372961736621821</v>
      </c>
      <c r="AU19" s="60">
        <v>2171947.36</v>
      </c>
      <c r="AV19" s="99">
        <v>0.43142894274341115</v>
      </c>
      <c r="AW19" s="60">
        <v>2055005.61</v>
      </c>
      <c r="AX19" s="99">
        <v>0.43379011934434958</v>
      </c>
      <c r="AY19" s="60">
        <v>3323541.73</v>
      </c>
      <c r="AZ19" s="99">
        <v>0.5143121470050096</v>
      </c>
      <c r="BA19" s="60">
        <v>3242844.84</v>
      </c>
      <c r="BB19" s="99">
        <v>0.43580409299157741</v>
      </c>
      <c r="BC19" s="60">
        <v>3981013.36</v>
      </c>
      <c r="BD19" s="99">
        <v>0.44750573863201309</v>
      </c>
      <c r="BE19" s="60">
        <v>1335226.23</v>
      </c>
      <c r="BF19" s="99">
        <v>0.2200047438167668</v>
      </c>
      <c r="BG19" s="60">
        <v>3269334.21</v>
      </c>
      <c r="BH19" s="99">
        <v>0.38381729233294487</v>
      </c>
      <c r="BI19" s="60">
        <v>3212381.82</v>
      </c>
      <c r="BJ19" s="99">
        <v>0.42754977299659086</v>
      </c>
      <c r="BK19" s="60">
        <v>1611277.06</v>
      </c>
      <c r="BL19" s="99">
        <v>0.3001002443701557</v>
      </c>
      <c r="BM19" s="60">
        <v>1816859.26</v>
      </c>
      <c r="BN19" s="99">
        <v>0.58141870368850912</v>
      </c>
      <c r="BO19" s="60">
        <v>1895834.27</v>
      </c>
      <c r="BP19" s="99">
        <v>0.67851233130564814</v>
      </c>
      <c r="BQ19" s="60">
        <v>1566979.5</v>
      </c>
      <c r="BR19" s="99">
        <v>0.4439479396433802</v>
      </c>
      <c r="BS19" s="60">
        <v>1306603.73</v>
      </c>
      <c r="BT19" s="99">
        <v>0.37707296649575417</v>
      </c>
      <c r="BU19" s="60">
        <v>1234833.1499999999</v>
      </c>
      <c r="BV19" s="99">
        <v>0.37336191065676633</v>
      </c>
      <c r="BW19" s="60">
        <v>2464475.06</v>
      </c>
      <c r="BX19" s="99">
        <v>0.45038121669864811</v>
      </c>
      <c r="BY19" s="60">
        <v>2125322.88</v>
      </c>
      <c r="BZ19" s="99">
        <v>0.37281188089575024</v>
      </c>
      <c r="CA19" s="60">
        <v>405071.15</v>
      </c>
      <c r="CB19" s="99">
        <v>7.7067672337923984E-2</v>
      </c>
      <c r="CC19" s="60">
        <v>135694.15</v>
      </c>
      <c r="CD19" s="99">
        <v>3.1706899366615346E-2</v>
      </c>
      <c r="CE19" s="60">
        <v>1172968.33</v>
      </c>
      <c r="CF19" s="99">
        <v>0.21756301465997166</v>
      </c>
      <c r="CG19" s="60">
        <v>1563906.1</v>
      </c>
      <c r="CH19" s="99">
        <v>0.288252952980459</v>
      </c>
      <c r="CI19" s="60">
        <v>710692.68</v>
      </c>
      <c r="CJ19" s="99">
        <v>0.15699479487420306</v>
      </c>
      <c r="CK19" s="60">
        <v>599464.89</v>
      </c>
      <c r="CL19" s="99">
        <v>0.29848353318528137</v>
      </c>
      <c r="CM19" s="60">
        <v>1415125.59</v>
      </c>
      <c r="CN19" s="99">
        <v>0.71590945084414381</v>
      </c>
      <c r="CO19" s="60">
        <v>473909.82</v>
      </c>
      <c r="CP19" s="99">
        <v>0.11659923774957004</v>
      </c>
      <c r="CQ19" s="60">
        <v>835155.51</v>
      </c>
      <c r="CR19" s="99">
        <v>0.20448047291331414</v>
      </c>
      <c r="CS19" s="60">
        <v>1807635.67</v>
      </c>
      <c r="CT19" s="99">
        <v>0.41597786630881545</v>
      </c>
      <c r="CU19" s="60">
        <v>1328607.98</v>
      </c>
      <c r="CV19" s="99">
        <v>0.17677716448190756</v>
      </c>
      <c r="CW19" s="60">
        <v>1418875.71</v>
      </c>
      <c r="CX19" s="99">
        <v>0.20119948568169244</v>
      </c>
      <c r="CY19" s="60">
        <v>497783.63</v>
      </c>
      <c r="CZ19" s="99">
        <v>9.9375204270623144E-2</v>
      </c>
      <c r="DA19" s="60">
        <v>0</v>
      </c>
      <c r="DB19" s="99">
        <v>0</v>
      </c>
      <c r="DC19" s="60">
        <v>0</v>
      </c>
      <c r="DD19" s="99">
        <v>0</v>
      </c>
      <c r="DE19" s="60">
        <v>0</v>
      </c>
      <c r="DF19" s="99">
        <v>0</v>
      </c>
      <c r="DG19" s="60">
        <v>537378.12</v>
      </c>
      <c r="DH19" s="99">
        <v>0.10735168304666876</v>
      </c>
      <c r="DI19" s="60">
        <v>539002.13</v>
      </c>
      <c r="DJ19" s="99">
        <v>0.12224942821968339</v>
      </c>
      <c r="DK19" s="60">
        <v>449239.26</v>
      </c>
      <c r="DL19" s="99">
        <v>0.17682600676045307</v>
      </c>
      <c r="DM19" s="60">
        <v>134179.21</v>
      </c>
      <c r="DN19" s="99">
        <v>3.1566388269463945E-2</v>
      </c>
      <c r="DO19" s="60">
        <v>267373.53000000003</v>
      </c>
      <c r="DP19" s="99">
        <v>0.14356274791053636</v>
      </c>
      <c r="DQ19" s="60">
        <v>535021.9</v>
      </c>
      <c r="DR19" s="99">
        <v>0.16173237215678307</v>
      </c>
      <c r="DS19" s="60">
        <v>584322.05000000005</v>
      </c>
      <c r="DT19" s="99">
        <v>0.11800032550139886</v>
      </c>
      <c r="DU19" s="60">
        <v>893860.77</v>
      </c>
      <c r="DV19" s="99">
        <v>0.17491303203210282</v>
      </c>
      <c r="DW19" s="60">
        <v>447575.26</v>
      </c>
      <c r="DX19" s="99">
        <v>9.8185634941557104E-2</v>
      </c>
      <c r="DY19" s="60">
        <v>537479.68999999994</v>
      </c>
      <c r="DZ19" s="99">
        <v>0.10715512918284163</v>
      </c>
      <c r="EA19" s="60">
        <v>0</v>
      </c>
      <c r="EB19" s="99">
        <v>0</v>
      </c>
      <c r="EC19" s="60">
        <v>0</v>
      </c>
      <c r="ED19" s="99">
        <v>0</v>
      </c>
      <c r="EE19" s="60">
        <v>0</v>
      </c>
      <c r="EF19" s="99">
        <v>0</v>
      </c>
      <c r="EG19" s="60">
        <v>0</v>
      </c>
      <c r="EH19" s="99">
        <v>0</v>
      </c>
      <c r="EI19" s="60">
        <v>0</v>
      </c>
      <c r="EJ19" s="99">
        <v>0</v>
      </c>
      <c r="EK19" s="60">
        <v>0</v>
      </c>
      <c r="EL19" s="99">
        <v>0</v>
      </c>
      <c r="EM19" s="60">
        <v>0</v>
      </c>
      <c r="EN19" s="99">
        <v>0</v>
      </c>
      <c r="EO19" s="60">
        <v>0</v>
      </c>
      <c r="EP19" s="99">
        <v>0</v>
      </c>
      <c r="EQ19" s="60">
        <v>0</v>
      </c>
      <c r="ER19" s="99">
        <v>0</v>
      </c>
      <c r="ES19" s="60">
        <f t="shared" si="2"/>
        <v>0</v>
      </c>
      <c r="ET19" s="99">
        <f>ES19/ES24</f>
        <v>0</v>
      </c>
      <c r="EU19" s="221">
        <f>IF( SUM($EQ19:ES19)&lt;0, "n/a", SUM($EQ19:ES19)/EU$74)</f>
        <v>0</v>
      </c>
      <c r="EV19" s="224">
        <f>EU19/EU24</f>
        <v>0</v>
      </c>
      <c r="EW19" s="22"/>
      <c r="EX19" s="154" t="s">
        <v>112</v>
      </c>
      <c r="EY19" s="157">
        <f>IF(ISERROR(VLOOKUP(EX19,IQSH01E!$A$1:$M$400,2,0)),0,VLOOKUP(EX19,IQSH01E!$A$1:$M$400,2,0))</f>
        <v>0</v>
      </c>
      <c r="EZ19" s="158"/>
      <c r="FA19" s="158"/>
      <c r="FB19" s="158"/>
      <c r="FC19" s="184" t="s">
        <v>117</v>
      </c>
    </row>
    <row r="20" spans="1:159" ht="21" customHeight="1" x14ac:dyDescent="0.3">
      <c r="A20" s="152"/>
      <c r="B20" s="14" t="s">
        <v>80</v>
      </c>
      <c r="C20" s="60">
        <v>4122.3</v>
      </c>
      <c r="D20" s="99">
        <v>8.1593331409860706E-4</v>
      </c>
      <c r="E20" s="60">
        <v>17174.95</v>
      </c>
      <c r="F20" s="99">
        <v>2.5249106610134358E-3</v>
      </c>
      <c r="G20" s="60">
        <v>10943.59</v>
      </c>
      <c r="H20" s="99">
        <v>1.3811270081397569E-3</v>
      </c>
      <c r="I20" s="60">
        <v>62665.34</v>
      </c>
      <c r="J20" s="99">
        <v>8.1140367902946958E-3</v>
      </c>
      <c r="K20" s="60">
        <v>38282.050000000003</v>
      </c>
      <c r="L20" s="99">
        <v>6.8867014744519789E-3</v>
      </c>
      <c r="M20" s="60">
        <v>15014.77</v>
      </c>
      <c r="N20" s="99">
        <v>3.0333048969353672E-3</v>
      </c>
      <c r="O20" s="60">
        <v>64286.42</v>
      </c>
      <c r="P20" s="99">
        <v>1.1668699361168745E-2</v>
      </c>
      <c r="Q20" s="60">
        <v>90860.77</v>
      </c>
      <c r="R20" s="99">
        <v>1.4615461201197513E-2</v>
      </c>
      <c r="S20" s="60">
        <v>67663.83</v>
      </c>
      <c r="T20" s="99">
        <v>1.540619814875977E-2</v>
      </c>
      <c r="U20" s="60">
        <v>40591.919999999998</v>
      </c>
      <c r="V20" s="99">
        <v>8.7155147885145078E-3</v>
      </c>
      <c r="W20" s="60">
        <v>40215.360000000001</v>
      </c>
      <c r="X20" s="99">
        <v>9.298356894119857E-3</v>
      </c>
      <c r="Y20" s="60">
        <v>24649.69</v>
      </c>
      <c r="Z20" s="99">
        <v>4.556182250543158E-3</v>
      </c>
      <c r="AA20" s="60">
        <v>82592.39</v>
      </c>
      <c r="AB20" s="99">
        <v>1.5137202518087553E-2</v>
      </c>
      <c r="AC20" s="60">
        <v>35345.31</v>
      </c>
      <c r="AD20" s="99">
        <v>5.8776294761239706E-3</v>
      </c>
      <c r="AE20" s="60">
        <v>39688.589999999997</v>
      </c>
      <c r="AF20" s="99">
        <v>6.813089224085217E-3</v>
      </c>
      <c r="AG20" s="60">
        <v>57564.55</v>
      </c>
      <c r="AH20" s="99">
        <v>1.4238836308259232E-2</v>
      </c>
      <c r="AI20" s="60">
        <v>28717.82</v>
      </c>
      <c r="AJ20" s="99">
        <v>7.942808170131337E-3</v>
      </c>
      <c r="AK20" s="60">
        <v>49927.8</v>
      </c>
      <c r="AL20" s="99">
        <v>1.000604623898505E-2</v>
      </c>
      <c r="AM20" s="60">
        <v>46414.83</v>
      </c>
      <c r="AN20" s="99">
        <v>8.8936661997508354E-3</v>
      </c>
      <c r="AO20" s="60">
        <v>11384.63</v>
      </c>
      <c r="AP20" s="99">
        <v>1.6149408395957224E-3</v>
      </c>
      <c r="AQ20" s="60">
        <v>29056.37</v>
      </c>
      <c r="AR20" s="99">
        <v>3.202487650500881E-3</v>
      </c>
      <c r="AS20" s="60">
        <v>37803.03</v>
      </c>
      <c r="AT20" s="99">
        <v>5.8339082320250273E-3</v>
      </c>
      <c r="AU20" s="60">
        <v>41529.17</v>
      </c>
      <c r="AV20" s="99">
        <v>8.2492265862794158E-3</v>
      </c>
      <c r="AW20" s="60">
        <v>50174.73</v>
      </c>
      <c r="AX20" s="99">
        <v>1.0591358976762364E-2</v>
      </c>
      <c r="AY20" s="60">
        <v>8935.52</v>
      </c>
      <c r="AZ20" s="99">
        <v>1.3827557615189636E-3</v>
      </c>
      <c r="BA20" s="60">
        <v>0</v>
      </c>
      <c r="BB20" s="99">
        <v>0</v>
      </c>
      <c r="BC20" s="60">
        <v>14346.12</v>
      </c>
      <c r="BD20" s="99">
        <v>1.6126474459014365E-3</v>
      </c>
      <c r="BE20" s="60">
        <v>16625.77</v>
      </c>
      <c r="BF20" s="99">
        <v>2.7394221199552732E-3</v>
      </c>
      <c r="BG20" s="60">
        <v>40746.949999999997</v>
      </c>
      <c r="BH20" s="99">
        <v>4.7836602241487832E-3</v>
      </c>
      <c r="BI20" s="60">
        <v>40464.43</v>
      </c>
      <c r="BJ20" s="99">
        <v>5.3855857834908434E-3</v>
      </c>
      <c r="BK20" s="60">
        <v>40722.71</v>
      </c>
      <c r="BL20" s="99">
        <v>7.5846020065692384E-3</v>
      </c>
      <c r="BM20" s="60">
        <v>25167.07</v>
      </c>
      <c r="BN20" s="99">
        <v>8.0537912524044197E-3</v>
      </c>
      <c r="BO20" s="60">
        <v>34264.86</v>
      </c>
      <c r="BP20" s="99">
        <v>1.226327132511517E-2</v>
      </c>
      <c r="BQ20" s="60">
        <v>12318.28</v>
      </c>
      <c r="BR20" s="99">
        <v>3.4899467580464566E-3</v>
      </c>
      <c r="BS20" s="60">
        <v>7301.99</v>
      </c>
      <c r="BT20" s="99">
        <v>2.1072823897589302E-3</v>
      </c>
      <c r="BU20" s="60">
        <v>23496.48</v>
      </c>
      <c r="BV20" s="99">
        <v>7.1043530589606357E-3</v>
      </c>
      <c r="BW20" s="60">
        <v>5025.59</v>
      </c>
      <c r="BX20" s="99">
        <v>9.1842330870597606E-4</v>
      </c>
      <c r="BY20" s="60">
        <v>4817.1400000000003</v>
      </c>
      <c r="BZ20" s="99">
        <v>8.4499491387311201E-4</v>
      </c>
      <c r="CA20" s="60">
        <v>5025.6099999999997</v>
      </c>
      <c r="CB20" s="99">
        <v>9.5615810895985592E-4</v>
      </c>
      <c r="CC20" s="60">
        <v>4177.05</v>
      </c>
      <c r="CD20" s="99">
        <v>9.7602810437532217E-4</v>
      </c>
      <c r="CE20" s="60">
        <v>5025.59</v>
      </c>
      <c r="CF20" s="99">
        <v>9.3215006993838177E-4</v>
      </c>
      <c r="CG20" s="60">
        <v>15594.58</v>
      </c>
      <c r="CH20" s="99">
        <v>2.8743309687774771E-3</v>
      </c>
      <c r="CI20" s="60">
        <v>30017.52</v>
      </c>
      <c r="CJ20" s="99">
        <v>6.6309876654875458E-3</v>
      </c>
      <c r="CK20" s="60">
        <v>7379.12</v>
      </c>
      <c r="CL20" s="99">
        <v>3.6741865055652774E-3</v>
      </c>
      <c r="CM20" s="60">
        <v>10502.55</v>
      </c>
      <c r="CN20" s="99">
        <v>5.3132208590498048E-3</v>
      </c>
      <c r="CO20" s="60">
        <v>2088.52</v>
      </c>
      <c r="CP20" s="99">
        <v>5.1385269886311286E-4</v>
      </c>
      <c r="CQ20" s="60">
        <v>7137.81</v>
      </c>
      <c r="CR20" s="99">
        <v>1.7476299286648819E-3</v>
      </c>
      <c r="CS20" s="60">
        <v>8912.4</v>
      </c>
      <c r="CT20" s="99">
        <v>2.050944887412344E-3</v>
      </c>
      <c r="CU20" s="60">
        <v>18868.13</v>
      </c>
      <c r="CV20" s="99">
        <v>2.5104880978330528E-3</v>
      </c>
      <c r="CW20" s="60">
        <v>29914.15</v>
      </c>
      <c r="CX20" s="99">
        <v>4.2418878215943244E-3</v>
      </c>
      <c r="CY20" s="60">
        <v>5025.6000000000004</v>
      </c>
      <c r="CZ20" s="99">
        <v>1.0032873652001046E-3</v>
      </c>
      <c r="DA20" s="60">
        <v>32363.02</v>
      </c>
      <c r="DB20" s="99">
        <v>4.8325933318928982E-3</v>
      </c>
      <c r="DC20" s="60">
        <v>7912.57</v>
      </c>
      <c r="DD20" s="99">
        <v>1.4722203675045563E-3</v>
      </c>
      <c r="DE20" s="60">
        <v>17290.29</v>
      </c>
      <c r="DF20" s="99">
        <v>3.566669160680303E-3</v>
      </c>
      <c r="DG20" s="60">
        <v>11821.27</v>
      </c>
      <c r="DH20" s="99">
        <v>2.3615275408851669E-3</v>
      </c>
      <c r="DI20" s="60">
        <v>38374.04</v>
      </c>
      <c r="DJ20" s="99">
        <v>8.7034989054296675E-3</v>
      </c>
      <c r="DK20" s="60">
        <v>529.91</v>
      </c>
      <c r="DL20" s="99">
        <v>2.0857898582245834E-4</v>
      </c>
      <c r="DM20" s="60">
        <v>6991.35</v>
      </c>
      <c r="DN20" s="99">
        <v>1.644753077825669E-3</v>
      </c>
      <c r="DO20" s="60">
        <v>8671.0499999999993</v>
      </c>
      <c r="DP20" s="99">
        <v>4.6558077954450324E-3</v>
      </c>
      <c r="DQ20" s="60">
        <v>18932.46</v>
      </c>
      <c r="DR20" s="99">
        <v>5.7231146361736013E-3</v>
      </c>
      <c r="DS20" s="60">
        <v>6331.2</v>
      </c>
      <c r="DT20" s="99">
        <v>1.2785477816804217E-3</v>
      </c>
      <c r="DU20" s="60">
        <v>10687.13</v>
      </c>
      <c r="DV20" s="99">
        <v>2.0912857737578603E-3</v>
      </c>
      <c r="DW20" s="60">
        <v>16879.599999999999</v>
      </c>
      <c r="DX20" s="99">
        <v>3.7029174569646836E-3</v>
      </c>
      <c r="DY20" s="60">
        <v>18083.849999999999</v>
      </c>
      <c r="DZ20" s="99">
        <v>3.6053032680604747E-3</v>
      </c>
      <c r="EA20" s="60">
        <v>6489.7</v>
      </c>
      <c r="EB20" s="99">
        <v>1.8358284607113999E-3</v>
      </c>
      <c r="EC20" s="60">
        <v>13429.87</v>
      </c>
      <c r="ED20" s="99">
        <v>5.740700029362061E-3</v>
      </c>
      <c r="EE20" s="60">
        <v>23738.89</v>
      </c>
      <c r="EF20" s="99">
        <v>5.5788974629945509E-3</v>
      </c>
      <c r="EG20" s="60">
        <v>18133.82</v>
      </c>
      <c r="EH20" s="99">
        <v>5.8385648985709608E-3</v>
      </c>
      <c r="EI20" s="60">
        <v>17963.580000000002</v>
      </c>
      <c r="EJ20" s="99">
        <v>9.1599688437516199E-3</v>
      </c>
      <c r="EK20" s="60">
        <v>15176.98</v>
      </c>
      <c r="EL20" s="99">
        <v>1.510214780049818E-2</v>
      </c>
      <c r="EM20" s="60">
        <v>19716.3</v>
      </c>
      <c r="EN20" s="99">
        <v>1.1138633180002069E-2</v>
      </c>
      <c r="EO20" s="60">
        <v>2119.64</v>
      </c>
      <c r="EP20" s="99">
        <v>5.0301836769087323E-4</v>
      </c>
      <c r="EQ20" s="60">
        <v>9369.82</v>
      </c>
      <c r="ER20" s="99">
        <v>1.7123569623116225E-3</v>
      </c>
      <c r="ES20" s="60">
        <f t="shared" si="2"/>
        <v>9076.9500000000007</v>
      </c>
      <c r="ET20" s="99">
        <f>ES20/ES24</f>
        <v>1.8050696370946469E-3</v>
      </c>
      <c r="EU20" s="221">
        <f>IF( SUM($EQ20:ES20)&lt;0, "n/a", SUM($EQ20:ES20)/EU$74)</f>
        <v>9223.38585617848</v>
      </c>
      <c r="EV20" s="224">
        <f>EU20/EU24</f>
        <v>1.7567562735280914E-3</v>
      </c>
      <c r="EW20" s="22"/>
      <c r="EX20" s="96" t="s">
        <v>42</v>
      </c>
      <c r="EY20" s="153">
        <f>IF(ISERROR(VLOOKUP(EX20,IQSH01E!$A$1:$M$400,2,0)),0,VLOOKUP(EX20,IQSH01E!$A$1:$M$400,2,0))</f>
        <v>9076.9500000000007</v>
      </c>
      <c r="EZ20" s="159"/>
      <c r="FA20" s="17"/>
      <c r="FB20" s="17"/>
      <c r="FC20" s="185" t="s">
        <v>118</v>
      </c>
    </row>
    <row r="21" spans="1:159" ht="21" customHeight="1" x14ac:dyDescent="0.3">
      <c r="A21" s="5"/>
      <c r="B21" s="14" t="s">
        <v>81</v>
      </c>
      <c r="C21" s="18">
        <v>0</v>
      </c>
      <c r="D21" s="92">
        <v>0</v>
      </c>
      <c r="E21" s="18">
        <v>0</v>
      </c>
      <c r="F21" s="92">
        <v>0</v>
      </c>
      <c r="G21" s="18">
        <v>0</v>
      </c>
      <c r="H21" s="92">
        <v>0</v>
      </c>
      <c r="I21" s="18">
        <v>0</v>
      </c>
      <c r="J21" s="92">
        <v>0</v>
      </c>
      <c r="K21" s="18">
        <v>0</v>
      </c>
      <c r="L21" s="92">
        <v>0</v>
      </c>
      <c r="M21" s="18">
        <v>0</v>
      </c>
      <c r="N21" s="92">
        <v>0</v>
      </c>
      <c r="O21" s="18">
        <v>0</v>
      </c>
      <c r="P21" s="92">
        <v>0</v>
      </c>
      <c r="Q21" s="18">
        <v>0</v>
      </c>
      <c r="R21" s="92">
        <v>0</v>
      </c>
      <c r="S21" s="18">
        <v>0</v>
      </c>
      <c r="T21" s="92">
        <v>0</v>
      </c>
      <c r="U21" s="18">
        <v>0</v>
      </c>
      <c r="V21" s="92">
        <v>0</v>
      </c>
      <c r="W21" s="18">
        <v>0</v>
      </c>
      <c r="X21" s="92">
        <v>0</v>
      </c>
      <c r="Y21" s="18">
        <v>0</v>
      </c>
      <c r="Z21" s="92">
        <v>0</v>
      </c>
      <c r="AA21" s="18">
        <v>0</v>
      </c>
      <c r="AB21" s="92">
        <v>0</v>
      </c>
      <c r="AC21" s="18">
        <v>0</v>
      </c>
      <c r="AD21" s="92">
        <v>0</v>
      </c>
      <c r="AE21" s="18">
        <v>0</v>
      </c>
      <c r="AF21" s="92">
        <v>0</v>
      </c>
      <c r="AG21" s="18">
        <v>0</v>
      </c>
      <c r="AH21" s="92">
        <v>0</v>
      </c>
      <c r="AI21" s="18">
        <v>0</v>
      </c>
      <c r="AJ21" s="92">
        <v>0</v>
      </c>
      <c r="AK21" s="18">
        <v>0</v>
      </c>
      <c r="AL21" s="92">
        <v>0</v>
      </c>
      <c r="AM21" s="18">
        <v>0</v>
      </c>
      <c r="AN21" s="92">
        <v>0</v>
      </c>
      <c r="AO21" s="18">
        <v>0</v>
      </c>
      <c r="AP21" s="92">
        <v>0</v>
      </c>
      <c r="AQ21" s="18">
        <v>0</v>
      </c>
      <c r="AR21" s="92">
        <v>0</v>
      </c>
      <c r="AS21" s="18">
        <v>0</v>
      </c>
      <c r="AT21" s="92">
        <v>0</v>
      </c>
      <c r="AU21" s="18">
        <v>0</v>
      </c>
      <c r="AV21" s="92">
        <v>0</v>
      </c>
      <c r="AW21" s="18">
        <v>0</v>
      </c>
      <c r="AX21" s="92">
        <v>0</v>
      </c>
      <c r="AY21" s="18">
        <v>0</v>
      </c>
      <c r="AZ21" s="92">
        <v>0</v>
      </c>
      <c r="BA21" s="18">
        <v>0</v>
      </c>
      <c r="BB21" s="92">
        <v>0</v>
      </c>
      <c r="BC21" s="18">
        <v>0</v>
      </c>
      <c r="BD21" s="92">
        <v>0</v>
      </c>
      <c r="BE21" s="18">
        <v>0</v>
      </c>
      <c r="BF21" s="92">
        <v>0</v>
      </c>
      <c r="BG21" s="18">
        <v>0</v>
      </c>
      <c r="BH21" s="92">
        <v>0</v>
      </c>
      <c r="BI21" s="18">
        <v>0</v>
      </c>
      <c r="BJ21" s="92">
        <v>0</v>
      </c>
      <c r="BK21" s="18">
        <v>0</v>
      </c>
      <c r="BL21" s="92">
        <v>0</v>
      </c>
      <c r="BM21" s="18">
        <v>0</v>
      </c>
      <c r="BN21" s="92">
        <v>0</v>
      </c>
      <c r="BO21" s="18">
        <v>0</v>
      </c>
      <c r="BP21" s="92">
        <v>0</v>
      </c>
      <c r="BQ21" s="18">
        <v>0</v>
      </c>
      <c r="BR21" s="92">
        <v>0</v>
      </c>
      <c r="BS21" s="18">
        <v>0</v>
      </c>
      <c r="BT21" s="92">
        <v>0</v>
      </c>
      <c r="BU21" s="18">
        <v>0</v>
      </c>
      <c r="BV21" s="92">
        <v>0</v>
      </c>
      <c r="BW21" s="18">
        <v>0</v>
      </c>
      <c r="BX21" s="92">
        <v>0</v>
      </c>
      <c r="BY21" s="18">
        <v>0</v>
      </c>
      <c r="BZ21" s="92">
        <v>0</v>
      </c>
      <c r="CA21" s="18">
        <v>0</v>
      </c>
      <c r="CB21" s="92">
        <v>0</v>
      </c>
      <c r="CC21" s="18">
        <v>0</v>
      </c>
      <c r="CD21" s="92">
        <v>0</v>
      </c>
      <c r="CE21" s="18">
        <v>0</v>
      </c>
      <c r="CF21" s="92">
        <v>0</v>
      </c>
      <c r="CG21" s="18">
        <v>0</v>
      </c>
      <c r="CH21" s="92">
        <v>0</v>
      </c>
      <c r="CI21" s="18">
        <v>0</v>
      </c>
      <c r="CJ21" s="92">
        <v>0</v>
      </c>
      <c r="CK21" s="18">
        <v>0</v>
      </c>
      <c r="CL21" s="92">
        <v>0</v>
      </c>
      <c r="CM21" s="18">
        <v>0</v>
      </c>
      <c r="CN21" s="92">
        <v>0</v>
      </c>
      <c r="CO21" s="18">
        <v>0</v>
      </c>
      <c r="CP21" s="92">
        <v>0</v>
      </c>
      <c r="CQ21" s="18">
        <v>0</v>
      </c>
      <c r="CR21" s="92">
        <v>0</v>
      </c>
      <c r="CS21" s="18">
        <v>0</v>
      </c>
      <c r="CT21" s="92">
        <v>0</v>
      </c>
      <c r="CU21" s="18">
        <v>0</v>
      </c>
      <c r="CV21" s="92">
        <v>0</v>
      </c>
      <c r="CW21" s="18">
        <v>0</v>
      </c>
      <c r="CX21" s="92">
        <v>0</v>
      </c>
      <c r="CY21" s="18">
        <v>0</v>
      </c>
      <c r="CZ21" s="92">
        <v>0</v>
      </c>
      <c r="DA21" s="18">
        <v>0</v>
      </c>
      <c r="DB21" s="92">
        <v>0</v>
      </c>
      <c r="DC21" s="18">
        <v>0</v>
      </c>
      <c r="DD21" s="92">
        <v>0</v>
      </c>
      <c r="DE21" s="18">
        <v>0</v>
      </c>
      <c r="DF21" s="92">
        <v>0</v>
      </c>
      <c r="DG21" s="18">
        <v>0</v>
      </c>
      <c r="DH21" s="92">
        <v>0</v>
      </c>
      <c r="DI21" s="18">
        <v>0</v>
      </c>
      <c r="DJ21" s="92">
        <v>0</v>
      </c>
      <c r="DK21" s="18">
        <v>0</v>
      </c>
      <c r="DL21" s="92">
        <v>0</v>
      </c>
      <c r="DM21" s="18">
        <v>0</v>
      </c>
      <c r="DN21" s="92">
        <v>0</v>
      </c>
      <c r="DO21" s="18">
        <v>0</v>
      </c>
      <c r="DP21" s="92">
        <v>0</v>
      </c>
      <c r="DQ21" s="18">
        <v>0</v>
      </c>
      <c r="DR21" s="92">
        <v>0</v>
      </c>
      <c r="DS21" s="18">
        <v>0</v>
      </c>
      <c r="DT21" s="92">
        <v>0</v>
      </c>
      <c r="DU21" s="18">
        <v>0</v>
      </c>
      <c r="DV21" s="92">
        <v>0</v>
      </c>
      <c r="DW21" s="18">
        <v>0</v>
      </c>
      <c r="DX21" s="92">
        <v>0</v>
      </c>
      <c r="DY21" s="18">
        <v>0</v>
      </c>
      <c r="DZ21" s="92">
        <v>0</v>
      </c>
      <c r="EA21" s="18">
        <v>0</v>
      </c>
      <c r="EB21" s="92">
        <v>0</v>
      </c>
      <c r="EC21" s="18">
        <v>0</v>
      </c>
      <c r="ED21" s="92">
        <v>0</v>
      </c>
      <c r="EE21" s="18">
        <v>0</v>
      </c>
      <c r="EF21" s="92">
        <v>0</v>
      </c>
      <c r="EG21" s="18">
        <v>0</v>
      </c>
      <c r="EH21" s="92">
        <v>0</v>
      </c>
      <c r="EI21" s="18">
        <v>0</v>
      </c>
      <c r="EJ21" s="92">
        <v>0</v>
      </c>
      <c r="EK21" s="18">
        <v>0</v>
      </c>
      <c r="EL21" s="92">
        <v>0</v>
      </c>
      <c r="EM21" s="18">
        <v>0</v>
      </c>
      <c r="EN21" s="92">
        <v>0</v>
      </c>
      <c r="EO21" s="18">
        <v>0</v>
      </c>
      <c r="EP21" s="92">
        <v>0</v>
      </c>
      <c r="EQ21" s="18">
        <v>0</v>
      </c>
      <c r="ER21" s="92">
        <v>0</v>
      </c>
      <c r="ES21" s="18">
        <f t="shared" si="2"/>
        <v>0</v>
      </c>
      <c r="ET21" s="92">
        <f>ES21/ES24</f>
        <v>0</v>
      </c>
      <c r="EU21" s="221">
        <f>IF( SUM($EQ21:ES21)&lt;0, "n/a", SUM($EQ21:ES21)/EU$74)</f>
        <v>0</v>
      </c>
      <c r="EV21" s="224">
        <f>EU21/EU24</f>
        <v>0</v>
      </c>
      <c r="EW21" s="22"/>
      <c r="EX21" s="96" t="s">
        <v>124</v>
      </c>
      <c r="EY21" s="35">
        <f>IF(ISERROR(VLOOKUP(EX21,IQSH01E!$A$1:$M$400,2,0)),0,VLOOKUP(EX21,IQSH01E!$A$1:$M$400,2,0))</f>
        <v>0</v>
      </c>
      <c r="EZ21" s="42"/>
      <c r="FA21" s="43"/>
      <c r="FB21" s="43"/>
      <c r="FC21" s="182" t="s">
        <v>123</v>
      </c>
    </row>
    <row r="22" spans="1:159" ht="21" customHeight="1" x14ac:dyDescent="0.3">
      <c r="A22" s="5" t="s">
        <v>87</v>
      </c>
      <c r="B22" s="14" t="s">
        <v>82</v>
      </c>
      <c r="C22" s="18">
        <v>0</v>
      </c>
      <c r="D22" s="92">
        <v>0</v>
      </c>
      <c r="E22" s="18">
        <v>0</v>
      </c>
      <c r="F22" s="92">
        <v>0</v>
      </c>
      <c r="G22" s="18">
        <v>0</v>
      </c>
      <c r="H22" s="92">
        <v>0</v>
      </c>
      <c r="I22" s="18">
        <v>0</v>
      </c>
      <c r="J22" s="92">
        <v>0</v>
      </c>
      <c r="K22" s="18">
        <v>0</v>
      </c>
      <c r="L22" s="92">
        <v>0</v>
      </c>
      <c r="M22" s="18">
        <v>0</v>
      </c>
      <c r="N22" s="92">
        <v>0</v>
      </c>
      <c r="O22" s="18">
        <v>0</v>
      </c>
      <c r="P22" s="92">
        <v>0</v>
      </c>
      <c r="Q22" s="18">
        <v>0</v>
      </c>
      <c r="R22" s="92">
        <v>0</v>
      </c>
      <c r="S22" s="18">
        <v>0</v>
      </c>
      <c r="T22" s="92">
        <v>0</v>
      </c>
      <c r="U22" s="18">
        <v>0</v>
      </c>
      <c r="V22" s="92">
        <v>0</v>
      </c>
      <c r="W22" s="18">
        <v>0</v>
      </c>
      <c r="X22" s="92">
        <v>0</v>
      </c>
      <c r="Y22" s="18">
        <v>0</v>
      </c>
      <c r="Z22" s="92">
        <v>0</v>
      </c>
      <c r="AA22" s="18">
        <v>0</v>
      </c>
      <c r="AB22" s="92">
        <v>0</v>
      </c>
      <c r="AC22" s="18">
        <v>0</v>
      </c>
      <c r="AD22" s="92">
        <v>0</v>
      </c>
      <c r="AE22" s="18">
        <v>0</v>
      </c>
      <c r="AF22" s="92">
        <v>0</v>
      </c>
      <c r="AG22" s="18">
        <v>0</v>
      </c>
      <c r="AH22" s="92">
        <v>0</v>
      </c>
      <c r="AI22" s="18">
        <v>0</v>
      </c>
      <c r="AJ22" s="92">
        <v>0</v>
      </c>
      <c r="AK22" s="18">
        <v>0</v>
      </c>
      <c r="AL22" s="92">
        <v>0</v>
      </c>
      <c r="AM22" s="18">
        <v>0</v>
      </c>
      <c r="AN22" s="92">
        <v>0</v>
      </c>
      <c r="AO22" s="18">
        <v>0</v>
      </c>
      <c r="AP22" s="92">
        <v>0</v>
      </c>
      <c r="AQ22" s="18">
        <v>0</v>
      </c>
      <c r="AR22" s="92">
        <v>0</v>
      </c>
      <c r="AS22" s="18">
        <v>0</v>
      </c>
      <c r="AT22" s="92">
        <v>0</v>
      </c>
      <c r="AU22" s="18">
        <v>0</v>
      </c>
      <c r="AV22" s="92">
        <v>0</v>
      </c>
      <c r="AW22" s="18">
        <v>0</v>
      </c>
      <c r="AX22" s="92">
        <v>0</v>
      </c>
      <c r="AY22" s="18">
        <v>0</v>
      </c>
      <c r="AZ22" s="92">
        <v>0</v>
      </c>
      <c r="BA22" s="18">
        <v>0</v>
      </c>
      <c r="BB22" s="92">
        <v>0</v>
      </c>
      <c r="BC22" s="18">
        <v>0</v>
      </c>
      <c r="BD22" s="92">
        <v>0</v>
      </c>
      <c r="BE22" s="18">
        <v>0</v>
      </c>
      <c r="BF22" s="92">
        <v>0</v>
      </c>
      <c r="BG22" s="18">
        <v>0</v>
      </c>
      <c r="BH22" s="92">
        <v>0</v>
      </c>
      <c r="BI22" s="18">
        <v>0</v>
      </c>
      <c r="BJ22" s="92">
        <v>0</v>
      </c>
      <c r="BK22" s="18">
        <v>0</v>
      </c>
      <c r="BL22" s="92">
        <v>0</v>
      </c>
      <c r="BM22" s="18">
        <v>0</v>
      </c>
      <c r="BN22" s="92">
        <v>0</v>
      </c>
      <c r="BO22" s="18">
        <v>0</v>
      </c>
      <c r="BP22" s="92">
        <v>0</v>
      </c>
      <c r="BQ22" s="18">
        <v>933.65</v>
      </c>
      <c r="BR22" s="92">
        <v>2.6451653888774033E-4</v>
      </c>
      <c r="BS22" s="18">
        <v>0</v>
      </c>
      <c r="BT22" s="92">
        <v>0</v>
      </c>
      <c r="BU22" s="18">
        <v>0</v>
      </c>
      <c r="BV22" s="92">
        <v>0</v>
      </c>
      <c r="BW22" s="18">
        <v>0</v>
      </c>
      <c r="BX22" s="92">
        <v>0</v>
      </c>
      <c r="BY22" s="18">
        <v>4005.54</v>
      </c>
      <c r="BZ22" s="92">
        <v>7.0262872312519564E-4</v>
      </c>
      <c r="CA22" s="18">
        <v>197.47</v>
      </c>
      <c r="CB22" s="92">
        <v>3.7570074434009555E-5</v>
      </c>
      <c r="CC22" s="18">
        <v>0</v>
      </c>
      <c r="CD22" s="92">
        <v>0</v>
      </c>
      <c r="CE22" s="18">
        <v>0</v>
      </c>
      <c r="CF22" s="92">
        <v>0</v>
      </c>
      <c r="CG22" s="18">
        <v>0</v>
      </c>
      <c r="CH22" s="92">
        <v>0</v>
      </c>
      <c r="CI22" s="18">
        <v>0</v>
      </c>
      <c r="CJ22" s="92">
        <v>0</v>
      </c>
      <c r="CK22" s="18">
        <v>43278.58</v>
      </c>
      <c r="CL22" s="92">
        <v>2.154912436930519E-2</v>
      </c>
      <c r="CM22" s="18">
        <v>0</v>
      </c>
      <c r="CN22" s="92">
        <v>0</v>
      </c>
      <c r="CO22" s="18">
        <v>0</v>
      </c>
      <c r="CP22" s="92">
        <v>0</v>
      </c>
      <c r="CQ22" s="18">
        <v>0</v>
      </c>
      <c r="CR22" s="92">
        <v>0</v>
      </c>
      <c r="CS22" s="18">
        <v>1045</v>
      </c>
      <c r="CT22" s="92">
        <v>2.4047814363649516E-4</v>
      </c>
      <c r="CU22" s="18">
        <v>0</v>
      </c>
      <c r="CV22" s="92">
        <v>0</v>
      </c>
      <c r="CW22" s="18">
        <v>0</v>
      </c>
      <c r="CX22" s="92">
        <v>0</v>
      </c>
      <c r="CY22" s="18">
        <v>0</v>
      </c>
      <c r="CZ22" s="92">
        <v>0</v>
      </c>
      <c r="DA22" s="18">
        <v>0</v>
      </c>
      <c r="DB22" s="92">
        <v>0</v>
      </c>
      <c r="DC22" s="18">
        <v>0</v>
      </c>
      <c r="DD22" s="92">
        <v>0</v>
      </c>
      <c r="DE22" s="18">
        <v>0</v>
      </c>
      <c r="DF22" s="92">
        <v>0</v>
      </c>
      <c r="DG22" s="18">
        <v>0</v>
      </c>
      <c r="DH22" s="92">
        <v>0</v>
      </c>
      <c r="DI22" s="18">
        <v>48752.61</v>
      </c>
      <c r="DJ22" s="92">
        <v>1.1057430694600816E-2</v>
      </c>
      <c r="DK22" s="18">
        <v>16</v>
      </c>
      <c r="DL22" s="92">
        <v>6.2977935369389779E-6</v>
      </c>
      <c r="DM22" s="18">
        <v>0</v>
      </c>
      <c r="DN22" s="92">
        <v>0</v>
      </c>
      <c r="DO22" s="18">
        <v>0</v>
      </c>
      <c r="DP22" s="92">
        <v>0</v>
      </c>
      <c r="DQ22" s="18">
        <v>0</v>
      </c>
      <c r="DR22" s="92">
        <v>0</v>
      </c>
      <c r="DS22" s="18">
        <v>0</v>
      </c>
      <c r="DT22" s="92">
        <v>0</v>
      </c>
      <c r="DU22" s="18">
        <v>0</v>
      </c>
      <c r="DV22" s="92">
        <v>0</v>
      </c>
      <c r="DW22" s="18">
        <v>0</v>
      </c>
      <c r="DX22" s="92">
        <v>0</v>
      </c>
      <c r="DY22" s="18">
        <v>0</v>
      </c>
      <c r="DZ22" s="92">
        <v>0</v>
      </c>
      <c r="EA22" s="18">
        <v>0</v>
      </c>
      <c r="EB22" s="92">
        <v>0</v>
      </c>
      <c r="EC22" s="18">
        <v>0</v>
      </c>
      <c r="ED22" s="92">
        <v>0</v>
      </c>
      <c r="EE22" s="18">
        <v>0</v>
      </c>
      <c r="EF22" s="92">
        <v>0</v>
      </c>
      <c r="EG22" s="18">
        <v>0</v>
      </c>
      <c r="EH22" s="92">
        <v>0</v>
      </c>
      <c r="EI22" s="18">
        <v>1326.13</v>
      </c>
      <c r="EJ22" s="92">
        <v>6.7621874274305762E-4</v>
      </c>
      <c r="EK22" s="18">
        <v>0</v>
      </c>
      <c r="EL22" s="92">
        <v>0</v>
      </c>
      <c r="EM22" s="18">
        <v>0</v>
      </c>
      <c r="EN22" s="92">
        <v>0</v>
      </c>
      <c r="EO22" s="18">
        <v>0</v>
      </c>
      <c r="EP22" s="92">
        <v>0</v>
      </c>
      <c r="EQ22" s="18">
        <v>584.44000000000005</v>
      </c>
      <c r="ER22" s="92">
        <v>1.0680780453129354E-4</v>
      </c>
      <c r="ES22" s="18">
        <f t="shared" si="2"/>
        <v>0</v>
      </c>
      <c r="ET22" s="92">
        <f>ES22/ES24</f>
        <v>0</v>
      </c>
      <c r="EU22" s="221">
        <f>IF( SUM($EQ22:ES22)&lt;0, "n/a", SUM($EQ22:ES22)/EU$74)</f>
        <v>292.22005340390228</v>
      </c>
      <c r="EV22" s="224">
        <f>EU22/EU24</f>
        <v>5.5658455590268353E-5</v>
      </c>
      <c r="EW22" s="22"/>
      <c r="EX22" s="96" t="s">
        <v>62</v>
      </c>
      <c r="EY22" s="35">
        <f>IF(ISERROR(VLOOKUP(EX22,IQSH01E!$A$1:$M$400,2,0)),0,VLOOKUP(EX22,IQSH01E!$A$1:$M$400,2,0))</f>
        <v>0</v>
      </c>
      <c r="EZ22" s="42"/>
      <c r="FA22" s="43"/>
      <c r="FB22" s="43"/>
      <c r="FC22" s="182" t="s">
        <v>118</v>
      </c>
    </row>
    <row r="23" spans="1:159" ht="21" customHeight="1" x14ac:dyDescent="0.3">
      <c r="A23" s="3"/>
      <c r="B23" s="14" t="s">
        <v>102</v>
      </c>
      <c r="C23" s="18">
        <v>0</v>
      </c>
      <c r="D23" s="92">
        <v>0</v>
      </c>
      <c r="E23" s="18">
        <v>0</v>
      </c>
      <c r="F23" s="92">
        <v>0</v>
      </c>
      <c r="G23" s="18">
        <v>0</v>
      </c>
      <c r="H23" s="92">
        <v>0</v>
      </c>
      <c r="I23" s="18">
        <v>0</v>
      </c>
      <c r="J23" s="92">
        <v>0</v>
      </c>
      <c r="K23" s="18">
        <v>0</v>
      </c>
      <c r="L23" s="92">
        <v>0</v>
      </c>
      <c r="M23" s="18">
        <v>0</v>
      </c>
      <c r="N23" s="92">
        <v>0</v>
      </c>
      <c r="O23" s="18">
        <v>0</v>
      </c>
      <c r="P23" s="92">
        <v>0</v>
      </c>
      <c r="Q23" s="18">
        <v>0</v>
      </c>
      <c r="R23" s="92">
        <v>0</v>
      </c>
      <c r="S23" s="18">
        <v>0</v>
      </c>
      <c r="T23" s="92">
        <v>0</v>
      </c>
      <c r="U23" s="18">
        <v>0</v>
      </c>
      <c r="V23" s="92">
        <v>0</v>
      </c>
      <c r="W23" s="18">
        <v>0</v>
      </c>
      <c r="X23" s="92">
        <v>0</v>
      </c>
      <c r="Y23" s="18">
        <v>0</v>
      </c>
      <c r="Z23" s="92">
        <v>0</v>
      </c>
      <c r="AA23" s="18">
        <v>0</v>
      </c>
      <c r="AB23" s="92">
        <v>0</v>
      </c>
      <c r="AC23" s="18">
        <v>0</v>
      </c>
      <c r="AD23" s="92">
        <v>0</v>
      </c>
      <c r="AE23" s="18">
        <v>0</v>
      </c>
      <c r="AF23" s="92">
        <v>0</v>
      </c>
      <c r="AG23" s="18">
        <v>0</v>
      </c>
      <c r="AH23" s="92">
        <v>0</v>
      </c>
      <c r="AI23" s="18">
        <v>0</v>
      </c>
      <c r="AJ23" s="92">
        <v>0</v>
      </c>
      <c r="AK23" s="18">
        <v>0</v>
      </c>
      <c r="AL23" s="92">
        <v>0</v>
      </c>
      <c r="AM23" s="18">
        <v>0</v>
      </c>
      <c r="AN23" s="92">
        <v>0</v>
      </c>
      <c r="AO23" s="18">
        <v>0</v>
      </c>
      <c r="AP23" s="92">
        <v>0</v>
      </c>
      <c r="AQ23" s="18">
        <v>0</v>
      </c>
      <c r="AR23" s="92">
        <v>0</v>
      </c>
      <c r="AS23" s="18">
        <v>0</v>
      </c>
      <c r="AT23" s="92">
        <v>0</v>
      </c>
      <c r="AU23" s="18">
        <v>0</v>
      </c>
      <c r="AV23" s="92">
        <v>0</v>
      </c>
      <c r="AW23" s="18">
        <v>0</v>
      </c>
      <c r="AX23" s="92">
        <v>0</v>
      </c>
      <c r="AY23" s="18">
        <v>0</v>
      </c>
      <c r="AZ23" s="92">
        <v>0</v>
      </c>
      <c r="BA23" s="18">
        <v>0</v>
      </c>
      <c r="BB23" s="92">
        <v>0</v>
      </c>
      <c r="BC23" s="18">
        <v>0</v>
      </c>
      <c r="BD23" s="92">
        <v>0</v>
      </c>
      <c r="BE23" s="18">
        <v>0</v>
      </c>
      <c r="BF23" s="92">
        <v>0</v>
      </c>
      <c r="BG23" s="18">
        <v>1766.12</v>
      </c>
      <c r="BH23" s="92">
        <v>2.0734111375387973E-4</v>
      </c>
      <c r="BI23" s="18">
        <v>0</v>
      </c>
      <c r="BJ23" s="92">
        <v>0</v>
      </c>
      <c r="BK23" s="18">
        <v>0</v>
      </c>
      <c r="BL23" s="92">
        <v>0</v>
      </c>
      <c r="BM23" s="18">
        <v>0</v>
      </c>
      <c r="BN23" s="92">
        <v>0</v>
      </c>
      <c r="BO23" s="18">
        <v>0</v>
      </c>
      <c r="BP23" s="92">
        <v>0</v>
      </c>
      <c r="BQ23" s="18">
        <v>0</v>
      </c>
      <c r="BR23" s="92">
        <v>0</v>
      </c>
      <c r="BS23" s="18">
        <v>0</v>
      </c>
      <c r="BT23" s="92">
        <v>0</v>
      </c>
      <c r="BU23" s="18">
        <v>0</v>
      </c>
      <c r="BV23" s="92">
        <v>0</v>
      </c>
      <c r="BW23" s="18">
        <v>0</v>
      </c>
      <c r="BX23" s="92">
        <v>0</v>
      </c>
      <c r="BY23" s="18">
        <v>0</v>
      </c>
      <c r="BZ23" s="92">
        <v>0</v>
      </c>
      <c r="CA23" s="18">
        <v>0</v>
      </c>
      <c r="CB23" s="92">
        <v>0</v>
      </c>
      <c r="CC23" s="18">
        <v>0</v>
      </c>
      <c r="CD23" s="92">
        <v>0</v>
      </c>
      <c r="CE23" s="18">
        <v>0</v>
      </c>
      <c r="CF23" s="92">
        <v>0</v>
      </c>
      <c r="CG23" s="18">
        <v>0</v>
      </c>
      <c r="CH23" s="92">
        <v>0</v>
      </c>
      <c r="CI23" s="18">
        <v>0</v>
      </c>
      <c r="CJ23" s="92">
        <v>0</v>
      </c>
      <c r="CK23" s="18">
        <v>0</v>
      </c>
      <c r="CL23" s="92">
        <v>0</v>
      </c>
      <c r="CM23" s="18">
        <v>0</v>
      </c>
      <c r="CN23" s="92">
        <v>0</v>
      </c>
      <c r="CO23" s="18">
        <v>0</v>
      </c>
      <c r="CP23" s="92">
        <v>0</v>
      </c>
      <c r="CQ23" s="18">
        <v>0</v>
      </c>
      <c r="CR23" s="92">
        <v>0</v>
      </c>
      <c r="CS23" s="18">
        <v>0</v>
      </c>
      <c r="CT23" s="92">
        <v>0</v>
      </c>
      <c r="CU23" s="18">
        <v>0</v>
      </c>
      <c r="CV23" s="92">
        <v>0</v>
      </c>
      <c r="CW23" s="18">
        <v>0</v>
      </c>
      <c r="CX23" s="92">
        <v>0</v>
      </c>
      <c r="CY23" s="18">
        <v>0</v>
      </c>
      <c r="CZ23" s="92">
        <v>0</v>
      </c>
      <c r="DA23" s="18">
        <v>0</v>
      </c>
      <c r="DB23" s="92">
        <v>0</v>
      </c>
      <c r="DC23" s="18">
        <v>0</v>
      </c>
      <c r="DD23" s="92">
        <v>0</v>
      </c>
      <c r="DE23" s="18">
        <v>0</v>
      </c>
      <c r="DF23" s="92">
        <v>0</v>
      </c>
      <c r="DG23" s="18">
        <v>0</v>
      </c>
      <c r="DH23" s="92">
        <v>0</v>
      </c>
      <c r="DI23" s="18">
        <v>0</v>
      </c>
      <c r="DJ23" s="92">
        <v>0</v>
      </c>
      <c r="DK23" s="18">
        <v>0</v>
      </c>
      <c r="DL23" s="92">
        <v>0</v>
      </c>
      <c r="DM23" s="18">
        <v>0</v>
      </c>
      <c r="DN23" s="92">
        <v>0</v>
      </c>
      <c r="DO23" s="18">
        <v>0</v>
      </c>
      <c r="DP23" s="92">
        <v>0</v>
      </c>
      <c r="DQ23" s="18">
        <v>0</v>
      </c>
      <c r="DR23" s="92">
        <v>0</v>
      </c>
      <c r="DS23" s="18">
        <v>0</v>
      </c>
      <c r="DT23" s="92">
        <v>0</v>
      </c>
      <c r="DU23" s="18">
        <v>0</v>
      </c>
      <c r="DV23" s="92">
        <v>0</v>
      </c>
      <c r="DW23" s="18">
        <v>0</v>
      </c>
      <c r="DX23" s="92">
        <v>0</v>
      </c>
      <c r="DY23" s="18">
        <v>0</v>
      </c>
      <c r="DZ23" s="92">
        <v>0</v>
      </c>
      <c r="EA23" s="18">
        <v>0</v>
      </c>
      <c r="EB23" s="92">
        <v>0</v>
      </c>
      <c r="EC23" s="18">
        <v>0</v>
      </c>
      <c r="ED23" s="92">
        <v>0</v>
      </c>
      <c r="EE23" s="18">
        <v>0</v>
      </c>
      <c r="EF23" s="92">
        <v>0</v>
      </c>
      <c r="EG23" s="18">
        <v>0</v>
      </c>
      <c r="EH23" s="92">
        <v>0</v>
      </c>
      <c r="EI23" s="18">
        <v>0</v>
      </c>
      <c r="EJ23" s="92">
        <v>0</v>
      </c>
      <c r="EK23" s="18">
        <v>0</v>
      </c>
      <c r="EL23" s="92">
        <v>0</v>
      </c>
      <c r="EM23" s="18">
        <v>0</v>
      </c>
      <c r="EN23" s="92">
        <v>0</v>
      </c>
      <c r="EO23" s="18">
        <v>3656.7</v>
      </c>
      <c r="EP23" s="92">
        <v>8.6778286177615824E-4</v>
      </c>
      <c r="EQ23" s="18">
        <v>1725</v>
      </c>
      <c r="ER23" s="92">
        <v>3.1524786601957658E-4</v>
      </c>
      <c r="ES23" s="18">
        <f t="shared" si="2"/>
        <v>0</v>
      </c>
      <c r="ET23" s="92">
        <f>ES23/ES24</f>
        <v>0</v>
      </c>
      <c r="EU23" s="221">
        <f>IF( SUM($EQ23:ES23)&lt;0, "n/a", SUM($EQ23:ES23)/EU$74)</f>
        <v>862.50015762393298</v>
      </c>
      <c r="EV23" s="224">
        <f>EU23/EU24</f>
        <v>1.6427834489975515E-4</v>
      </c>
      <c r="EW23" s="22"/>
      <c r="EX23" s="96" t="s">
        <v>125</v>
      </c>
      <c r="EY23" s="35">
        <f>IF(ISERROR(VLOOKUP(EX23,IQSH01E!$A$1:$M$400,2,0)),0,VLOOKUP(EX23,IQSH01E!$A$1:$M$400,2,0))</f>
        <v>0</v>
      </c>
      <c r="EZ23" s="42"/>
      <c r="FA23" s="43"/>
      <c r="FB23" s="43"/>
      <c r="FC23" s="182" t="s">
        <v>123</v>
      </c>
    </row>
    <row r="24" spans="1:159" ht="21" customHeight="1" thickBot="1" x14ac:dyDescent="0.35">
      <c r="A24" s="3"/>
      <c r="B24" s="15" t="s">
        <v>83</v>
      </c>
      <c r="C24" s="19">
        <v>5052251.120000001</v>
      </c>
      <c r="D24" s="95">
        <v>1</v>
      </c>
      <c r="E24" s="19">
        <v>6802201.0700000003</v>
      </c>
      <c r="F24" s="95">
        <v>1</v>
      </c>
      <c r="G24" s="19">
        <v>7923666.6400000006</v>
      </c>
      <c r="H24" s="95">
        <v>1</v>
      </c>
      <c r="I24" s="19">
        <v>7723078.1200000001</v>
      </c>
      <c r="J24" s="95">
        <v>1</v>
      </c>
      <c r="K24" s="19">
        <v>5558836.8599999994</v>
      </c>
      <c r="L24" s="95">
        <v>1</v>
      </c>
      <c r="M24" s="19">
        <v>4949970.58</v>
      </c>
      <c r="N24" s="95">
        <v>1</v>
      </c>
      <c r="O24" s="19">
        <v>5509304.6800000016</v>
      </c>
      <c r="P24" s="95">
        <v>1</v>
      </c>
      <c r="Q24" s="19">
        <v>6216756.9500000011</v>
      </c>
      <c r="R24" s="95">
        <v>1</v>
      </c>
      <c r="S24" s="19">
        <v>4391987.5199999996</v>
      </c>
      <c r="T24" s="95">
        <v>1</v>
      </c>
      <c r="U24" s="19">
        <v>4657432.290000001</v>
      </c>
      <c r="V24" s="95">
        <v>1</v>
      </c>
      <c r="W24" s="19">
        <v>4324996.3900000006</v>
      </c>
      <c r="X24" s="95">
        <v>1</v>
      </c>
      <c r="Y24" s="19">
        <v>5410163.2999999998</v>
      </c>
      <c r="Z24" s="95">
        <v>1</v>
      </c>
      <c r="AA24" s="19">
        <v>5456251.9000000004</v>
      </c>
      <c r="AB24" s="95">
        <v>1</v>
      </c>
      <c r="AC24" s="19">
        <v>6013531.5</v>
      </c>
      <c r="AD24" s="95">
        <v>1</v>
      </c>
      <c r="AE24" s="19">
        <v>5825344.2300000004</v>
      </c>
      <c r="AF24" s="95">
        <v>1</v>
      </c>
      <c r="AG24" s="19">
        <v>4042784.7300000004</v>
      </c>
      <c r="AH24" s="95">
        <v>1</v>
      </c>
      <c r="AI24" s="19">
        <v>3615575.17</v>
      </c>
      <c r="AJ24" s="95">
        <v>1</v>
      </c>
      <c r="AK24" s="19">
        <v>4989763.07</v>
      </c>
      <c r="AL24" s="95">
        <v>1</v>
      </c>
      <c r="AM24" s="19">
        <v>5218863.51</v>
      </c>
      <c r="AN24" s="95">
        <v>1</v>
      </c>
      <c r="AO24" s="19">
        <v>7049564.7399999993</v>
      </c>
      <c r="AP24" s="95">
        <v>1</v>
      </c>
      <c r="AQ24" s="19">
        <v>9073062.3100000005</v>
      </c>
      <c r="AR24" s="95">
        <v>1</v>
      </c>
      <c r="AS24" s="19">
        <v>6479880.8099999996</v>
      </c>
      <c r="AT24" s="95">
        <v>1</v>
      </c>
      <c r="AU24" s="19">
        <v>5034310.74</v>
      </c>
      <c r="AV24" s="95">
        <v>1</v>
      </c>
      <c r="AW24" s="19">
        <v>4737326.92</v>
      </c>
      <c r="AX24" s="95">
        <v>1</v>
      </c>
      <c r="AY24" s="19">
        <v>6462110.1199999992</v>
      </c>
      <c r="AZ24" s="95">
        <v>1</v>
      </c>
      <c r="BA24" s="19">
        <v>7441061</v>
      </c>
      <c r="BB24" s="95">
        <v>1</v>
      </c>
      <c r="BC24" s="19">
        <v>8896005.1600000001</v>
      </c>
      <c r="BD24" s="95">
        <v>1</v>
      </c>
      <c r="BE24" s="19">
        <v>6069079.2699999996</v>
      </c>
      <c r="BF24" s="95">
        <v>1</v>
      </c>
      <c r="BG24" s="19">
        <v>8517944.0200000014</v>
      </c>
      <c r="BH24" s="95">
        <v>1</v>
      </c>
      <c r="BI24" s="19">
        <v>7513468.6600000001</v>
      </c>
      <c r="BJ24" s="95">
        <v>1</v>
      </c>
      <c r="BK24" s="19">
        <v>5369129.4500000011</v>
      </c>
      <c r="BL24" s="95">
        <v>1</v>
      </c>
      <c r="BM24" s="19">
        <v>3124872.3999999994</v>
      </c>
      <c r="BN24" s="95">
        <v>1</v>
      </c>
      <c r="BO24" s="19">
        <v>2794104.370000001</v>
      </c>
      <c r="BP24" s="95">
        <v>1</v>
      </c>
      <c r="BQ24" s="19">
        <v>3529646.9700000007</v>
      </c>
      <c r="BR24" s="95">
        <v>1</v>
      </c>
      <c r="BS24" s="19">
        <v>3465121.7300000004</v>
      </c>
      <c r="BT24" s="95">
        <v>1</v>
      </c>
      <c r="BU24" s="19">
        <v>3307335.63</v>
      </c>
      <c r="BV24" s="95">
        <v>1</v>
      </c>
      <c r="BW24" s="19">
        <v>5471975.6699999999</v>
      </c>
      <c r="BX24" s="95">
        <v>1</v>
      </c>
      <c r="BY24" s="19">
        <v>5700791.709999999</v>
      </c>
      <c r="BZ24" s="95">
        <v>1</v>
      </c>
      <c r="CA24" s="19">
        <v>5256044.9499999993</v>
      </c>
      <c r="CB24" s="95">
        <v>1</v>
      </c>
      <c r="CC24" s="19">
        <v>4279641.1100000003</v>
      </c>
      <c r="CD24" s="95">
        <v>1</v>
      </c>
      <c r="CE24" s="19">
        <v>5391395.8300000001</v>
      </c>
      <c r="CF24" s="95">
        <v>1</v>
      </c>
      <c r="CG24" s="19">
        <v>5425464.2800000012</v>
      </c>
      <c r="CH24" s="95">
        <v>1</v>
      </c>
      <c r="CI24" s="19">
        <v>4526855.0499999989</v>
      </c>
      <c r="CJ24" s="95">
        <v>1</v>
      </c>
      <c r="CK24" s="19">
        <v>2008368.3800000008</v>
      </c>
      <c r="CL24" s="95">
        <v>1</v>
      </c>
      <c r="CM24" s="19">
        <v>1976682.3699999992</v>
      </c>
      <c r="CN24" s="95">
        <v>1</v>
      </c>
      <c r="CO24" s="19">
        <v>4064433.26</v>
      </c>
      <c r="CP24" s="95">
        <v>1</v>
      </c>
      <c r="CQ24" s="19">
        <v>4084280.0199999991</v>
      </c>
      <c r="CR24" s="95">
        <v>1</v>
      </c>
      <c r="CS24" s="19">
        <v>4345509.2600000007</v>
      </c>
      <c r="CT24" s="95">
        <v>1</v>
      </c>
      <c r="CU24" s="19">
        <v>7515721.7499999991</v>
      </c>
      <c r="CV24" s="95">
        <v>1</v>
      </c>
      <c r="CW24" s="19">
        <v>7052084.1800000006</v>
      </c>
      <c r="CX24" s="95">
        <v>1</v>
      </c>
      <c r="CY24" s="19">
        <v>5009133.1500000004</v>
      </c>
      <c r="CZ24" s="95">
        <v>1</v>
      </c>
      <c r="DA24" s="19">
        <v>6696822.5500000007</v>
      </c>
      <c r="DB24" s="95">
        <v>1</v>
      </c>
      <c r="DC24" s="19">
        <v>5374582.6199999992</v>
      </c>
      <c r="DD24" s="95">
        <v>1</v>
      </c>
      <c r="DE24" s="19">
        <v>4847741.4700000007</v>
      </c>
      <c r="DF24" s="95">
        <v>1</v>
      </c>
      <c r="DG24" s="19">
        <v>5005772.66</v>
      </c>
      <c r="DH24" s="95">
        <v>1</v>
      </c>
      <c r="DI24" s="19">
        <v>4409036</v>
      </c>
      <c r="DJ24" s="95">
        <v>1</v>
      </c>
      <c r="DK24" s="19">
        <v>2540572.33</v>
      </c>
      <c r="DL24" s="95">
        <v>1</v>
      </c>
      <c r="DM24" s="19">
        <v>4250698.84</v>
      </c>
      <c r="DN24" s="95">
        <v>1</v>
      </c>
      <c r="DO24" s="19">
        <v>1862415.8000000007</v>
      </c>
      <c r="DP24" s="95">
        <v>1</v>
      </c>
      <c r="DQ24" s="19">
        <v>3308069.33</v>
      </c>
      <c r="DR24" s="95">
        <v>1</v>
      </c>
      <c r="DS24" s="19">
        <v>4951868.12</v>
      </c>
      <c r="DT24" s="95">
        <v>1</v>
      </c>
      <c r="DU24" s="19">
        <v>5110315.45</v>
      </c>
      <c r="DV24" s="95">
        <v>1</v>
      </c>
      <c r="DW24" s="19">
        <v>4558459.7000000011</v>
      </c>
      <c r="DX24" s="95">
        <v>1</v>
      </c>
      <c r="DY24" s="19">
        <v>5015902.59</v>
      </c>
      <c r="DZ24" s="95">
        <v>1</v>
      </c>
      <c r="EA24" s="19">
        <v>3535025.2699999996</v>
      </c>
      <c r="EB24" s="95">
        <v>1</v>
      </c>
      <c r="EC24" s="19">
        <v>2339413.3000000007</v>
      </c>
      <c r="ED24" s="95">
        <v>1</v>
      </c>
      <c r="EE24" s="19">
        <v>4255122.120000001</v>
      </c>
      <c r="EF24" s="95">
        <v>1</v>
      </c>
      <c r="EG24" s="19">
        <v>3105869.3899999997</v>
      </c>
      <c r="EH24" s="95">
        <v>1</v>
      </c>
      <c r="EI24" s="19">
        <v>1961096.1899999995</v>
      </c>
      <c r="EJ24" s="95">
        <v>1</v>
      </c>
      <c r="EK24" s="19">
        <v>1004955.0700000003</v>
      </c>
      <c r="EL24" s="95">
        <v>1</v>
      </c>
      <c r="EM24" s="19">
        <v>1770082.5299999993</v>
      </c>
      <c r="EN24" s="95">
        <v>1</v>
      </c>
      <c r="EO24" s="19">
        <v>4213842.1500000004</v>
      </c>
      <c r="EP24" s="95">
        <v>1</v>
      </c>
      <c r="EQ24" s="19">
        <v>5471884.7799999993</v>
      </c>
      <c r="ER24" s="95">
        <v>1</v>
      </c>
      <c r="ES24" s="19">
        <f>SUM(ES17:ES23)</f>
        <v>5028587.16</v>
      </c>
      <c r="ET24" s="95">
        <f>ES24/ES24</f>
        <v>1</v>
      </c>
      <c r="EU24" s="225">
        <f>IF( SUM($EQ24:ES24)&lt;0, "n/a", SUM($EQ24:ES24)/EU$74)</f>
        <v>5250236.47</v>
      </c>
      <c r="EV24" s="226">
        <f>EU24/EU24</f>
        <v>1</v>
      </c>
      <c r="EW24" s="22"/>
      <c r="EX24" s="100" t="s">
        <v>148</v>
      </c>
      <c r="EY24" s="103">
        <f>IF(ISERROR(VLOOKUP(EX24,IQSH01E!$A$1:$M$400,2,0)),0,VLOOKUP(EX24,IQSH01E!$A$1:$M$400,2,0))</f>
        <v>0</v>
      </c>
      <c r="EZ24" s="104"/>
      <c r="FA24" s="102"/>
      <c r="FB24" s="102"/>
      <c r="FC24" s="186"/>
    </row>
    <row r="25" spans="1:159" ht="21" customHeight="1" x14ac:dyDescent="0.3">
      <c r="A25" s="3"/>
      <c r="B25" s="14" t="s">
        <v>88</v>
      </c>
      <c r="C25" s="18">
        <v>3813633.26</v>
      </c>
      <c r="D25" s="24"/>
      <c r="E25" s="18">
        <v>3469802.56</v>
      </c>
      <c r="F25" s="24"/>
      <c r="G25" s="18">
        <v>5781621.8200000003</v>
      </c>
      <c r="H25" s="24"/>
      <c r="I25" s="18">
        <v>5060735.62</v>
      </c>
      <c r="J25" s="24"/>
      <c r="K25" s="18">
        <v>10088947.67</v>
      </c>
      <c r="L25" s="24"/>
      <c r="M25" s="18">
        <v>10347912.560000001</v>
      </c>
      <c r="N25" s="24"/>
      <c r="O25" s="18">
        <v>9887414.2899999991</v>
      </c>
      <c r="P25" s="24"/>
      <c r="Q25" s="18">
        <v>7484605.7199999997</v>
      </c>
      <c r="R25" s="24"/>
      <c r="S25" s="18">
        <v>6933591.8200000003</v>
      </c>
      <c r="T25" s="24"/>
      <c r="U25" s="18">
        <v>9286257.0299999993</v>
      </c>
      <c r="V25" s="24"/>
      <c r="W25" s="18">
        <v>7934868.4900000002</v>
      </c>
      <c r="X25" s="24"/>
      <c r="Y25" s="18">
        <v>4966205.9000000004</v>
      </c>
      <c r="Z25" s="24"/>
      <c r="AA25" s="18">
        <v>5193474.17</v>
      </c>
      <c r="AB25" s="24"/>
      <c r="AC25" s="18">
        <v>2751490.14</v>
      </c>
      <c r="AD25" s="24"/>
      <c r="AE25" s="18">
        <v>5916739.4199999999</v>
      </c>
      <c r="AF25" s="24"/>
      <c r="AG25" s="18">
        <v>7511271.6600000001</v>
      </c>
      <c r="AH25" s="24"/>
      <c r="AI25" s="18">
        <v>10491937.92</v>
      </c>
      <c r="AJ25" s="24"/>
      <c r="AK25" s="18">
        <v>7107397.3499999996</v>
      </c>
      <c r="AL25" s="24"/>
      <c r="AM25" s="18">
        <v>6447326.4199999999</v>
      </c>
      <c r="AN25" s="24"/>
      <c r="AO25" s="18">
        <v>8100140.1299999999</v>
      </c>
      <c r="AP25" s="24"/>
      <c r="AQ25" s="18">
        <v>6725433.7599999998</v>
      </c>
      <c r="AR25" s="24"/>
      <c r="AS25" s="18">
        <v>7189489.04</v>
      </c>
      <c r="AT25" s="24"/>
      <c r="AU25" s="18">
        <v>5367054.58</v>
      </c>
      <c r="AV25" s="24"/>
      <c r="AW25" s="18">
        <v>5035092.32</v>
      </c>
      <c r="AX25" s="24"/>
      <c r="AY25" s="18">
        <v>3961056</v>
      </c>
      <c r="AZ25" s="24"/>
      <c r="BA25" s="18">
        <v>4029786.39</v>
      </c>
      <c r="BB25" s="24"/>
      <c r="BC25" s="18">
        <v>6256028.3200000003</v>
      </c>
      <c r="BD25" s="24"/>
      <c r="BE25" s="18">
        <v>9352259.4600000009</v>
      </c>
      <c r="BF25" s="24"/>
      <c r="BG25" s="18">
        <v>9519599.1500000004</v>
      </c>
      <c r="BH25" s="24"/>
      <c r="BI25" s="18">
        <v>5809733.5700000003</v>
      </c>
      <c r="BJ25" s="24"/>
      <c r="BK25" s="18">
        <v>8455422.0999999996</v>
      </c>
      <c r="BL25" s="24"/>
      <c r="BM25" s="18">
        <v>7231608.7000000002</v>
      </c>
      <c r="BN25" s="24"/>
      <c r="BO25" s="18">
        <v>8850574.3699999992</v>
      </c>
      <c r="BP25" s="24"/>
      <c r="BQ25" s="18">
        <v>7195066.8399999999</v>
      </c>
      <c r="BR25" s="24"/>
      <c r="BS25" s="18">
        <v>7175820</v>
      </c>
      <c r="BT25" s="24"/>
      <c r="BU25" s="18">
        <v>4316080.24</v>
      </c>
      <c r="BV25" s="24"/>
      <c r="BW25" s="18">
        <v>4500117.8499999996</v>
      </c>
      <c r="BX25" s="24"/>
      <c r="BY25" s="18">
        <v>5112011.91</v>
      </c>
      <c r="BZ25" s="24"/>
      <c r="CA25" s="18">
        <v>8996694.4199999999</v>
      </c>
      <c r="CB25" s="24"/>
      <c r="CC25" s="18">
        <v>4543512.71</v>
      </c>
      <c r="CD25" s="24"/>
      <c r="CE25" s="18">
        <v>9358273.0099999998</v>
      </c>
      <c r="CF25" s="24"/>
      <c r="CG25" s="18">
        <v>10572784.27</v>
      </c>
      <c r="CH25" s="24"/>
      <c r="CI25" s="18">
        <v>9046322.8000000007</v>
      </c>
      <c r="CJ25" s="24"/>
      <c r="CK25" s="18">
        <v>8717215.5399999991</v>
      </c>
      <c r="CL25" s="24"/>
      <c r="CM25" s="18">
        <v>8393792.5800000001</v>
      </c>
      <c r="CN25" s="24"/>
      <c r="CO25" s="18">
        <v>8841446.8100000005</v>
      </c>
      <c r="CP25" s="24"/>
      <c r="CQ25" s="18">
        <v>6114034.9100000001</v>
      </c>
      <c r="CR25" s="24"/>
      <c r="CS25" s="18">
        <v>4209944.22</v>
      </c>
      <c r="CT25" s="24"/>
      <c r="CU25" s="18">
        <v>3739318.79</v>
      </c>
      <c r="CV25" s="24"/>
      <c r="CW25" s="18">
        <v>4484233.96</v>
      </c>
      <c r="CX25" s="24"/>
      <c r="CY25" s="18">
        <v>8687309.4900000002</v>
      </c>
      <c r="CZ25" s="24"/>
      <c r="DA25" s="18">
        <v>11396162.789999999</v>
      </c>
      <c r="DB25" s="24"/>
      <c r="DC25" s="18">
        <v>10396152.140000001</v>
      </c>
      <c r="DD25" s="24"/>
      <c r="DE25" s="18">
        <v>5596967.9199999999</v>
      </c>
      <c r="DF25" s="24"/>
      <c r="DG25" s="18">
        <v>9629143.0199999996</v>
      </c>
      <c r="DH25" s="24"/>
      <c r="DI25" s="18">
        <v>8182417.4199999999</v>
      </c>
      <c r="DJ25" s="24"/>
      <c r="DK25" s="18">
        <v>9597020.2200000007</v>
      </c>
      <c r="DL25" s="24"/>
      <c r="DM25" s="18">
        <v>9018757.3499999996</v>
      </c>
      <c r="DN25" s="24"/>
      <c r="DO25" s="18">
        <v>7717861.4199999999</v>
      </c>
      <c r="DP25" s="24"/>
      <c r="DQ25" s="18">
        <v>4528467.2699999996</v>
      </c>
      <c r="DR25" s="24"/>
      <c r="DS25" s="18">
        <v>5071891.29</v>
      </c>
      <c r="DT25" s="24"/>
      <c r="DU25" s="18">
        <v>4840554.62</v>
      </c>
      <c r="DV25" s="24"/>
      <c r="DW25" s="18">
        <v>9228379.0399999991</v>
      </c>
      <c r="DX25" s="24"/>
      <c r="DY25" s="18">
        <v>9444060.9499999993</v>
      </c>
      <c r="DZ25" s="24"/>
      <c r="EA25" s="18">
        <v>11089867.470000001</v>
      </c>
      <c r="EB25" s="24"/>
      <c r="EC25" s="18">
        <v>8447970.9100000001</v>
      </c>
      <c r="ED25" s="24"/>
      <c r="EE25" s="18">
        <v>8638179.3699999992</v>
      </c>
      <c r="EF25" s="24"/>
      <c r="EG25" s="18">
        <v>7447901.7199999997</v>
      </c>
      <c r="EH25" s="24"/>
      <c r="EI25" s="18">
        <v>8461535.9199999999</v>
      </c>
      <c r="EJ25" s="24"/>
      <c r="EK25" s="18">
        <v>9514916.0299999993</v>
      </c>
      <c r="EL25" s="24"/>
      <c r="EM25" s="18">
        <v>5813768.2400000002</v>
      </c>
      <c r="EN25" s="24"/>
      <c r="EO25" s="18">
        <v>3889718.94</v>
      </c>
      <c r="EP25" s="24"/>
      <c r="EQ25" s="18">
        <v>2422202.56</v>
      </c>
      <c r="ER25" s="24"/>
      <c r="ES25" s="18">
        <f>+$EY25</f>
        <v>2215099.1800000002</v>
      </c>
      <c r="ET25" s="24"/>
      <c r="EU25" s="221">
        <f>IF( SUM($EQ25:ES25)&lt;0, "n/a", SUM($EQ25:ES25)/EU$74)</f>
        <v>2318650.87</v>
      </c>
      <c r="EV25" s="227"/>
      <c r="EW25" s="22"/>
      <c r="EX25" s="96" t="s">
        <v>15</v>
      </c>
      <c r="EY25" s="35">
        <f>IF(ISERROR(VLOOKUP(EX25,IQSH01E!$A$1:$M$400,2,0)),0,VLOOKUP(EX25,IQSH01E!$A$1:$M$400,2,0))</f>
        <v>2215099.1800000002</v>
      </c>
      <c r="EZ25" s="42"/>
      <c r="FA25" s="43"/>
      <c r="FB25" s="43"/>
      <c r="FC25" s="182" t="s">
        <v>118</v>
      </c>
    </row>
    <row r="26" spans="1:159" ht="21" customHeight="1" x14ac:dyDescent="0.3">
      <c r="A26" s="3"/>
      <c r="B26" s="14" t="s">
        <v>71</v>
      </c>
      <c r="C26" s="18">
        <v>0</v>
      </c>
      <c r="D26" s="24"/>
      <c r="E26" s="18">
        <v>0</v>
      </c>
      <c r="F26" s="24"/>
      <c r="G26" s="18">
        <v>0</v>
      </c>
      <c r="H26" s="24"/>
      <c r="I26" s="18">
        <v>0</v>
      </c>
      <c r="J26" s="24"/>
      <c r="K26" s="18">
        <v>0</v>
      </c>
      <c r="L26" s="24"/>
      <c r="M26" s="18">
        <v>0</v>
      </c>
      <c r="N26" s="24"/>
      <c r="O26" s="18">
        <v>0</v>
      </c>
      <c r="P26" s="24"/>
      <c r="Q26" s="18">
        <v>0</v>
      </c>
      <c r="R26" s="24"/>
      <c r="S26" s="18">
        <v>0</v>
      </c>
      <c r="T26" s="24"/>
      <c r="U26" s="18">
        <v>0</v>
      </c>
      <c r="V26" s="24"/>
      <c r="W26" s="18">
        <v>0</v>
      </c>
      <c r="X26" s="24"/>
      <c r="Y26" s="18">
        <v>0</v>
      </c>
      <c r="Z26" s="24"/>
      <c r="AA26" s="18">
        <v>0</v>
      </c>
      <c r="AB26" s="24"/>
      <c r="AC26" s="18">
        <v>0</v>
      </c>
      <c r="AD26" s="24"/>
      <c r="AE26" s="18">
        <v>0</v>
      </c>
      <c r="AF26" s="24"/>
      <c r="AG26" s="18">
        <v>0</v>
      </c>
      <c r="AH26" s="24"/>
      <c r="AI26" s="18">
        <v>0</v>
      </c>
      <c r="AJ26" s="24"/>
      <c r="AK26" s="18">
        <v>0</v>
      </c>
      <c r="AL26" s="24"/>
      <c r="AM26" s="18">
        <v>0</v>
      </c>
      <c r="AN26" s="24"/>
      <c r="AO26" s="18">
        <v>0</v>
      </c>
      <c r="AP26" s="24"/>
      <c r="AQ26" s="18">
        <v>0</v>
      </c>
      <c r="AR26" s="24"/>
      <c r="AS26" s="18">
        <v>0</v>
      </c>
      <c r="AT26" s="24"/>
      <c r="AU26" s="18">
        <v>0</v>
      </c>
      <c r="AV26" s="24"/>
      <c r="AW26" s="18">
        <v>0</v>
      </c>
      <c r="AX26" s="24"/>
      <c r="AY26" s="18">
        <v>0</v>
      </c>
      <c r="AZ26" s="24"/>
      <c r="BA26" s="18">
        <v>0</v>
      </c>
      <c r="BB26" s="24"/>
      <c r="BC26" s="18">
        <v>0</v>
      </c>
      <c r="BD26" s="24"/>
      <c r="BE26" s="18">
        <v>0</v>
      </c>
      <c r="BF26" s="24"/>
      <c r="BG26" s="18">
        <v>0</v>
      </c>
      <c r="BH26" s="24"/>
      <c r="BI26" s="18">
        <v>0</v>
      </c>
      <c r="BJ26" s="24"/>
      <c r="BK26" s="18">
        <v>0</v>
      </c>
      <c r="BL26" s="24"/>
      <c r="BM26" s="18">
        <v>0</v>
      </c>
      <c r="BN26" s="24"/>
      <c r="BO26" s="18">
        <v>0</v>
      </c>
      <c r="BP26" s="24"/>
      <c r="BQ26" s="18">
        <v>0</v>
      </c>
      <c r="BR26" s="24"/>
      <c r="BS26" s="18">
        <v>0</v>
      </c>
      <c r="BT26" s="24"/>
      <c r="BU26" s="18">
        <v>0</v>
      </c>
      <c r="BV26" s="24"/>
      <c r="BW26" s="18">
        <v>0</v>
      </c>
      <c r="BX26" s="24"/>
      <c r="BY26" s="18">
        <v>0</v>
      </c>
      <c r="BZ26" s="24"/>
      <c r="CA26" s="18">
        <v>0</v>
      </c>
      <c r="CB26" s="24"/>
      <c r="CC26" s="18">
        <v>0</v>
      </c>
      <c r="CD26" s="24"/>
      <c r="CE26" s="18">
        <v>0</v>
      </c>
      <c r="CF26" s="24"/>
      <c r="CG26" s="18">
        <v>0</v>
      </c>
      <c r="CH26" s="24"/>
      <c r="CI26" s="18">
        <v>0</v>
      </c>
      <c r="CJ26" s="24"/>
      <c r="CK26" s="18">
        <v>0</v>
      </c>
      <c r="CL26" s="24"/>
      <c r="CM26" s="18">
        <v>0</v>
      </c>
      <c r="CN26" s="24"/>
      <c r="CO26" s="18">
        <v>0</v>
      </c>
      <c r="CP26" s="24"/>
      <c r="CQ26" s="18">
        <v>0</v>
      </c>
      <c r="CR26" s="24"/>
      <c r="CS26" s="18">
        <v>0</v>
      </c>
      <c r="CT26" s="24"/>
      <c r="CU26" s="18">
        <v>0</v>
      </c>
      <c r="CV26" s="24"/>
      <c r="CW26" s="18">
        <v>0</v>
      </c>
      <c r="CX26" s="24"/>
      <c r="CY26" s="18">
        <v>0</v>
      </c>
      <c r="CZ26" s="24"/>
      <c r="DA26" s="18">
        <v>0</v>
      </c>
      <c r="DB26" s="24"/>
      <c r="DC26" s="18">
        <v>0</v>
      </c>
      <c r="DD26" s="24"/>
      <c r="DE26" s="18">
        <v>0</v>
      </c>
      <c r="DF26" s="24"/>
      <c r="DG26" s="18">
        <v>0</v>
      </c>
      <c r="DH26" s="24"/>
      <c r="DI26" s="18">
        <v>0</v>
      </c>
      <c r="DJ26" s="24"/>
      <c r="DK26" s="18">
        <v>0</v>
      </c>
      <c r="DL26" s="24"/>
      <c r="DM26" s="18">
        <v>0</v>
      </c>
      <c r="DN26" s="24"/>
      <c r="DO26" s="18">
        <v>0</v>
      </c>
      <c r="DP26" s="24"/>
      <c r="DQ26" s="18">
        <v>0</v>
      </c>
      <c r="DR26" s="24"/>
      <c r="DS26" s="18">
        <v>0</v>
      </c>
      <c r="DT26" s="24"/>
      <c r="DU26" s="18">
        <v>0</v>
      </c>
      <c r="DV26" s="24"/>
      <c r="DW26" s="18">
        <v>0</v>
      </c>
      <c r="DX26" s="24"/>
      <c r="DY26" s="18">
        <v>0</v>
      </c>
      <c r="DZ26" s="24"/>
      <c r="EA26" s="18">
        <v>0</v>
      </c>
      <c r="EB26" s="24"/>
      <c r="EC26" s="18">
        <v>0</v>
      </c>
      <c r="ED26" s="24"/>
      <c r="EE26" s="18">
        <v>0</v>
      </c>
      <c r="EF26" s="24"/>
      <c r="EG26" s="18">
        <v>0</v>
      </c>
      <c r="EH26" s="24"/>
      <c r="EI26" s="18">
        <v>0</v>
      </c>
      <c r="EJ26" s="24"/>
      <c r="EK26" s="18">
        <v>0</v>
      </c>
      <c r="EL26" s="24"/>
      <c r="EM26" s="18">
        <v>0</v>
      </c>
      <c r="EN26" s="24"/>
      <c r="EO26" s="18">
        <v>0</v>
      </c>
      <c r="EP26" s="24"/>
      <c r="EQ26" s="18">
        <v>0</v>
      </c>
      <c r="ER26" s="24"/>
      <c r="ES26" s="18">
        <f>+$EY26</f>
        <v>0</v>
      </c>
      <c r="ET26" s="24"/>
      <c r="EU26" s="221">
        <f>IF( SUM($EQ26:ES26)&lt;0, "n/a", SUM($EQ26:ES26)/EU$74)</f>
        <v>0</v>
      </c>
      <c r="EV26" s="224"/>
      <c r="EW26" s="22"/>
      <c r="EX26" s="154" t="s">
        <v>4</v>
      </c>
      <c r="EY26" s="34">
        <f>IF(ISERROR(VLOOKUP(EX26,IQSH01E!$A$1:$M$400,2,0)),0,VLOOKUP(EX26,IQSH01E!$A$1:$M$400,2,0))</f>
        <v>0</v>
      </c>
      <c r="EZ26" s="51"/>
      <c r="FA26" s="52"/>
      <c r="FB26" s="52"/>
      <c r="FC26" s="187" t="s">
        <v>117</v>
      </c>
    </row>
    <row r="27" spans="1:159" ht="21" customHeight="1" thickBot="1" x14ac:dyDescent="0.35">
      <c r="A27" s="7"/>
      <c r="B27" s="16" t="s">
        <v>84</v>
      </c>
      <c r="C27" s="19">
        <v>8865884.3800000008</v>
      </c>
      <c r="D27" s="25"/>
      <c r="E27" s="19">
        <v>10272003.630000001</v>
      </c>
      <c r="F27" s="25"/>
      <c r="G27" s="19">
        <v>13705288.460000001</v>
      </c>
      <c r="H27" s="25"/>
      <c r="I27" s="19">
        <v>12783813.74</v>
      </c>
      <c r="J27" s="25"/>
      <c r="K27" s="19">
        <v>15647784.529999999</v>
      </c>
      <c r="L27" s="25"/>
      <c r="M27" s="19">
        <v>15297883.140000001</v>
      </c>
      <c r="N27" s="25"/>
      <c r="O27" s="19">
        <v>15396718.970000001</v>
      </c>
      <c r="P27" s="25"/>
      <c r="Q27" s="19">
        <v>13701362.670000002</v>
      </c>
      <c r="R27" s="25"/>
      <c r="S27" s="19">
        <v>11325579.34</v>
      </c>
      <c r="T27" s="25"/>
      <c r="U27" s="19">
        <v>13943689.32</v>
      </c>
      <c r="V27" s="25"/>
      <c r="W27" s="19">
        <v>12259864.880000001</v>
      </c>
      <c r="X27" s="25"/>
      <c r="Y27" s="19">
        <v>10376369.199999999</v>
      </c>
      <c r="Z27" s="25"/>
      <c r="AA27" s="19">
        <v>10649726.07</v>
      </c>
      <c r="AB27" s="25"/>
      <c r="AC27" s="19">
        <v>8765021.6400000006</v>
      </c>
      <c r="AD27" s="25"/>
      <c r="AE27" s="19">
        <v>11742083.65</v>
      </c>
      <c r="AF27" s="25"/>
      <c r="AG27" s="19">
        <v>11554056.390000001</v>
      </c>
      <c r="AH27" s="25"/>
      <c r="AI27" s="19">
        <v>14107513.09</v>
      </c>
      <c r="AJ27" s="25"/>
      <c r="AK27" s="19">
        <v>12097160.42</v>
      </c>
      <c r="AL27" s="25"/>
      <c r="AM27" s="19">
        <v>11666189.93</v>
      </c>
      <c r="AN27" s="25"/>
      <c r="AO27" s="19">
        <v>15149704.869999999</v>
      </c>
      <c r="AP27" s="25"/>
      <c r="AQ27" s="19">
        <v>15798496.07</v>
      </c>
      <c r="AR27" s="25"/>
      <c r="AS27" s="19">
        <v>13669369.85</v>
      </c>
      <c r="AT27" s="25"/>
      <c r="AU27" s="19">
        <v>10401365.32</v>
      </c>
      <c r="AV27" s="25"/>
      <c r="AW27" s="19">
        <v>9772419.2400000002</v>
      </c>
      <c r="AX27" s="25"/>
      <c r="AY27" s="19">
        <v>10423166.119999999</v>
      </c>
      <c r="AZ27" s="25"/>
      <c r="BA27" s="19">
        <v>11470847.390000001</v>
      </c>
      <c r="BB27" s="25"/>
      <c r="BC27" s="19">
        <v>15152033.48</v>
      </c>
      <c r="BD27" s="25"/>
      <c r="BE27" s="19">
        <v>15421338.73</v>
      </c>
      <c r="BF27" s="25"/>
      <c r="BG27" s="19">
        <v>18037543.170000002</v>
      </c>
      <c r="BH27" s="25"/>
      <c r="BI27" s="19">
        <v>13323202.23</v>
      </c>
      <c r="BJ27" s="25"/>
      <c r="BK27" s="19">
        <v>13824551.550000001</v>
      </c>
      <c r="BL27" s="25"/>
      <c r="BM27" s="19">
        <v>10356481.1</v>
      </c>
      <c r="BN27" s="25"/>
      <c r="BO27" s="19">
        <v>11644678.74</v>
      </c>
      <c r="BP27" s="25"/>
      <c r="BQ27" s="19">
        <v>10724713.810000001</v>
      </c>
      <c r="BR27" s="25"/>
      <c r="BS27" s="19">
        <v>10640941.73</v>
      </c>
      <c r="BT27" s="25"/>
      <c r="BU27" s="19">
        <v>7623415.8700000001</v>
      </c>
      <c r="BV27" s="25"/>
      <c r="BW27" s="19">
        <v>9972093.5199999996</v>
      </c>
      <c r="BX27" s="25"/>
      <c r="BY27" s="19">
        <v>10812803.619999999</v>
      </c>
      <c r="BZ27" s="25"/>
      <c r="CA27" s="19">
        <v>14252739.369999999</v>
      </c>
      <c r="CB27" s="25"/>
      <c r="CC27" s="19">
        <v>8823153.8200000003</v>
      </c>
      <c r="CD27" s="25"/>
      <c r="CE27" s="19">
        <v>14749668.84</v>
      </c>
      <c r="CF27" s="25"/>
      <c r="CG27" s="19">
        <v>15998248.550000001</v>
      </c>
      <c r="CH27" s="25"/>
      <c r="CI27" s="19">
        <v>13573177.85</v>
      </c>
      <c r="CJ27" s="25"/>
      <c r="CK27" s="19">
        <v>10725583.92</v>
      </c>
      <c r="CL27" s="25"/>
      <c r="CM27" s="19">
        <v>10370474.949999999</v>
      </c>
      <c r="CN27" s="25"/>
      <c r="CO27" s="19">
        <v>12905880.07</v>
      </c>
      <c r="CP27" s="25"/>
      <c r="CQ27" s="19">
        <v>10198314.93</v>
      </c>
      <c r="CR27" s="25"/>
      <c r="CS27" s="19">
        <v>8555453.4800000004</v>
      </c>
      <c r="CT27" s="25"/>
      <c r="CU27" s="19">
        <v>11255040.539999999</v>
      </c>
      <c r="CV27" s="25"/>
      <c r="CW27" s="19">
        <v>11536318.140000001</v>
      </c>
      <c r="CX27" s="25"/>
      <c r="CY27" s="19">
        <v>13696442.640000001</v>
      </c>
      <c r="CZ27" s="25"/>
      <c r="DA27" s="19">
        <v>18092985.34</v>
      </c>
      <c r="DB27" s="25"/>
      <c r="DC27" s="19">
        <v>15770734.76</v>
      </c>
      <c r="DD27" s="25"/>
      <c r="DE27" s="19">
        <v>10444709.390000001</v>
      </c>
      <c r="DF27" s="25"/>
      <c r="DG27" s="19">
        <v>14634915.68</v>
      </c>
      <c r="DH27" s="25"/>
      <c r="DI27" s="19">
        <v>12591453.42</v>
      </c>
      <c r="DJ27" s="25"/>
      <c r="DK27" s="19">
        <v>12137592.550000001</v>
      </c>
      <c r="DL27" s="25"/>
      <c r="DM27" s="19">
        <v>13269456.189999999</v>
      </c>
      <c r="DN27" s="25"/>
      <c r="DO27" s="19">
        <v>9580277.2200000007</v>
      </c>
      <c r="DP27" s="25"/>
      <c r="DQ27" s="19">
        <v>7836536.5999999996</v>
      </c>
      <c r="DR27" s="25"/>
      <c r="DS27" s="19">
        <v>10023759.41</v>
      </c>
      <c r="DT27" s="25"/>
      <c r="DU27" s="19">
        <v>9950870.0700000003</v>
      </c>
      <c r="DV27" s="25"/>
      <c r="DW27" s="19">
        <v>13786838.74</v>
      </c>
      <c r="DX27" s="25"/>
      <c r="DY27" s="19">
        <v>14459963.539999999</v>
      </c>
      <c r="DZ27" s="25"/>
      <c r="EA27" s="19">
        <v>14624892.74</v>
      </c>
      <c r="EB27" s="25"/>
      <c r="EC27" s="19">
        <v>10787384.210000001</v>
      </c>
      <c r="ED27" s="25"/>
      <c r="EE27" s="19">
        <v>12893301.49</v>
      </c>
      <c r="EF27" s="25"/>
      <c r="EG27" s="19">
        <v>10553771.109999999</v>
      </c>
      <c r="EH27" s="25"/>
      <c r="EI27" s="19">
        <v>10422632.109999999</v>
      </c>
      <c r="EJ27" s="25"/>
      <c r="EK27" s="19">
        <v>10519871.1</v>
      </c>
      <c r="EL27" s="25"/>
      <c r="EM27" s="19">
        <v>7583850.7699999996</v>
      </c>
      <c r="EN27" s="25"/>
      <c r="EO27" s="19">
        <v>8103561.0899999999</v>
      </c>
      <c r="EP27" s="25"/>
      <c r="EQ27" s="19">
        <v>7894087.3399999999</v>
      </c>
      <c r="ER27" s="25"/>
      <c r="ES27" s="19">
        <f>SUM(ES24:ES26)</f>
        <v>7243686.3399999999</v>
      </c>
      <c r="ET27" s="25"/>
      <c r="EU27" s="225">
        <f>IF( SUM($EQ27:ES27)&lt;0, "n/a", SUM($EQ27:ES27)/EU$74)</f>
        <v>7568886.8399999999</v>
      </c>
      <c r="EV27" s="228"/>
      <c r="EW27" s="61"/>
      <c r="EX27" s="37" t="s">
        <v>54</v>
      </c>
      <c r="EY27" s="38">
        <f>IF(ISERROR(VLOOKUP(EX27,IQSH01E!$A$1:$M$400,2,0)),0,VLOOKUP(EX27,IQSH01E!$A$1:$M$400,2,0))</f>
        <v>7243686.3399999999</v>
      </c>
      <c r="EZ27" s="44"/>
      <c r="FA27" s="45"/>
      <c r="FB27" s="45"/>
      <c r="FC27" s="188" t="s">
        <v>118</v>
      </c>
    </row>
    <row r="28" spans="1:159" ht="21" customHeight="1" thickBot="1" x14ac:dyDescent="0.35">
      <c r="A28" s="3"/>
      <c r="B28" s="14" t="s">
        <v>89</v>
      </c>
      <c r="C28" s="18">
        <v>0</v>
      </c>
      <c r="D28" s="92">
        <v>0</v>
      </c>
      <c r="E28" s="18">
        <v>0</v>
      </c>
      <c r="F28" s="92">
        <v>0</v>
      </c>
      <c r="G28" s="18">
        <v>0</v>
      </c>
      <c r="H28" s="92">
        <v>0</v>
      </c>
      <c r="I28" s="18">
        <v>0</v>
      </c>
      <c r="J28" s="92">
        <v>0</v>
      </c>
      <c r="K28" s="18">
        <v>0</v>
      </c>
      <c r="L28" s="92">
        <v>0</v>
      </c>
      <c r="M28" s="18">
        <v>0</v>
      </c>
      <c r="N28" s="92">
        <v>0</v>
      </c>
      <c r="O28" s="18">
        <v>0</v>
      </c>
      <c r="P28" s="92">
        <v>0</v>
      </c>
      <c r="Q28" s="18">
        <v>0</v>
      </c>
      <c r="R28" s="92">
        <v>0</v>
      </c>
      <c r="S28" s="18">
        <v>0</v>
      </c>
      <c r="T28" s="92">
        <v>0</v>
      </c>
      <c r="U28" s="18">
        <v>0</v>
      </c>
      <c r="V28" s="92">
        <v>0</v>
      </c>
      <c r="W28" s="18">
        <v>0</v>
      </c>
      <c r="X28" s="92">
        <v>0</v>
      </c>
      <c r="Y28" s="18">
        <v>0</v>
      </c>
      <c r="Z28" s="92">
        <v>0</v>
      </c>
      <c r="AA28" s="18">
        <v>0</v>
      </c>
      <c r="AB28" s="92">
        <v>0</v>
      </c>
      <c r="AC28" s="18">
        <v>0</v>
      </c>
      <c r="AD28" s="92">
        <v>0</v>
      </c>
      <c r="AE28" s="18">
        <v>0</v>
      </c>
      <c r="AF28" s="92">
        <v>0</v>
      </c>
      <c r="AG28" s="18">
        <v>0</v>
      </c>
      <c r="AH28" s="92">
        <v>0</v>
      </c>
      <c r="AI28" s="18">
        <v>0</v>
      </c>
      <c r="AJ28" s="92">
        <v>0</v>
      </c>
      <c r="AK28" s="18">
        <v>0</v>
      </c>
      <c r="AL28" s="92">
        <v>0</v>
      </c>
      <c r="AM28" s="18">
        <v>0</v>
      </c>
      <c r="AN28" s="92">
        <v>0</v>
      </c>
      <c r="AO28" s="18">
        <v>28347</v>
      </c>
      <c r="AP28" s="92">
        <v>4.0347841751286778E-2</v>
      </c>
      <c r="AQ28" s="18">
        <v>0</v>
      </c>
      <c r="AR28" s="92">
        <v>0</v>
      </c>
      <c r="AS28" s="18">
        <v>0</v>
      </c>
      <c r="AT28" s="92">
        <v>0</v>
      </c>
      <c r="AU28" s="18">
        <v>0</v>
      </c>
      <c r="AV28" s="92">
        <v>0</v>
      </c>
      <c r="AW28" s="18">
        <v>0</v>
      </c>
      <c r="AX28" s="92">
        <v>0</v>
      </c>
      <c r="AY28" s="18">
        <v>0</v>
      </c>
      <c r="AZ28" s="92">
        <v>0</v>
      </c>
      <c r="BA28" s="18">
        <v>0</v>
      </c>
      <c r="BB28" s="92">
        <v>0</v>
      </c>
      <c r="BC28" s="18">
        <v>0</v>
      </c>
      <c r="BD28" s="92">
        <v>0</v>
      </c>
      <c r="BE28" s="18">
        <v>0</v>
      </c>
      <c r="BF28" s="92">
        <v>0</v>
      </c>
      <c r="BG28" s="18">
        <v>0</v>
      </c>
      <c r="BH28" s="92">
        <v>0</v>
      </c>
      <c r="BI28" s="18">
        <v>0</v>
      </c>
      <c r="BJ28" s="92">
        <v>0</v>
      </c>
      <c r="BK28" s="18">
        <v>0</v>
      </c>
      <c r="BL28" s="92">
        <v>0</v>
      </c>
      <c r="BM28" s="18">
        <v>0</v>
      </c>
      <c r="BN28" s="92">
        <v>0</v>
      </c>
      <c r="BO28" s="18">
        <v>0</v>
      </c>
      <c r="BP28" s="92">
        <v>0</v>
      </c>
      <c r="BQ28" s="18">
        <v>0</v>
      </c>
      <c r="BR28" s="92">
        <v>0</v>
      </c>
      <c r="BS28" s="18">
        <v>0</v>
      </c>
      <c r="BT28" s="92">
        <v>0</v>
      </c>
      <c r="BU28" s="18">
        <v>0</v>
      </c>
      <c r="BV28" s="92">
        <v>0</v>
      </c>
      <c r="BW28" s="18">
        <v>0</v>
      </c>
      <c r="BX28" s="92">
        <v>0</v>
      </c>
      <c r="BY28" s="18">
        <v>0</v>
      </c>
      <c r="BZ28" s="92">
        <v>0</v>
      </c>
      <c r="CA28" s="18">
        <v>0</v>
      </c>
      <c r="CB28" s="92">
        <v>0</v>
      </c>
      <c r="CC28" s="18">
        <v>0</v>
      </c>
      <c r="CD28" s="92">
        <v>0</v>
      </c>
      <c r="CE28" s="18">
        <v>0</v>
      </c>
      <c r="CF28" s="92">
        <v>0</v>
      </c>
      <c r="CG28" s="18">
        <v>0</v>
      </c>
      <c r="CH28" s="92">
        <v>0</v>
      </c>
      <c r="CI28" s="18">
        <v>0</v>
      </c>
      <c r="CJ28" s="92">
        <v>0</v>
      </c>
      <c r="CK28" s="18">
        <v>0</v>
      </c>
      <c r="CL28" s="92">
        <v>0</v>
      </c>
      <c r="CM28" s="18">
        <v>0</v>
      </c>
      <c r="CN28" s="92">
        <v>0</v>
      </c>
      <c r="CO28" s="18">
        <v>0</v>
      </c>
      <c r="CP28" s="92">
        <v>0</v>
      </c>
      <c r="CQ28" s="18">
        <v>0</v>
      </c>
      <c r="CR28" s="92">
        <v>0</v>
      </c>
      <c r="CS28" s="18">
        <v>0</v>
      </c>
      <c r="CT28" s="92">
        <v>0</v>
      </c>
      <c r="CU28" s="18">
        <v>0</v>
      </c>
      <c r="CV28" s="92">
        <v>0</v>
      </c>
      <c r="CW28" s="18">
        <v>0</v>
      </c>
      <c r="CX28" s="92">
        <v>0</v>
      </c>
      <c r="CY28" s="18">
        <v>0</v>
      </c>
      <c r="CZ28" s="92">
        <v>0</v>
      </c>
      <c r="DA28" s="18">
        <v>0</v>
      </c>
      <c r="DB28" s="92">
        <v>0</v>
      </c>
      <c r="DC28" s="18">
        <v>0</v>
      </c>
      <c r="DD28" s="92">
        <v>0</v>
      </c>
      <c r="DE28" s="18">
        <v>0</v>
      </c>
      <c r="DF28" s="92">
        <v>0</v>
      </c>
      <c r="DG28" s="18">
        <v>0</v>
      </c>
      <c r="DH28" s="92">
        <v>0</v>
      </c>
      <c r="DI28" s="18">
        <v>0</v>
      </c>
      <c r="DJ28" s="92">
        <v>0</v>
      </c>
      <c r="DK28" s="18">
        <v>0</v>
      </c>
      <c r="DL28" s="92">
        <v>0</v>
      </c>
      <c r="DM28" s="18">
        <v>0</v>
      </c>
      <c r="DN28" s="92">
        <v>0</v>
      </c>
      <c r="DO28" s="18">
        <v>0</v>
      </c>
      <c r="DP28" s="92">
        <v>0</v>
      </c>
      <c r="DQ28" s="18">
        <v>0</v>
      </c>
      <c r="DR28" s="92">
        <v>0</v>
      </c>
      <c r="DS28" s="18">
        <v>0</v>
      </c>
      <c r="DT28" s="92">
        <v>0</v>
      </c>
      <c r="DU28" s="18">
        <v>0</v>
      </c>
      <c r="DV28" s="92">
        <v>0</v>
      </c>
      <c r="DW28" s="18">
        <v>0</v>
      </c>
      <c r="DX28" s="92">
        <v>0</v>
      </c>
      <c r="DY28" s="18">
        <v>0</v>
      </c>
      <c r="DZ28" s="92">
        <v>0</v>
      </c>
      <c r="EA28" s="18">
        <v>0</v>
      </c>
      <c r="EB28" s="92">
        <v>0</v>
      </c>
      <c r="EC28" s="18">
        <v>0</v>
      </c>
      <c r="ED28" s="92">
        <v>0</v>
      </c>
      <c r="EE28" s="18">
        <v>0</v>
      </c>
      <c r="EF28" s="92">
        <v>0</v>
      </c>
      <c r="EG28" s="18">
        <v>0</v>
      </c>
      <c r="EH28" s="92">
        <v>0</v>
      </c>
      <c r="EI28" s="18">
        <v>0</v>
      </c>
      <c r="EJ28" s="92">
        <v>0</v>
      </c>
      <c r="EK28" s="18">
        <v>0</v>
      </c>
      <c r="EL28" s="92">
        <v>0</v>
      </c>
      <c r="EM28" s="18">
        <v>0</v>
      </c>
      <c r="EN28" s="92">
        <v>0</v>
      </c>
      <c r="EO28" s="18">
        <v>0</v>
      </c>
      <c r="EP28" s="92">
        <v>0</v>
      </c>
      <c r="EQ28" s="18">
        <v>0</v>
      </c>
      <c r="ER28" s="92">
        <v>0</v>
      </c>
      <c r="ES28" s="18">
        <f t="shared" ref="ES28:ES34" si="3">+$EY28</f>
        <v>0</v>
      </c>
      <c r="ET28" s="92">
        <f>ES28/ES35</f>
        <v>0</v>
      </c>
      <c r="EU28" s="221">
        <f>IF( SUM($EQ28:ES28)&lt;0, "n/a", SUM($EQ28:ES28)/EU$74)</f>
        <v>0</v>
      </c>
      <c r="EV28" s="222">
        <f>EU28/EU35</f>
        <v>0</v>
      </c>
      <c r="EW28" s="22"/>
      <c r="EX28" s="96" t="s">
        <v>61</v>
      </c>
      <c r="EY28" s="35">
        <f>IF(ISERROR(VLOOKUP(EX28,IQSH01E!$A$1:$M$400,2,0)),0,VLOOKUP(EX28,IQSH01E!$A$1:$M$400,2,0))</f>
        <v>0</v>
      </c>
      <c r="EZ28" s="42"/>
      <c r="FA28" s="43"/>
      <c r="FB28" s="43"/>
      <c r="FC28" s="182" t="s">
        <v>123</v>
      </c>
    </row>
    <row r="29" spans="1:159" ht="21" customHeight="1" thickBot="1" x14ac:dyDescent="0.35">
      <c r="A29" s="3"/>
      <c r="B29" s="14" t="s">
        <v>79</v>
      </c>
      <c r="C29" s="18">
        <v>563294.02999999991</v>
      </c>
      <c r="D29" s="92">
        <v>0.73654826393812711</v>
      </c>
      <c r="E29" s="18">
        <v>579608.55999999994</v>
      </c>
      <c r="F29" s="92">
        <v>0.7679687864783098</v>
      </c>
      <c r="G29" s="18">
        <v>685308</v>
      </c>
      <c r="H29" s="92">
        <v>0.75041112534085797</v>
      </c>
      <c r="I29" s="18">
        <v>622486.19999999995</v>
      </c>
      <c r="J29" s="92">
        <v>0.7105081566546676</v>
      </c>
      <c r="K29" s="18">
        <v>481424.99999999994</v>
      </c>
      <c r="L29" s="92">
        <v>0.65101170741969983</v>
      </c>
      <c r="M29" s="18">
        <v>749596</v>
      </c>
      <c r="N29" s="92">
        <v>0.75749084990936988</v>
      </c>
      <c r="O29" s="18">
        <v>591797.76000000001</v>
      </c>
      <c r="P29" s="92">
        <v>0.68113219838493488</v>
      </c>
      <c r="Q29" s="18">
        <v>604621.80000000005</v>
      </c>
      <c r="R29" s="92">
        <v>0.76960092768317268</v>
      </c>
      <c r="S29" s="18">
        <v>932410.99999999988</v>
      </c>
      <c r="T29" s="92">
        <v>0.88289981481669455</v>
      </c>
      <c r="U29" s="18">
        <v>451435</v>
      </c>
      <c r="V29" s="92">
        <v>0.71659873052170087</v>
      </c>
      <c r="W29" s="18">
        <v>465575</v>
      </c>
      <c r="X29" s="92">
        <v>0.68932239863614619</v>
      </c>
      <c r="Y29" s="18">
        <v>640697</v>
      </c>
      <c r="Z29" s="92">
        <v>0.83514194703144429</v>
      </c>
      <c r="AA29" s="18">
        <v>713566</v>
      </c>
      <c r="AB29" s="92">
        <v>0.78399563648723425</v>
      </c>
      <c r="AC29" s="18">
        <v>776310</v>
      </c>
      <c r="AD29" s="92">
        <v>0.87972202819153789</v>
      </c>
      <c r="AE29" s="18">
        <v>761538.00000000012</v>
      </c>
      <c r="AF29" s="92">
        <v>0.75194334577711974</v>
      </c>
      <c r="AG29" s="18">
        <v>708316</v>
      </c>
      <c r="AH29" s="92">
        <v>0.77236371247909297</v>
      </c>
      <c r="AI29" s="18">
        <v>625869</v>
      </c>
      <c r="AJ29" s="92">
        <v>0.76746016667279371</v>
      </c>
      <c r="AK29" s="18">
        <v>609502</v>
      </c>
      <c r="AL29" s="92">
        <v>0.72055301878509248</v>
      </c>
      <c r="AM29" s="18">
        <v>898452.47999999998</v>
      </c>
      <c r="AN29" s="92">
        <v>0.85559351633223002</v>
      </c>
      <c r="AO29" s="18">
        <v>447142.63999999996</v>
      </c>
      <c r="AP29" s="92">
        <v>0.63644267396805987</v>
      </c>
      <c r="AQ29" s="18">
        <v>520672.80000000005</v>
      </c>
      <c r="AR29" s="92">
        <v>0.75146156229183358</v>
      </c>
      <c r="AS29" s="18">
        <v>457426.00000000006</v>
      </c>
      <c r="AT29" s="92">
        <v>0.74484830057880569</v>
      </c>
      <c r="AU29" s="18">
        <v>554495.62</v>
      </c>
      <c r="AV29" s="92">
        <v>0.8321449399335179</v>
      </c>
      <c r="AW29" s="18">
        <v>692944</v>
      </c>
      <c r="AX29" s="92">
        <v>0.90969329095946738</v>
      </c>
      <c r="AY29" s="18">
        <v>634048</v>
      </c>
      <c r="AZ29" s="92">
        <v>0.77037516921303573</v>
      </c>
      <c r="BA29" s="18">
        <v>872908.00000000012</v>
      </c>
      <c r="BB29" s="92">
        <v>0.89000377093456218</v>
      </c>
      <c r="BC29" s="18">
        <v>977804.00000000012</v>
      </c>
      <c r="BD29" s="92">
        <v>0.81339468734323372</v>
      </c>
      <c r="BE29" s="18">
        <v>847128.99999999988</v>
      </c>
      <c r="BF29" s="92">
        <v>0.77199768363057775</v>
      </c>
      <c r="BG29" s="18">
        <v>950705.00000000012</v>
      </c>
      <c r="BH29" s="92">
        <v>0.80098364014473844</v>
      </c>
      <c r="BI29" s="18">
        <v>899542.37000000011</v>
      </c>
      <c r="BJ29" s="92">
        <v>0.8120872120181658</v>
      </c>
      <c r="BK29" s="18">
        <v>747499</v>
      </c>
      <c r="BL29" s="92">
        <v>0.8281880718687834</v>
      </c>
      <c r="BM29" s="18">
        <v>660321.97</v>
      </c>
      <c r="BN29" s="92">
        <v>0.81284064035481263</v>
      </c>
      <c r="BO29" s="18">
        <v>756625.99999999988</v>
      </c>
      <c r="BP29" s="92">
        <v>0.89180973979062328</v>
      </c>
      <c r="BQ29" s="18">
        <v>927826.99999999988</v>
      </c>
      <c r="BR29" s="92">
        <v>0.92012177146867336</v>
      </c>
      <c r="BS29" s="18">
        <v>464176</v>
      </c>
      <c r="BT29" s="92">
        <v>0.8252683567609419</v>
      </c>
      <c r="BU29" s="18">
        <v>700777</v>
      </c>
      <c r="BV29" s="92">
        <v>0.82476060620105229</v>
      </c>
      <c r="BW29" s="18">
        <v>652992</v>
      </c>
      <c r="BX29" s="92">
        <v>0.80736536921709579</v>
      </c>
      <c r="BY29" s="18">
        <v>466517.48</v>
      </c>
      <c r="BZ29" s="92">
        <v>0.75486675021830441</v>
      </c>
      <c r="CA29" s="18">
        <v>574768.2300000001</v>
      </c>
      <c r="CB29" s="92">
        <v>0.83439348391513135</v>
      </c>
      <c r="CC29" s="18">
        <v>544544.18999999994</v>
      </c>
      <c r="CD29" s="92">
        <v>0.84399810048416446</v>
      </c>
      <c r="CE29" s="18">
        <v>345295.00000000006</v>
      </c>
      <c r="CF29" s="92">
        <v>0.66097358473561907</v>
      </c>
      <c r="CG29" s="18">
        <v>609538</v>
      </c>
      <c r="CH29" s="92">
        <v>0.78014704707857441</v>
      </c>
      <c r="CI29" s="18">
        <v>481256.00000000006</v>
      </c>
      <c r="CJ29" s="92">
        <v>0.90718476094881539</v>
      </c>
      <c r="CK29" s="18">
        <v>617246</v>
      </c>
      <c r="CL29" s="92">
        <v>0.85361944805113588</v>
      </c>
      <c r="CM29" s="18">
        <v>425896.00000000006</v>
      </c>
      <c r="CN29" s="92">
        <v>0.85964199278551956</v>
      </c>
      <c r="CO29" s="18">
        <v>533577</v>
      </c>
      <c r="CP29" s="92">
        <v>0.82194900550897487</v>
      </c>
      <c r="CQ29" s="18">
        <v>411938.64</v>
      </c>
      <c r="CR29" s="92">
        <v>0.90567767059655213</v>
      </c>
      <c r="CS29" s="18">
        <v>474340</v>
      </c>
      <c r="CT29" s="92">
        <v>0.91209185480668309</v>
      </c>
      <c r="CU29" s="18">
        <v>332943</v>
      </c>
      <c r="CV29" s="92">
        <v>0.74685138154820396</v>
      </c>
      <c r="CW29" s="18">
        <v>358560.99999999994</v>
      </c>
      <c r="CX29" s="92">
        <v>0.74753418751218181</v>
      </c>
      <c r="CY29" s="18">
        <v>637982</v>
      </c>
      <c r="CZ29" s="92">
        <v>0.84601696176606223</v>
      </c>
      <c r="DA29" s="18">
        <v>695229.00000000012</v>
      </c>
      <c r="DB29" s="92">
        <v>0.85977334218480395</v>
      </c>
      <c r="DC29" s="18">
        <v>507427.00000000006</v>
      </c>
      <c r="DD29" s="92">
        <v>0.76988865626393166</v>
      </c>
      <c r="DE29" s="18">
        <v>457563</v>
      </c>
      <c r="DF29" s="92">
        <v>0.85357412139021904</v>
      </c>
      <c r="DG29" s="18">
        <v>580273</v>
      </c>
      <c r="DH29" s="92">
        <v>0.84063195807243207</v>
      </c>
      <c r="DI29" s="18">
        <v>397855</v>
      </c>
      <c r="DJ29" s="92">
        <v>0.86919740737958884</v>
      </c>
      <c r="DK29" s="18">
        <v>393062</v>
      </c>
      <c r="DL29" s="92">
        <v>0.80857111465669729</v>
      </c>
      <c r="DM29" s="18">
        <v>534398</v>
      </c>
      <c r="DN29" s="92">
        <v>0.85996083945108281</v>
      </c>
      <c r="DO29" s="18">
        <v>450172.25999999995</v>
      </c>
      <c r="DP29" s="92">
        <v>0.86601074461987493</v>
      </c>
      <c r="DQ29" s="18">
        <v>633383.72</v>
      </c>
      <c r="DR29" s="92">
        <v>0.94370516903432156</v>
      </c>
      <c r="DS29" s="18">
        <v>280691</v>
      </c>
      <c r="DT29" s="92">
        <v>0.74856786135918685</v>
      </c>
      <c r="DU29" s="18">
        <v>382077.44000000006</v>
      </c>
      <c r="DV29" s="92">
        <v>0.7878906044673788</v>
      </c>
      <c r="DW29" s="18">
        <v>690625</v>
      </c>
      <c r="DX29" s="92">
        <v>0.83113630536724692</v>
      </c>
      <c r="DY29" s="18">
        <v>596058</v>
      </c>
      <c r="DZ29" s="92">
        <v>0.85528841888444018</v>
      </c>
      <c r="EA29" s="18">
        <v>395171.51999999996</v>
      </c>
      <c r="EB29" s="92">
        <v>0.8255649599631677</v>
      </c>
      <c r="EC29" s="18">
        <v>377006</v>
      </c>
      <c r="ED29" s="92">
        <v>0.87676189126018589</v>
      </c>
      <c r="EE29" s="18">
        <v>522280.13999999996</v>
      </c>
      <c r="EF29" s="92">
        <v>0.89854228808670844</v>
      </c>
      <c r="EG29" s="18">
        <v>444485.11</v>
      </c>
      <c r="EH29" s="92">
        <v>0.83995669722271349</v>
      </c>
      <c r="EI29" s="18">
        <v>519496.21</v>
      </c>
      <c r="EJ29" s="92">
        <v>0.91405118410784358</v>
      </c>
      <c r="EK29" s="18">
        <v>887084</v>
      </c>
      <c r="EL29" s="92">
        <v>0.96245472456345826</v>
      </c>
      <c r="EM29" s="18">
        <v>631116</v>
      </c>
      <c r="EN29" s="92">
        <v>0.93657049756632149</v>
      </c>
      <c r="EO29" s="18">
        <v>781542.03</v>
      </c>
      <c r="EP29" s="92">
        <v>0.9184817104516787</v>
      </c>
      <c r="EQ29" s="18">
        <v>357208</v>
      </c>
      <c r="ER29" s="92">
        <v>0.82960528325032634</v>
      </c>
      <c r="ES29" s="18">
        <f t="shared" si="3"/>
        <v>628329</v>
      </c>
      <c r="ET29" s="92">
        <f>ES29/ES35</f>
        <v>0.9337755705119527</v>
      </c>
      <c r="EU29" s="221">
        <f>IF( SUM($EQ29:ES29)&lt;0, "n/a", SUM($EQ29:ES29)/EU$74)</f>
        <v>492768.91480264161</v>
      </c>
      <c r="EV29" s="223">
        <f>EU29/EU35</f>
        <v>0.89312796861240418</v>
      </c>
      <c r="EW29" s="22"/>
      <c r="EX29" s="100" t="s">
        <v>113</v>
      </c>
      <c r="EY29" s="101">
        <f>+EY38-EY37-EY36-EY28-EY31-EY32-EY33-EY34-EY30</f>
        <v>628329</v>
      </c>
      <c r="EZ29" s="102"/>
      <c r="FA29" s="102"/>
      <c r="FB29" s="102"/>
      <c r="FC29" s="186"/>
    </row>
    <row r="30" spans="1:159" ht="21" customHeight="1" x14ac:dyDescent="0.3">
      <c r="A30" s="3"/>
      <c r="B30" s="14" t="s">
        <v>107</v>
      </c>
      <c r="C30" s="60">
        <v>0</v>
      </c>
      <c r="D30" s="92">
        <v>0</v>
      </c>
      <c r="E30" s="60">
        <v>0</v>
      </c>
      <c r="F30" s="92">
        <v>0</v>
      </c>
      <c r="G30" s="60">
        <v>0</v>
      </c>
      <c r="H30" s="92">
        <v>0</v>
      </c>
      <c r="I30" s="60">
        <v>0</v>
      </c>
      <c r="J30" s="92">
        <v>0</v>
      </c>
      <c r="K30" s="60">
        <v>0</v>
      </c>
      <c r="L30" s="92">
        <v>0</v>
      </c>
      <c r="M30" s="60">
        <v>0</v>
      </c>
      <c r="N30" s="92">
        <v>0</v>
      </c>
      <c r="O30" s="60">
        <v>0</v>
      </c>
      <c r="P30" s="92">
        <v>0</v>
      </c>
      <c r="Q30" s="60">
        <v>0</v>
      </c>
      <c r="R30" s="92">
        <v>0</v>
      </c>
      <c r="S30" s="60">
        <v>0</v>
      </c>
      <c r="T30" s="92">
        <v>0</v>
      </c>
      <c r="U30" s="60">
        <v>0</v>
      </c>
      <c r="V30" s="92">
        <v>0</v>
      </c>
      <c r="W30" s="60">
        <v>0</v>
      </c>
      <c r="X30" s="92">
        <v>0</v>
      </c>
      <c r="Y30" s="60">
        <v>0</v>
      </c>
      <c r="Z30" s="92">
        <v>0</v>
      </c>
      <c r="AA30" s="60">
        <v>0</v>
      </c>
      <c r="AB30" s="92">
        <v>0</v>
      </c>
      <c r="AC30" s="60">
        <v>0</v>
      </c>
      <c r="AD30" s="92">
        <v>0</v>
      </c>
      <c r="AE30" s="60">
        <v>0</v>
      </c>
      <c r="AF30" s="92">
        <v>0</v>
      </c>
      <c r="AG30" s="60">
        <v>0</v>
      </c>
      <c r="AH30" s="92">
        <v>0</v>
      </c>
      <c r="AI30" s="60">
        <v>0</v>
      </c>
      <c r="AJ30" s="92">
        <v>0</v>
      </c>
      <c r="AK30" s="60">
        <v>0</v>
      </c>
      <c r="AL30" s="92">
        <v>0</v>
      </c>
      <c r="AM30" s="60">
        <v>0</v>
      </c>
      <c r="AN30" s="92">
        <v>0</v>
      </c>
      <c r="AO30" s="60">
        <v>0</v>
      </c>
      <c r="AP30" s="92">
        <v>0</v>
      </c>
      <c r="AQ30" s="60">
        <v>0</v>
      </c>
      <c r="AR30" s="92">
        <v>0</v>
      </c>
      <c r="AS30" s="60">
        <v>0</v>
      </c>
      <c r="AT30" s="92">
        <v>0</v>
      </c>
      <c r="AU30" s="60">
        <v>0</v>
      </c>
      <c r="AV30" s="92">
        <v>0</v>
      </c>
      <c r="AW30" s="60">
        <v>0</v>
      </c>
      <c r="AX30" s="92">
        <v>0</v>
      </c>
      <c r="AY30" s="60">
        <v>0</v>
      </c>
      <c r="AZ30" s="92">
        <v>0</v>
      </c>
      <c r="BA30" s="60">
        <v>0</v>
      </c>
      <c r="BB30" s="92">
        <v>0</v>
      </c>
      <c r="BC30" s="60">
        <v>0</v>
      </c>
      <c r="BD30" s="92">
        <v>0</v>
      </c>
      <c r="BE30" s="60">
        <v>0</v>
      </c>
      <c r="BF30" s="92">
        <v>0</v>
      </c>
      <c r="BG30" s="60">
        <v>0</v>
      </c>
      <c r="BH30" s="92">
        <v>0</v>
      </c>
      <c r="BI30" s="60">
        <v>0</v>
      </c>
      <c r="BJ30" s="92">
        <v>0</v>
      </c>
      <c r="BK30" s="60">
        <v>0</v>
      </c>
      <c r="BL30" s="92">
        <v>0</v>
      </c>
      <c r="BM30" s="60">
        <v>0</v>
      </c>
      <c r="BN30" s="92">
        <v>0</v>
      </c>
      <c r="BO30" s="60">
        <v>0</v>
      </c>
      <c r="BP30" s="92">
        <v>0</v>
      </c>
      <c r="BQ30" s="60">
        <v>0</v>
      </c>
      <c r="BR30" s="92">
        <v>0</v>
      </c>
      <c r="BS30" s="60">
        <v>0</v>
      </c>
      <c r="BT30" s="92">
        <v>0</v>
      </c>
      <c r="BU30" s="60">
        <v>0</v>
      </c>
      <c r="BV30" s="92">
        <v>0</v>
      </c>
      <c r="BW30" s="60">
        <v>0</v>
      </c>
      <c r="BX30" s="92">
        <v>0</v>
      </c>
      <c r="BY30" s="60">
        <v>0</v>
      </c>
      <c r="BZ30" s="92">
        <v>0</v>
      </c>
      <c r="CA30" s="60">
        <v>0</v>
      </c>
      <c r="CB30" s="92">
        <v>0</v>
      </c>
      <c r="CC30" s="60">
        <v>0</v>
      </c>
      <c r="CD30" s="92">
        <v>0</v>
      </c>
      <c r="CE30" s="60">
        <v>0</v>
      </c>
      <c r="CF30" s="92">
        <v>0</v>
      </c>
      <c r="CG30" s="60">
        <v>0</v>
      </c>
      <c r="CH30" s="92">
        <v>0</v>
      </c>
      <c r="CI30" s="60">
        <v>0</v>
      </c>
      <c r="CJ30" s="92">
        <v>0</v>
      </c>
      <c r="CK30" s="60">
        <v>0</v>
      </c>
      <c r="CL30" s="92">
        <v>0</v>
      </c>
      <c r="CM30" s="60">
        <v>0</v>
      </c>
      <c r="CN30" s="92">
        <v>0</v>
      </c>
      <c r="CO30" s="60">
        <v>0</v>
      </c>
      <c r="CP30" s="92">
        <v>0</v>
      </c>
      <c r="CQ30" s="60">
        <v>0</v>
      </c>
      <c r="CR30" s="92">
        <v>0</v>
      </c>
      <c r="CS30" s="60">
        <v>0</v>
      </c>
      <c r="CT30" s="92">
        <v>0</v>
      </c>
      <c r="CU30" s="60">
        <v>0</v>
      </c>
      <c r="CV30" s="92">
        <v>0</v>
      </c>
      <c r="CW30" s="60">
        <v>0</v>
      </c>
      <c r="CX30" s="92">
        <v>0</v>
      </c>
      <c r="CY30" s="60">
        <v>0</v>
      </c>
      <c r="CZ30" s="92">
        <v>0</v>
      </c>
      <c r="DA30" s="60">
        <v>0</v>
      </c>
      <c r="DB30" s="92">
        <v>0</v>
      </c>
      <c r="DC30" s="60">
        <v>0</v>
      </c>
      <c r="DD30" s="92">
        <v>0</v>
      </c>
      <c r="DE30" s="60">
        <v>0</v>
      </c>
      <c r="DF30" s="92">
        <v>0</v>
      </c>
      <c r="DG30" s="60">
        <v>0</v>
      </c>
      <c r="DH30" s="92">
        <v>0</v>
      </c>
      <c r="DI30" s="60">
        <v>0</v>
      </c>
      <c r="DJ30" s="92">
        <v>0</v>
      </c>
      <c r="DK30" s="60">
        <v>0</v>
      </c>
      <c r="DL30" s="92">
        <v>0</v>
      </c>
      <c r="DM30" s="60">
        <v>0</v>
      </c>
      <c r="DN30" s="92">
        <v>0</v>
      </c>
      <c r="DO30" s="60">
        <v>0</v>
      </c>
      <c r="DP30" s="92">
        <v>0</v>
      </c>
      <c r="DQ30" s="60">
        <v>0</v>
      </c>
      <c r="DR30" s="92">
        <v>0</v>
      </c>
      <c r="DS30" s="60">
        <v>0</v>
      </c>
      <c r="DT30" s="92">
        <v>0</v>
      </c>
      <c r="DU30" s="60">
        <v>0</v>
      </c>
      <c r="DV30" s="92">
        <v>0</v>
      </c>
      <c r="DW30" s="60">
        <v>0</v>
      </c>
      <c r="DX30" s="92">
        <v>0</v>
      </c>
      <c r="DY30" s="60">
        <v>0</v>
      </c>
      <c r="DZ30" s="92">
        <v>0</v>
      </c>
      <c r="EA30" s="60">
        <v>0</v>
      </c>
      <c r="EB30" s="92">
        <v>0</v>
      </c>
      <c r="EC30" s="60">
        <v>0</v>
      </c>
      <c r="ED30" s="92">
        <v>0</v>
      </c>
      <c r="EE30" s="60">
        <v>0</v>
      </c>
      <c r="EF30" s="92">
        <v>0</v>
      </c>
      <c r="EG30" s="60">
        <v>0</v>
      </c>
      <c r="EH30" s="92">
        <v>0</v>
      </c>
      <c r="EI30" s="60">
        <v>0</v>
      </c>
      <c r="EJ30" s="92">
        <v>0</v>
      </c>
      <c r="EK30" s="60">
        <v>0</v>
      </c>
      <c r="EL30" s="92">
        <v>0</v>
      </c>
      <c r="EM30" s="60">
        <v>0</v>
      </c>
      <c r="EN30" s="92">
        <v>0</v>
      </c>
      <c r="EO30" s="60">
        <v>0</v>
      </c>
      <c r="EP30" s="92">
        <v>0</v>
      </c>
      <c r="EQ30" s="60">
        <v>0</v>
      </c>
      <c r="ER30" s="92">
        <v>0</v>
      </c>
      <c r="ES30" s="60">
        <f t="shared" si="3"/>
        <v>0</v>
      </c>
      <c r="ET30" s="92">
        <f>ES30/ES35</f>
        <v>0</v>
      </c>
      <c r="EU30" s="221">
        <f>IF( SUM($EQ30:ES30)&lt;0, "n/a", SUM($EQ30:ES30)/EU$74)</f>
        <v>0</v>
      </c>
      <c r="EV30" s="224">
        <f>EU30/EU35</f>
        <v>0</v>
      </c>
      <c r="EW30" s="22"/>
      <c r="EX30" s="154" t="s">
        <v>131</v>
      </c>
      <c r="EY30" s="34">
        <f>IF(ISERROR(VLOOKUP(EX30,IQSH01E!$A$1:$M$400,2,0)),0,VLOOKUP(EX30,IQSH01E!$A$1:$M$400,2,0))</f>
        <v>0</v>
      </c>
      <c r="EZ30" s="51"/>
      <c r="FA30" s="52"/>
      <c r="FB30" s="52"/>
      <c r="FC30" s="187" t="s">
        <v>117</v>
      </c>
    </row>
    <row r="31" spans="1:159" ht="21" customHeight="1" x14ac:dyDescent="0.3">
      <c r="A31" s="5"/>
      <c r="B31" s="14" t="s">
        <v>80</v>
      </c>
      <c r="C31" s="18">
        <v>201481.42</v>
      </c>
      <c r="D31" s="92">
        <v>0.26345173606187283</v>
      </c>
      <c r="E31" s="18">
        <v>175029.88</v>
      </c>
      <c r="F31" s="92">
        <v>0.23191079949033916</v>
      </c>
      <c r="G31" s="18">
        <v>226612.39</v>
      </c>
      <c r="H31" s="92">
        <v>0.24814019184962294</v>
      </c>
      <c r="I31" s="18">
        <v>213983.53</v>
      </c>
      <c r="J31" s="92">
        <v>0.24424162889837361</v>
      </c>
      <c r="K31" s="18">
        <v>257811.38</v>
      </c>
      <c r="L31" s="92">
        <v>0.34862798293821279</v>
      </c>
      <c r="M31" s="18">
        <v>239969.63</v>
      </c>
      <c r="N31" s="92">
        <v>0.24249702370495177</v>
      </c>
      <c r="O31" s="18">
        <v>277044.44</v>
      </c>
      <c r="P31" s="92">
        <v>0.31886549970639155</v>
      </c>
      <c r="Q31" s="18">
        <v>181008.49</v>
      </c>
      <c r="R31" s="92">
        <v>0.23039907231682727</v>
      </c>
      <c r="S31" s="18">
        <v>123485</v>
      </c>
      <c r="T31" s="92">
        <v>0.11692792516673392</v>
      </c>
      <c r="U31" s="18">
        <v>178517.89</v>
      </c>
      <c r="V31" s="92">
        <v>0.28337566504460809</v>
      </c>
      <c r="W31" s="18">
        <v>169335.65</v>
      </c>
      <c r="X31" s="92">
        <v>0.25071547319467524</v>
      </c>
      <c r="Y31" s="18">
        <v>126290.38</v>
      </c>
      <c r="Z31" s="92">
        <v>0.16461821086182857</v>
      </c>
      <c r="AA31" s="18">
        <v>196599.78</v>
      </c>
      <c r="AB31" s="92">
        <v>0.21600436351276578</v>
      </c>
      <c r="AC31" s="18">
        <v>106129.97</v>
      </c>
      <c r="AD31" s="92">
        <v>0.12026751228286003</v>
      </c>
      <c r="AE31" s="18">
        <v>251181.97</v>
      </c>
      <c r="AF31" s="92">
        <v>0.24801731616897396</v>
      </c>
      <c r="AG31" s="18">
        <v>208591.95</v>
      </c>
      <c r="AH31" s="92">
        <v>0.22745335824018284</v>
      </c>
      <c r="AI31" s="18">
        <v>189637.82</v>
      </c>
      <c r="AJ31" s="92">
        <v>0.23253983332720626</v>
      </c>
      <c r="AK31" s="18">
        <v>236378.85</v>
      </c>
      <c r="AL31" s="92">
        <v>0.27944698121490752</v>
      </c>
      <c r="AM31" s="18">
        <v>151612.19</v>
      </c>
      <c r="AN31" s="92">
        <v>0.14437981935441946</v>
      </c>
      <c r="AO31" s="18">
        <v>189223.82</v>
      </c>
      <c r="AP31" s="92">
        <v>0.26933265407041218</v>
      </c>
      <c r="AQ31" s="18">
        <v>172169.35</v>
      </c>
      <c r="AR31" s="92">
        <v>0.24848359416848642</v>
      </c>
      <c r="AS31" s="18">
        <v>156687.38</v>
      </c>
      <c r="AT31" s="92">
        <v>0.255141440834464</v>
      </c>
      <c r="AU31" s="18">
        <v>111849.38</v>
      </c>
      <c r="AV31" s="92">
        <v>0.1678550600664821</v>
      </c>
      <c r="AW31" s="18">
        <v>68758.52</v>
      </c>
      <c r="AX31" s="92">
        <v>9.0265828609963225E-2</v>
      </c>
      <c r="AY31" s="18">
        <v>188989.95</v>
      </c>
      <c r="AZ31" s="92">
        <v>0.22962483078696436</v>
      </c>
      <c r="BA31" s="18">
        <v>107883.35</v>
      </c>
      <c r="BB31" s="92">
        <v>0.10999622906543782</v>
      </c>
      <c r="BC31" s="18">
        <v>224323.35</v>
      </c>
      <c r="BD31" s="92">
        <v>0.18660531265676636</v>
      </c>
      <c r="BE31" s="18">
        <v>250191.65</v>
      </c>
      <c r="BF31" s="92">
        <v>0.2280023163694222</v>
      </c>
      <c r="BG31" s="18">
        <v>236212.87</v>
      </c>
      <c r="BH31" s="92">
        <v>0.19901298979350676</v>
      </c>
      <c r="BI31" s="18">
        <v>168094.46</v>
      </c>
      <c r="BJ31" s="92">
        <v>0.1517520084986092</v>
      </c>
      <c r="BK31" s="18">
        <v>155003.56</v>
      </c>
      <c r="BL31" s="92">
        <v>0.17173547989923368</v>
      </c>
      <c r="BM31" s="18">
        <v>152032.78</v>
      </c>
      <c r="BN31" s="92">
        <v>0.18714873632043827</v>
      </c>
      <c r="BO31" s="18">
        <v>91790.39</v>
      </c>
      <c r="BP31" s="92">
        <v>0.10819026020937668</v>
      </c>
      <c r="BQ31" s="18">
        <v>80547.14</v>
      </c>
      <c r="BR31" s="92">
        <v>7.9878228531326687E-2</v>
      </c>
      <c r="BS31" s="18">
        <v>98128.34</v>
      </c>
      <c r="BT31" s="92">
        <v>0.1744644572392347</v>
      </c>
      <c r="BU31" s="18">
        <v>111460.22</v>
      </c>
      <c r="BV31" s="92">
        <v>0.13118010239277636</v>
      </c>
      <c r="BW31" s="18">
        <v>155644.85999999999</v>
      </c>
      <c r="BX31" s="92">
        <v>0.19244074944355088</v>
      </c>
      <c r="BY31" s="18">
        <v>151495.54</v>
      </c>
      <c r="BZ31" s="92">
        <v>0.24513324978169554</v>
      </c>
      <c r="CA31" s="18">
        <v>114070.68</v>
      </c>
      <c r="CB31" s="92">
        <v>0.16559689128567193</v>
      </c>
      <c r="CC31" s="18">
        <v>100414.32</v>
      </c>
      <c r="CD31" s="92">
        <v>0.15563382531252248</v>
      </c>
      <c r="CE31" s="18">
        <v>177104.72</v>
      </c>
      <c r="CF31" s="92">
        <v>0.33901893063032501</v>
      </c>
      <c r="CG31" s="18">
        <v>171773.68</v>
      </c>
      <c r="CH31" s="92">
        <v>0.21985295292142568</v>
      </c>
      <c r="CI31" s="18">
        <v>49057.919999999998</v>
      </c>
      <c r="CJ31" s="92">
        <v>9.2475932617663167E-2</v>
      </c>
      <c r="CK31" s="18">
        <v>105846.71</v>
      </c>
      <c r="CL31" s="92">
        <v>0.14638055194886423</v>
      </c>
      <c r="CM31" s="18">
        <v>69485.240000000005</v>
      </c>
      <c r="CN31" s="92">
        <v>0.14025121199255239</v>
      </c>
      <c r="CO31" s="18">
        <v>77496.710000000006</v>
      </c>
      <c r="CP31" s="92">
        <v>0.11937985279484954</v>
      </c>
      <c r="CQ31" s="18">
        <v>42897.59</v>
      </c>
      <c r="CR31" s="92">
        <v>9.4313535106602148E-2</v>
      </c>
      <c r="CS31" s="18">
        <v>45713.27</v>
      </c>
      <c r="CT31" s="92">
        <v>8.7900453732720624E-2</v>
      </c>
      <c r="CU31" s="18">
        <v>112847.62</v>
      </c>
      <c r="CV31" s="92">
        <v>0.25313762686533947</v>
      </c>
      <c r="CW31" s="18">
        <v>121044.33</v>
      </c>
      <c r="CX31" s="92">
        <v>0.25235531716920251</v>
      </c>
      <c r="CY31" s="18">
        <v>116108.72</v>
      </c>
      <c r="CZ31" s="92">
        <v>0.15396977740586165</v>
      </c>
      <c r="DA31" s="18">
        <v>73274.2</v>
      </c>
      <c r="DB31" s="92">
        <v>9.0616478642170789E-2</v>
      </c>
      <c r="DC31" s="18">
        <v>151654.5</v>
      </c>
      <c r="DD31" s="92">
        <v>0.23009630788542668</v>
      </c>
      <c r="DE31" s="18">
        <v>78492.38</v>
      </c>
      <c r="DF31" s="92">
        <v>0.14642587860978096</v>
      </c>
      <c r="DG31" s="18">
        <v>110008.87</v>
      </c>
      <c r="DH31" s="92">
        <v>0.15936804192756793</v>
      </c>
      <c r="DI31" s="18">
        <v>59864.98</v>
      </c>
      <c r="DJ31" s="92">
        <v>0.13078756182234968</v>
      </c>
      <c r="DK31" s="18">
        <v>93048.63</v>
      </c>
      <c r="DL31" s="92">
        <v>0.19141111192732599</v>
      </c>
      <c r="DM31" s="18">
        <v>87023.32</v>
      </c>
      <c r="DN31" s="92">
        <v>0.1400391605489171</v>
      </c>
      <c r="DO31" s="18">
        <v>69650.69</v>
      </c>
      <c r="DP31" s="92">
        <v>0.13398925538012513</v>
      </c>
      <c r="DQ31" s="18">
        <v>37775.370000000003</v>
      </c>
      <c r="DR31" s="92">
        <v>5.6283120019542089E-2</v>
      </c>
      <c r="DS31" s="18">
        <v>94275.86</v>
      </c>
      <c r="DT31" s="92">
        <v>0.25142195117762273</v>
      </c>
      <c r="DU31" s="18">
        <v>102835.93</v>
      </c>
      <c r="DV31" s="92">
        <v>0.21206031700972722</v>
      </c>
      <c r="DW31" s="18">
        <v>99763.72</v>
      </c>
      <c r="DX31" s="92">
        <v>0.12006117596451406</v>
      </c>
      <c r="DY31" s="18">
        <v>100850.77</v>
      </c>
      <c r="DZ31" s="92">
        <v>0.14471158111555979</v>
      </c>
      <c r="EA31" s="18">
        <v>83395.710000000006</v>
      </c>
      <c r="EB31" s="92">
        <v>0.17422453922603015</v>
      </c>
      <c r="EC31" s="18">
        <v>52990</v>
      </c>
      <c r="ED31" s="92">
        <v>0.12323308546250525</v>
      </c>
      <c r="EE31" s="18">
        <v>58972.57</v>
      </c>
      <c r="EF31" s="92">
        <v>0.10145771191329156</v>
      </c>
      <c r="EG31" s="18">
        <v>84691.11</v>
      </c>
      <c r="EH31" s="92">
        <v>0.16004330277728657</v>
      </c>
      <c r="EI31" s="18">
        <v>48848.56</v>
      </c>
      <c r="EJ31" s="92">
        <v>8.5948815892156444E-2</v>
      </c>
      <c r="EK31" s="18">
        <v>34605.07</v>
      </c>
      <c r="EL31" s="92">
        <v>3.7545275436541743E-2</v>
      </c>
      <c r="EM31" s="18">
        <v>42742.51</v>
      </c>
      <c r="EN31" s="92">
        <v>6.342950243367855E-2</v>
      </c>
      <c r="EO31" s="18">
        <v>69354.22</v>
      </c>
      <c r="EP31" s="92">
        <v>8.15062788275661E-2</v>
      </c>
      <c r="EQ31" s="18">
        <v>73293.850000000006</v>
      </c>
      <c r="ER31" s="92">
        <v>0.1702228538827712</v>
      </c>
      <c r="ES31" s="18">
        <f t="shared" si="3"/>
        <v>44561.81</v>
      </c>
      <c r="ET31" s="92">
        <f>ES31/ES35</f>
        <v>6.6224429488047243E-2</v>
      </c>
      <c r="EU31" s="221">
        <f>IF( SUM($EQ31:ES31)&lt;0, "n/a", SUM($EQ31:ES31)/EU$74)</f>
        <v>58927.915111426941</v>
      </c>
      <c r="EV31" s="224">
        <f>EU31/EU35</f>
        <v>0.10680496990990553</v>
      </c>
      <c r="EW31" s="22"/>
      <c r="EX31" s="96" t="s">
        <v>43</v>
      </c>
      <c r="EY31" s="35">
        <f>IF(ISERROR(VLOOKUP(EX31,IQSH01E!$A$1:$M$400,2,0)),0,VLOOKUP(EX31,IQSH01E!$A$1:$M$400,2,0))</f>
        <v>44561.81</v>
      </c>
      <c r="EZ31" s="42"/>
      <c r="FA31" s="43"/>
      <c r="FB31" s="43"/>
      <c r="FC31" s="182" t="s">
        <v>118</v>
      </c>
    </row>
    <row r="32" spans="1:159" ht="21" customHeight="1" x14ac:dyDescent="0.3">
      <c r="A32" s="5"/>
      <c r="B32" s="14" t="s">
        <v>81</v>
      </c>
      <c r="C32" s="18">
        <v>0</v>
      </c>
      <c r="D32" s="92">
        <v>0</v>
      </c>
      <c r="E32" s="18">
        <v>0</v>
      </c>
      <c r="F32" s="92">
        <v>0</v>
      </c>
      <c r="G32" s="18">
        <v>0</v>
      </c>
      <c r="H32" s="92">
        <v>0</v>
      </c>
      <c r="I32" s="18">
        <v>39401</v>
      </c>
      <c r="J32" s="92">
        <v>4.4972453815603559E-2</v>
      </c>
      <c r="K32" s="18">
        <v>0</v>
      </c>
      <c r="L32" s="92">
        <v>0</v>
      </c>
      <c r="M32" s="18">
        <v>0</v>
      </c>
      <c r="N32" s="92">
        <v>0</v>
      </c>
      <c r="O32" s="18">
        <v>0</v>
      </c>
      <c r="P32" s="92">
        <v>0</v>
      </c>
      <c r="Q32" s="18">
        <v>0</v>
      </c>
      <c r="R32" s="92">
        <v>0</v>
      </c>
      <c r="S32" s="18">
        <v>0</v>
      </c>
      <c r="T32" s="92">
        <v>0</v>
      </c>
      <c r="U32" s="18">
        <v>0</v>
      </c>
      <c r="V32" s="92">
        <v>0</v>
      </c>
      <c r="W32" s="18">
        <v>40499</v>
      </c>
      <c r="X32" s="92">
        <v>5.9962128169178508E-2</v>
      </c>
      <c r="Y32" s="18">
        <v>0</v>
      </c>
      <c r="Z32" s="92">
        <v>0</v>
      </c>
      <c r="AA32" s="18">
        <v>0</v>
      </c>
      <c r="AB32" s="92">
        <v>0</v>
      </c>
      <c r="AC32" s="18">
        <v>0</v>
      </c>
      <c r="AD32" s="92">
        <v>0</v>
      </c>
      <c r="AE32" s="18">
        <v>0</v>
      </c>
      <c r="AF32" s="92">
        <v>0</v>
      </c>
      <c r="AG32" s="18">
        <v>0</v>
      </c>
      <c r="AH32" s="92">
        <v>0</v>
      </c>
      <c r="AI32" s="18">
        <v>0</v>
      </c>
      <c r="AJ32" s="92">
        <v>0</v>
      </c>
      <c r="AK32" s="18">
        <v>0</v>
      </c>
      <c r="AL32" s="92">
        <v>0</v>
      </c>
      <c r="AM32" s="18">
        <v>0</v>
      </c>
      <c r="AN32" s="92">
        <v>0</v>
      </c>
      <c r="AO32" s="18">
        <v>37814</v>
      </c>
      <c r="AP32" s="92">
        <v>5.382274272350366E-2</v>
      </c>
      <c r="AQ32" s="18">
        <v>0</v>
      </c>
      <c r="AR32" s="92">
        <v>0</v>
      </c>
      <c r="AS32" s="18">
        <v>0</v>
      </c>
      <c r="AT32" s="92">
        <v>0</v>
      </c>
      <c r="AU32" s="18">
        <v>0</v>
      </c>
      <c r="AV32" s="92">
        <v>0</v>
      </c>
      <c r="AW32" s="18">
        <v>0</v>
      </c>
      <c r="AX32" s="92">
        <v>0</v>
      </c>
      <c r="AY32" s="18">
        <v>0</v>
      </c>
      <c r="AZ32" s="92">
        <v>0</v>
      </c>
      <c r="BA32" s="18">
        <v>0</v>
      </c>
      <c r="BB32" s="92">
        <v>0</v>
      </c>
      <c r="BC32" s="18">
        <v>0</v>
      </c>
      <c r="BD32" s="92">
        <v>0</v>
      </c>
      <c r="BE32" s="18">
        <v>0</v>
      </c>
      <c r="BF32" s="92">
        <v>0</v>
      </c>
      <c r="BG32" s="18">
        <v>0</v>
      </c>
      <c r="BH32" s="92">
        <v>0</v>
      </c>
      <c r="BI32" s="18">
        <v>40055</v>
      </c>
      <c r="BJ32" s="92">
        <v>3.616077948322504E-2</v>
      </c>
      <c r="BK32" s="18">
        <v>0</v>
      </c>
      <c r="BL32" s="92">
        <v>0</v>
      </c>
      <c r="BM32" s="18">
        <v>0</v>
      </c>
      <c r="BN32" s="92">
        <v>0</v>
      </c>
      <c r="BO32" s="18">
        <v>0</v>
      </c>
      <c r="BP32" s="92">
        <v>0</v>
      </c>
      <c r="BQ32" s="18">
        <v>0</v>
      </c>
      <c r="BR32" s="92">
        <v>0</v>
      </c>
      <c r="BS32" s="18">
        <v>0</v>
      </c>
      <c r="BT32" s="92">
        <v>0</v>
      </c>
      <c r="BU32" s="18">
        <v>37436</v>
      </c>
      <c r="BV32" s="92">
        <v>4.4059291406171423E-2</v>
      </c>
      <c r="BW32" s="18">
        <v>0</v>
      </c>
      <c r="BX32" s="92">
        <v>0</v>
      </c>
      <c r="BY32" s="18">
        <v>0</v>
      </c>
      <c r="BZ32" s="92">
        <v>0</v>
      </c>
      <c r="CA32" s="18">
        <v>0</v>
      </c>
      <c r="CB32" s="92">
        <v>0</v>
      </c>
      <c r="CC32" s="18">
        <v>0</v>
      </c>
      <c r="CD32" s="92">
        <v>0</v>
      </c>
      <c r="CE32" s="18">
        <v>0</v>
      </c>
      <c r="CF32" s="92">
        <v>0</v>
      </c>
      <c r="CG32" s="18">
        <v>0</v>
      </c>
      <c r="CH32" s="92">
        <v>0</v>
      </c>
      <c r="CI32" s="18">
        <v>0</v>
      </c>
      <c r="CJ32" s="92">
        <v>0</v>
      </c>
      <c r="CK32" s="18">
        <v>0</v>
      </c>
      <c r="CL32" s="92">
        <v>0</v>
      </c>
      <c r="CM32" s="18">
        <v>0</v>
      </c>
      <c r="CN32" s="92">
        <v>0</v>
      </c>
      <c r="CO32" s="18">
        <v>38087</v>
      </c>
      <c r="CP32" s="92">
        <v>5.8671141696175669E-2</v>
      </c>
      <c r="CQ32" s="18">
        <v>0</v>
      </c>
      <c r="CR32" s="92">
        <v>0</v>
      </c>
      <c r="CS32" s="18">
        <v>0</v>
      </c>
      <c r="CT32" s="92">
        <v>0</v>
      </c>
      <c r="CU32" s="18">
        <v>0</v>
      </c>
      <c r="CV32" s="92">
        <v>0</v>
      </c>
      <c r="CW32" s="18">
        <v>0</v>
      </c>
      <c r="CX32" s="92">
        <v>0</v>
      </c>
      <c r="CY32" s="18">
        <v>0</v>
      </c>
      <c r="CZ32" s="92">
        <v>0</v>
      </c>
      <c r="DA32" s="18">
        <v>40110</v>
      </c>
      <c r="DB32" s="92">
        <v>4.9603093016880026E-2</v>
      </c>
      <c r="DC32" s="18">
        <v>0</v>
      </c>
      <c r="DD32" s="92">
        <v>0</v>
      </c>
      <c r="DE32" s="18">
        <v>0</v>
      </c>
      <c r="DF32" s="92">
        <v>0</v>
      </c>
      <c r="DG32" s="18">
        <v>0</v>
      </c>
      <c r="DH32" s="92">
        <v>0</v>
      </c>
      <c r="DI32" s="18">
        <v>0</v>
      </c>
      <c r="DJ32" s="92">
        <v>0</v>
      </c>
      <c r="DK32" s="18">
        <v>0</v>
      </c>
      <c r="DL32" s="92">
        <v>0</v>
      </c>
      <c r="DM32" s="18">
        <v>0</v>
      </c>
      <c r="DN32" s="92">
        <v>0</v>
      </c>
      <c r="DO32" s="18">
        <v>0</v>
      </c>
      <c r="DP32" s="92">
        <v>0</v>
      </c>
      <c r="DQ32" s="18">
        <v>0</v>
      </c>
      <c r="DR32" s="92">
        <v>0</v>
      </c>
      <c r="DS32" s="18">
        <v>0</v>
      </c>
      <c r="DT32" s="92">
        <v>0</v>
      </c>
      <c r="DU32" s="18">
        <v>0</v>
      </c>
      <c r="DV32" s="92">
        <v>0</v>
      </c>
      <c r="DW32" s="18">
        <v>40055</v>
      </c>
      <c r="DX32" s="92">
        <v>4.8204401392195582E-2</v>
      </c>
      <c r="DY32" s="18">
        <v>0</v>
      </c>
      <c r="DZ32" s="92">
        <v>0</v>
      </c>
      <c r="EA32" s="18">
        <v>0</v>
      </c>
      <c r="EB32" s="92">
        <v>0</v>
      </c>
      <c r="EC32" s="18">
        <v>0</v>
      </c>
      <c r="ED32" s="92">
        <v>0</v>
      </c>
      <c r="EE32" s="18">
        <v>0</v>
      </c>
      <c r="EF32" s="92">
        <v>0</v>
      </c>
      <c r="EG32" s="18">
        <v>0</v>
      </c>
      <c r="EH32" s="92">
        <v>0</v>
      </c>
      <c r="EI32" s="18">
        <v>0</v>
      </c>
      <c r="EJ32" s="92">
        <v>0</v>
      </c>
      <c r="EK32" s="18">
        <v>0</v>
      </c>
      <c r="EL32" s="92">
        <v>0</v>
      </c>
      <c r="EM32" s="18">
        <v>0</v>
      </c>
      <c r="EN32" s="92">
        <v>0</v>
      </c>
      <c r="EO32" s="18">
        <v>0</v>
      </c>
      <c r="EP32" s="92">
        <v>0</v>
      </c>
      <c r="EQ32" s="18">
        <v>0</v>
      </c>
      <c r="ER32" s="92">
        <v>0</v>
      </c>
      <c r="ES32" s="18">
        <f t="shared" si="3"/>
        <v>0</v>
      </c>
      <c r="ET32" s="92">
        <f>ES32/ES35</f>
        <v>0</v>
      </c>
      <c r="EU32" s="221">
        <f>IF( SUM($EQ32:ES32)&lt;0, "n/a", SUM($EQ32:ES32)/EU$74)</f>
        <v>0</v>
      </c>
      <c r="EV32" s="224">
        <f>EU32/EU35</f>
        <v>0</v>
      </c>
      <c r="EW32" s="22"/>
      <c r="EX32" s="96" t="s">
        <v>127</v>
      </c>
      <c r="EY32" s="35">
        <f>IF(ISERROR(VLOOKUP(EX32,IQSH01E!$A$1:$M$400,2,0)),0,VLOOKUP(EX32,IQSH01E!$A$1:$M$400,2,0))</f>
        <v>0</v>
      </c>
      <c r="EZ32" s="42"/>
      <c r="FA32" s="43"/>
      <c r="FB32" s="43"/>
      <c r="FC32" s="182" t="s">
        <v>123</v>
      </c>
    </row>
    <row r="33" spans="1:159" ht="21" customHeight="1" x14ac:dyDescent="0.3">
      <c r="A33" s="5" t="s">
        <v>74</v>
      </c>
      <c r="B33" s="14" t="s">
        <v>82</v>
      </c>
      <c r="C33" s="18">
        <v>0</v>
      </c>
      <c r="D33" s="92">
        <v>0</v>
      </c>
      <c r="E33" s="18">
        <v>90.88</v>
      </c>
      <c r="F33" s="92">
        <v>1.2041403135100144E-4</v>
      </c>
      <c r="G33" s="18">
        <v>1323</v>
      </c>
      <c r="H33" s="92">
        <v>1.4486828095191578E-3</v>
      </c>
      <c r="I33" s="18">
        <v>243.35</v>
      </c>
      <c r="J33" s="92">
        <v>2.777606313552226E-4</v>
      </c>
      <c r="K33" s="18">
        <v>266.45</v>
      </c>
      <c r="L33" s="92">
        <v>3.6030964208750904E-4</v>
      </c>
      <c r="M33" s="18">
        <v>12</v>
      </c>
      <c r="N33" s="92">
        <v>1.2126385678301963E-5</v>
      </c>
      <c r="O33" s="18">
        <v>2</v>
      </c>
      <c r="P33" s="92">
        <v>2.3019086736149014E-6</v>
      </c>
      <c r="Q33" s="18">
        <v>0</v>
      </c>
      <c r="R33" s="92">
        <v>0</v>
      </c>
      <c r="S33" s="18">
        <v>181.92</v>
      </c>
      <c r="T33" s="92">
        <v>1.7226001657150448E-4</v>
      </c>
      <c r="U33" s="18">
        <v>16.13</v>
      </c>
      <c r="V33" s="92">
        <v>2.5604433691040868E-5</v>
      </c>
      <c r="W33" s="18">
        <v>0</v>
      </c>
      <c r="X33" s="92">
        <v>0</v>
      </c>
      <c r="Y33" s="18">
        <v>184</v>
      </c>
      <c r="Z33" s="92">
        <v>2.3984210672718266E-4</v>
      </c>
      <c r="AA33" s="18">
        <v>0</v>
      </c>
      <c r="AB33" s="92">
        <v>0</v>
      </c>
      <c r="AC33" s="18">
        <v>9.23</v>
      </c>
      <c r="AD33" s="92">
        <v>1.0459525602153644E-5</v>
      </c>
      <c r="AE33" s="18">
        <v>39.840000000000003</v>
      </c>
      <c r="AF33" s="92">
        <v>3.9338053906384776E-5</v>
      </c>
      <c r="AG33" s="18">
        <v>167.76</v>
      </c>
      <c r="AH33" s="92">
        <v>1.8292928072427084E-4</v>
      </c>
      <c r="AI33" s="18">
        <v>0</v>
      </c>
      <c r="AJ33" s="92">
        <v>0</v>
      </c>
      <c r="AK33" s="18">
        <v>0</v>
      </c>
      <c r="AL33" s="92">
        <v>0</v>
      </c>
      <c r="AM33" s="18">
        <v>28</v>
      </c>
      <c r="AN33" s="92">
        <v>2.6664313350554099E-5</v>
      </c>
      <c r="AO33" s="18">
        <v>38</v>
      </c>
      <c r="AP33" s="92">
        <v>5.408748673753475E-5</v>
      </c>
      <c r="AQ33" s="18">
        <v>38</v>
      </c>
      <c r="AR33" s="92">
        <v>5.4843539679986501E-5</v>
      </c>
      <c r="AS33" s="18">
        <v>6.3</v>
      </c>
      <c r="AT33" s="92">
        <v>1.0258586730195649E-5</v>
      </c>
      <c r="AU33" s="18">
        <v>0</v>
      </c>
      <c r="AV33" s="92">
        <v>0</v>
      </c>
      <c r="AW33" s="18">
        <v>31.14</v>
      </c>
      <c r="AX33" s="92">
        <v>4.0880430569393509E-5</v>
      </c>
      <c r="AY33" s="18">
        <v>0</v>
      </c>
      <c r="AZ33" s="92">
        <v>0</v>
      </c>
      <c r="BA33" s="18">
        <v>0</v>
      </c>
      <c r="BB33" s="92">
        <v>0</v>
      </c>
      <c r="BC33" s="18">
        <v>0</v>
      </c>
      <c r="BD33" s="92">
        <v>0</v>
      </c>
      <c r="BE33" s="18">
        <v>0</v>
      </c>
      <c r="BF33" s="92">
        <v>0</v>
      </c>
      <c r="BG33" s="18">
        <v>4</v>
      </c>
      <c r="BH33" s="92">
        <v>3.3700617547808768E-6</v>
      </c>
      <c r="BI33" s="18">
        <v>0</v>
      </c>
      <c r="BJ33" s="92">
        <v>0</v>
      </c>
      <c r="BK33" s="18">
        <v>69</v>
      </c>
      <c r="BL33" s="92">
        <v>7.644823198284687E-5</v>
      </c>
      <c r="BM33" s="18">
        <v>8.6300000000000008</v>
      </c>
      <c r="BN33" s="92">
        <v>1.0623324749079656E-5</v>
      </c>
      <c r="BO33" s="18">
        <v>0</v>
      </c>
      <c r="BP33" s="92">
        <v>0</v>
      </c>
      <c r="BQ33" s="18">
        <v>0</v>
      </c>
      <c r="BR33" s="92">
        <v>0</v>
      </c>
      <c r="BS33" s="18">
        <v>150.28</v>
      </c>
      <c r="BT33" s="92">
        <v>2.6718599982341685E-4</v>
      </c>
      <c r="BU33" s="18">
        <v>0</v>
      </c>
      <c r="BV33" s="92">
        <v>0</v>
      </c>
      <c r="BW33" s="18">
        <v>156.81</v>
      </c>
      <c r="BX33" s="92">
        <v>1.938813393532123E-4</v>
      </c>
      <c r="BY33" s="18">
        <v>0</v>
      </c>
      <c r="BZ33" s="92">
        <v>0</v>
      </c>
      <c r="CA33" s="18">
        <v>6.63</v>
      </c>
      <c r="CB33" s="92">
        <v>9.6247991966384771E-6</v>
      </c>
      <c r="CC33" s="18">
        <v>237.48</v>
      </c>
      <c r="CD33" s="92">
        <v>3.6807420331301191E-4</v>
      </c>
      <c r="CE33" s="18">
        <v>3.91</v>
      </c>
      <c r="CF33" s="92">
        <v>7.4846340558544731E-6</v>
      </c>
      <c r="CG33" s="18">
        <v>0</v>
      </c>
      <c r="CH33" s="92">
        <v>0</v>
      </c>
      <c r="CI33" s="18">
        <v>180</v>
      </c>
      <c r="CJ33" s="92">
        <v>3.393064335214247E-4</v>
      </c>
      <c r="CK33" s="18">
        <v>0</v>
      </c>
      <c r="CL33" s="92">
        <v>0</v>
      </c>
      <c r="CM33" s="18">
        <v>52.91</v>
      </c>
      <c r="CN33" s="92">
        <v>1.0679522192808065E-4</v>
      </c>
      <c r="CO33" s="18">
        <v>0</v>
      </c>
      <c r="CP33" s="92">
        <v>0</v>
      </c>
      <c r="CQ33" s="18">
        <v>4</v>
      </c>
      <c r="CR33" s="92">
        <v>8.7942968457297639E-6</v>
      </c>
      <c r="CS33" s="18">
        <v>4</v>
      </c>
      <c r="CT33" s="92">
        <v>7.6914605962531779E-6</v>
      </c>
      <c r="CU33" s="18">
        <v>4.9000000000000004</v>
      </c>
      <c r="CV33" s="92">
        <v>1.0991586456499159E-5</v>
      </c>
      <c r="CW33" s="18">
        <v>53</v>
      </c>
      <c r="CX33" s="92">
        <v>1.1049531861564878E-4</v>
      </c>
      <c r="CY33" s="18">
        <v>10</v>
      </c>
      <c r="CZ33" s="92">
        <v>1.3260828076122246E-5</v>
      </c>
      <c r="DA33" s="18">
        <v>5.73</v>
      </c>
      <c r="DB33" s="92">
        <v>7.0861561452685752E-6</v>
      </c>
      <c r="DC33" s="18">
        <v>9.91</v>
      </c>
      <c r="DD33" s="92">
        <v>1.503585064171903E-5</v>
      </c>
      <c r="DE33" s="18">
        <v>0</v>
      </c>
      <c r="DF33" s="92">
        <v>0</v>
      </c>
      <c r="DG33" s="18">
        <v>0</v>
      </c>
      <c r="DH33" s="92">
        <v>0</v>
      </c>
      <c r="DI33" s="18">
        <v>6.88</v>
      </c>
      <c r="DJ33" s="92">
        <v>1.5030798061533902E-5</v>
      </c>
      <c r="DK33" s="18">
        <v>8.64</v>
      </c>
      <c r="DL33" s="92">
        <v>1.7773415976700535E-5</v>
      </c>
      <c r="DM33" s="18">
        <v>0</v>
      </c>
      <c r="DN33" s="92">
        <v>0</v>
      </c>
      <c r="DO33" s="18">
        <v>0</v>
      </c>
      <c r="DP33" s="92">
        <v>0</v>
      </c>
      <c r="DQ33" s="18">
        <v>7.86</v>
      </c>
      <c r="DR33" s="92">
        <v>1.1710946136427012E-5</v>
      </c>
      <c r="DS33" s="18">
        <v>3.82</v>
      </c>
      <c r="DT33" s="92">
        <v>1.0187463190455318E-5</v>
      </c>
      <c r="DU33" s="18">
        <v>23.8</v>
      </c>
      <c r="DV33" s="92">
        <v>4.9078522894007072E-5</v>
      </c>
      <c r="DW33" s="18">
        <v>497</v>
      </c>
      <c r="DX33" s="92">
        <v>5.9811727604347031E-4</v>
      </c>
      <c r="DY33" s="18">
        <v>0</v>
      </c>
      <c r="DZ33" s="92">
        <v>0</v>
      </c>
      <c r="EA33" s="18">
        <v>100.76</v>
      </c>
      <c r="EB33" s="92">
        <v>2.10500810802076E-4</v>
      </c>
      <c r="EC33" s="18">
        <v>2.16</v>
      </c>
      <c r="ED33" s="92">
        <v>5.0232773089075552E-6</v>
      </c>
      <c r="EE33" s="18">
        <v>0</v>
      </c>
      <c r="EF33" s="92">
        <v>0</v>
      </c>
      <c r="EG33" s="18">
        <v>0</v>
      </c>
      <c r="EH33" s="92">
        <v>0</v>
      </c>
      <c r="EI33" s="18">
        <v>0</v>
      </c>
      <c r="EJ33" s="92">
        <v>0</v>
      </c>
      <c r="EK33" s="18">
        <v>0</v>
      </c>
      <c r="EL33" s="92">
        <v>0</v>
      </c>
      <c r="EM33" s="18">
        <v>0</v>
      </c>
      <c r="EN33" s="92">
        <v>0</v>
      </c>
      <c r="EO33" s="18">
        <v>10.220000000000001</v>
      </c>
      <c r="EP33" s="92">
        <v>1.2010720755243524E-5</v>
      </c>
      <c r="EQ33" s="18">
        <v>74</v>
      </c>
      <c r="ER33" s="92">
        <v>1.718628669025446E-4</v>
      </c>
      <c r="ES33" s="18">
        <f t="shared" si="3"/>
        <v>0</v>
      </c>
      <c r="ET33" s="92">
        <f>ES33/ES35</f>
        <v>0</v>
      </c>
      <c r="EU33" s="221">
        <f>IF( SUM($EQ33:ES33)&lt;0, "n/a", SUM($EQ33:ES33)/EU$74)</f>
        <v>37.000085931433453</v>
      </c>
      <c r="EV33" s="224">
        <f>EU33/EU35</f>
        <v>6.7061477690127228E-5</v>
      </c>
      <c r="EW33" s="22"/>
      <c r="EX33" s="96" t="s">
        <v>23</v>
      </c>
      <c r="EY33" s="35">
        <f>IF(ISERROR(VLOOKUP(EX33,IQSH01E!$A$1:$M$400,2,0)),0,VLOOKUP(EX33,IQSH01E!$A$1:$M$400,2,0))</f>
        <v>0</v>
      </c>
      <c r="EZ33" s="42"/>
      <c r="FA33" s="43"/>
      <c r="FB33" s="43"/>
      <c r="FC33" s="182" t="s">
        <v>118</v>
      </c>
    </row>
    <row r="34" spans="1:159" ht="21" customHeight="1" x14ac:dyDescent="0.3">
      <c r="A34" s="3"/>
      <c r="B34" s="14" t="s">
        <v>102</v>
      </c>
      <c r="C34" s="18">
        <v>0</v>
      </c>
      <c r="D34" s="92">
        <v>0</v>
      </c>
      <c r="E34" s="18">
        <v>0</v>
      </c>
      <c r="F34" s="92">
        <v>0</v>
      </c>
      <c r="G34" s="18">
        <v>0</v>
      </c>
      <c r="H34" s="92">
        <v>0</v>
      </c>
      <c r="I34" s="18">
        <v>0</v>
      </c>
      <c r="J34" s="92">
        <v>0</v>
      </c>
      <c r="K34" s="18">
        <v>0</v>
      </c>
      <c r="L34" s="92">
        <v>0</v>
      </c>
      <c r="M34" s="18">
        <v>0</v>
      </c>
      <c r="N34" s="92">
        <v>0</v>
      </c>
      <c r="O34" s="18">
        <v>0</v>
      </c>
      <c r="P34" s="92">
        <v>0</v>
      </c>
      <c r="Q34" s="18">
        <v>0</v>
      </c>
      <c r="R34" s="92">
        <v>0</v>
      </c>
      <c r="S34" s="18">
        <v>0</v>
      </c>
      <c r="T34" s="92">
        <v>0</v>
      </c>
      <c r="U34" s="18">
        <v>0</v>
      </c>
      <c r="V34" s="92">
        <v>0</v>
      </c>
      <c r="W34" s="18">
        <v>0</v>
      </c>
      <c r="X34" s="92">
        <v>0</v>
      </c>
      <c r="Y34" s="18">
        <v>0</v>
      </c>
      <c r="Z34" s="92">
        <v>0</v>
      </c>
      <c r="AA34" s="18">
        <v>0</v>
      </c>
      <c r="AB34" s="92">
        <v>0</v>
      </c>
      <c r="AC34" s="18">
        <v>0</v>
      </c>
      <c r="AD34" s="92">
        <v>0</v>
      </c>
      <c r="AE34" s="18">
        <v>0</v>
      </c>
      <c r="AF34" s="92">
        <v>0</v>
      </c>
      <c r="AG34" s="18">
        <v>0</v>
      </c>
      <c r="AH34" s="92">
        <v>0</v>
      </c>
      <c r="AI34" s="18">
        <v>0</v>
      </c>
      <c r="AJ34" s="92">
        <v>0</v>
      </c>
      <c r="AK34" s="18">
        <v>0</v>
      </c>
      <c r="AL34" s="92">
        <v>0</v>
      </c>
      <c r="AM34" s="18">
        <v>0</v>
      </c>
      <c r="AN34" s="92">
        <v>0</v>
      </c>
      <c r="AO34" s="18">
        <v>0</v>
      </c>
      <c r="AP34" s="92">
        <v>0</v>
      </c>
      <c r="AQ34" s="18">
        <v>0</v>
      </c>
      <c r="AR34" s="92">
        <v>0</v>
      </c>
      <c r="AS34" s="18">
        <v>0</v>
      </c>
      <c r="AT34" s="92">
        <v>0</v>
      </c>
      <c r="AU34" s="18">
        <v>0</v>
      </c>
      <c r="AV34" s="92">
        <v>0</v>
      </c>
      <c r="AW34" s="18">
        <v>0</v>
      </c>
      <c r="AX34" s="92">
        <v>0</v>
      </c>
      <c r="AY34" s="18">
        <v>0</v>
      </c>
      <c r="AZ34" s="92">
        <v>0</v>
      </c>
      <c r="BA34" s="18">
        <v>0</v>
      </c>
      <c r="BB34" s="92">
        <v>0</v>
      </c>
      <c r="BC34" s="18">
        <v>0</v>
      </c>
      <c r="BD34" s="92">
        <v>0</v>
      </c>
      <c r="BE34" s="18">
        <v>0</v>
      </c>
      <c r="BF34" s="92">
        <v>0</v>
      </c>
      <c r="BG34" s="18">
        <v>0</v>
      </c>
      <c r="BH34" s="92">
        <v>0</v>
      </c>
      <c r="BI34" s="18">
        <v>0</v>
      </c>
      <c r="BJ34" s="92">
        <v>0</v>
      </c>
      <c r="BK34" s="18">
        <v>0</v>
      </c>
      <c r="BL34" s="92">
        <v>0</v>
      </c>
      <c r="BM34" s="18">
        <v>0</v>
      </c>
      <c r="BN34" s="92">
        <v>0</v>
      </c>
      <c r="BO34" s="18">
        <v>0</v>
      </c>
      <c r="BP34" s="92">
        <v>0</v>
      </c>
      <c r="BQ34" s="18">
        <v>0</v>
      </c>
      <c r="BR34" s="92">
        <v>0</v>
      </c>
      <c r="BS34" s="18">
        <v>0</v>
      </c>
      <c r="BT34" s="92">
        <v>0</v>
      </c>
      <c r="BU34" s="18">
        <v>0</v>
      </c>
      <c r="BV34" s="92">
        <v>0</v>
      </c>
      <c r="BW34" s="18">
        <v>0</v>
      </c>
      <c r="BX34" s="92">
        <v>0</v>
      </c>
      <c r="BY34" s="18">
        <v>0</v>
      </c>
      <c r="BZ34" s="92">
        <v>0</v>
      </c>
      <c r="CA34" s="18">
        <v>0</v>
      </c>
      <c r="CB34" s="92">
        <v>0</v>
      </c>
      <c r="CC34" s="18">
        <v>0</v>
      </c>
      <c r="CD34" s="92">
        <v>0</v>
      </c>
      <c r="CE34" s="18">
        <v>0</v>
      </c>
      <c r="CF34" s="92">
        <v>0</v>
      </c>
      <c r="CG34" s="18">
        <v>0</v>
      </c>
      <c r="CH34" s="92">
        <v>0</v>
      </c>
      <c r="CI34" s="18">
        <v>0</v>
      </c>
      <c r="CJ34" s="92">
        <v>0</v>
      </c>
      <c r="CK34" s="18">
        <v>0</v>
      </c>
      <c r="CL34" s="92">
        <v>0</v>
      </c>
      <c r="CM34" s="18">
        <v>0</v>
      </c>
      <c r="CN34" s="92">
        <v>0</v>
      </c>
      <c r="CO34" s="18">
        <v>0</v>
      </c>
      <c r="CP34" s="92">
        <v>0</v>
      </c>
      <c r="CQ34" s="18">
        <v>0</v>
      </c>
      <c r="CR34" s="92">
        <v>0</v>
      </c>
      <c r="CS34" s="18">
        <v>0</v>
      </c>
      <c r="CT34" s="92">
        <v>0</v>
      </c>
      <c r="CU34" s="18">
        <v>0</v>
      </c>
      <c r="CV34" s="92">
        <v>0</v>
      </c>
      <c r="CW34" s="18">
        <v>0</v>
      </c>
      <c r="CX34" s="92">
        <v>0</v>
      </c>
      <c r="CY34" s="18">
        <v>0</v>
      </c>
      <c r="CZ34" s="92">
        <v>0</v>
      </c>
      <c r="DA34" s="18">
        <v>0</v>
      </c>
      <c r="DB34" s="92">
        <v>0</v>
      </c>
      <c r="DC34" s="18">
        <v>0</v>
      </c>
      <c r="DD34" s="92">
        <v>0</v>
      </c>
      <c r="DE34" s="18">
        <v>0</v>
      </c>
      <c r="DF34" s="92">
        <v>0</v>
      </c>
      <c r="DG34" s="18">
        <v>0</v>
      </c>
      <c r="DH34" s="92">
        <v>0</v>
      </c>
      <c r="DI34" s="18">
        <v>0</v>
      </c>
      <c r="DJ34" s="92">
        <v>0</v>
      </c>
      <c r="DK34" s="18">
        <v>0</v>
      </c>
      <c r="DL34" s="92">
        <v>0</v>
      </c>
      <c r="DM34" s="18">
        <v>0</v>
      </c>
      <c r="DN34" s="92">
        <v>0</v>
      </c>
      <c r="DO34" s="18">
        <v>0</v>
      </c>
      <c r="DP34" s="92">
        <v>0</v>
      </c>
      <c r="DQ34" s="18">
        <v>0</v>
      </c>
      <c r="DR34" s="92">
        <v>0</v>
      </c>
      <c r="DS34" s="18">
        <v>0</v>
      </c>
      <c r="DT34" s="92">
        <v>0</v>
      </c>
      <c r="DU34" s="18">
        <v>0</v>
      </c>
      <c r="DV34" s="92">
        <v>0</v>
      </c>
      <c r="DW34" s="18">
        <v>0</v>
      </c>
      <c r="DX34" s="92">
        <v>0</v>
      </c>
      <c r="DY34" s="18">
        <v>0</v>
      </c>
      <c r="DZ34" s="92">
        <v>0</v>
      </c>
      <c r="EA34" s="18">
        <v>0</v>
      </c>
      <c r="EB34" s="92">
        <v>0</v>
      </c>
      <c r="EC34" s="18">
        <v>0</v>
      </c>
      <c r="ED34" s="92">
        <v>0</v>
      </c>
      <c r="EE34" s="18">
        <v>0</v>
      </c>
      <c r="EF34" s="92">
        <v>0</v>
      </c>
      <c r="EG34" s="18">
        <v>0</v>
      </c>
      <c r="EH34" s="92">
        <v>0</v>
      </c>
      <c r="EI34" s="18">
        <v>0</v>
      </c>
      <c r="EJ34" s="92">
        <v>0</v>
      </c>
      <c r="EK34" s="18">
        <v>0</v>
      </c>
      <c r="EL34" s="92">
        <v>0</v>
      </c>
      <c r="EM34" s="18">
        <v>0</v>
      </c>
      <c r="EN34" s="92">
        <v>0</v>
      </c>
      <c r="EO34" s="18">
        <v>0</v>
      </c>
      <c r="EP34" s="92">
        <v>0</v>
      </c>
      <c r="EQ34" s="18">
        <v>0</v>
      </c>
      <c r="ER34" s="92">
        <v>0</v>
      </c>
      <c r="ES34" s="18">
        <f t="shared" si="3"/>
        <v>0</v>
      </c>
      <c r="ET34" s="92">
        <f>ES34/ES35</f>
        <v>0</v>
      </c>
      <c r="EU34" s="221">
        <f>IF( SUM($EQ34:ES34)&lt;0, "n/a", SUM($EQ34:ES34)/EU$74)</f>
        <v>0</v>
      </c>
      <c r="EV34" s="224">
        <f>EU34/EU35</f>
        <v>0</v>
      </c>
      <c r="EW34" s="22"/>
      <c r="EX34" s="96" t="s">
        <v>126</v>
      </c>
      <c r="EY34" s="35">
        <f>IF(ISERROR(VLOOKUP(EX34,IQSH01E!$A$1:$M$400,2,0)),0,VLOOKUP(EX34,IQSH01E!$A$1:$M$400,2,0))</f>
        <v>0</v>
      </c>
      <c r="EZ34" s="42"/>
      <c r="FA34" s="43"/>
      <c r="FB34" s="43"/>
      <c r="FC34" s="182" t="s">
        <v>123</v>
      </c>
    </row>
    <row r="35" spans="1:159" ht="21" customHeight="1" thickBot="1" x14ac:dyDescent="0.35">
      <c r="A35" s="3"/>
      <c r="B35" s="15" t="s">
        <v>83</v>
      </c>
      <c r="C35" s="19">
        <v>764775.45</v>
      </c>
      <c r="D35" s="95">
        <v>1</v>
      </c>
      <c r="E35" s="19">
        <v>754729.32</v>
      </c>
      <c r="F35" s="95">
        <v>1</v>
      </c>
      <c r="G35" s="19">
        <v>913243.39</v>
      </c>
      <c r="H35" s="95">
        <v>1</v>
      </c>
      <c r="I35" s="19">
        <v>876114.08</v>
      </c>
      <c r="J35" s="95">
        <v>1</v>
      </c>
      <c r="K35" s="19">
        <v>739502.82999999984</v>
      </c>
      <c r="L35" s="95">
        <v>1</v>
      </c>
      <c r="M35" s="19">
        <v>989577.63</v>
      </c>
      <c r="N35" s="95">
        <v>1</v>
      </c>
      <c r="O35" s="19">
        <v>868844.2</v>
      </c>
      <c r="P35" s="95">
        <v>1</v>
      </c>
      <c r="Q35" s="19">
        <v>785630.29</v>
      </c>
      <c r="R35" s="95">
        <v>1</v>
      </c>
      <c r="S35" s="19">
        <v>1056077.92</v>
      </c>
      <c r="T35" s="95">
        <v>1</v>
      </c>
      <c r="U35" s="19">
        <v>629969.02</v>
      </c>
      <c r="V35" s="95">
        <v>1</v>
      </c>
      <c r="W35" s="19">
        <v>675409.65</v>
      </c>
      <c r="X35" s="95">
        <v>1</v>
      </c>
      <c r="Y35" s="19">
        <v>767171.38</v>
      </c>
      <c r="Z35" s="95">
        <v>1</v>
      </c>
      <c r="AA35" s="19">
        <v>910165.78</v>
      </c>
      <c r="AB35" s="95">
        <v>1</v>
      </c>
      <c r="AC35" s="19">
        <v>882449.2</v>
      </c>
      <c r="AD35" s="95">
        <v>1</v>
      </c>
      <c r="AE35" s="19">
        <v>1012759.81</v>
      </c>
      <c r="AF35" s="95">
        <v>1</v>
      </c>
      <c r="AG35" s="19">
        <v>917075.71</v>
      </c>
      <c r="AH35" s="95">
        <v>1</v>
      </c>
      <c r="AI35" s="19">
        <v>815506.82000000007</v>
      </c>
      <c r="AJ35" s="95">
        <v>1</v>
      </c>
      <c r="AK35" s="19">
        <v>845880.85</v>
      </c>
      <c r="AL35" s="95">
        <v>1</v>
      </c>
      <c r="AM35" s="19">
        <v>1050092.67</v>
      </c>
      <c r="AN35" s="95">
        <v>1</v>
      </c>
      <c r="AO35" s="19">
        <v>702565.46</v>
      </c>
      <c r="AP35" s="95">
        <v>1</v>
      </c>
      <c r="AQ35" s="19">
        <v>692880.15</v>
      </c>
      <c r="AR35" s="95">
        <v>1</v>
      </c>
      <c r="AS35" s="19">
        <v>614119.68000000017</v>
      </c>
      <c r="AT35" s="95">
        <v>1</v>
      </c>
      <c r="AU35" s="19">
        <v>666345</v>
      </c>
      <c r="AV35" s="95">
        <v>1</v>
      </c>
      <c r="AW35" s="19">
        <v>761733.66</v>
      </c>
      <c r="AX35" s="95">
        <v>1</v>
      </c>
      <c r="AY35" s="19">
        <v>823037.95</v>
      </c>
      <c r="AZ35" s="95">
        <v>1</v>
      </c>
      <c r="BA35" s="19">
        <v>980791.35000000009</v>
      </c>
      <c r="BB35" s="95">
        <v>1</v>
      </c>
      <c r="BC35" s="19">
        <v>1202127.3500000001</v>
      </c>
      <c r="BD35" s="95">
        <v>1</v>
      </c>
      <c r="BE35" s="19">
        <v>1097320.6499999999</v>
      </c>
      <c r="BF35" s="95">
        <v>1</v>
      </c>
      <c r="BG35" s="19">
        <v>1186921.8700000001</v>
      </c>
      <c r="BH35" s="95">
        <v>1</v>
      </c>
      <c r="BI35" s="19">
        <v>1107691.83</v>
      </c>
      <c r="BJ35" s="95">
        <v>1</v>
      </c>
      <c r="BK35" s="19">
        <v>902571.56</v>
      </c>
      <c r="BL35" s="95">
        <v>1</v>
      </c>
      <c r="BM35" s="19">
        <v>812363.38</v>
      </c>
      <c r="BN35" s="95">
        <v>1</v>
      </c>
      <c r="BO35" s="19">
        <v>848416.3899999999</v>
      </c>
      <c r="BP35" s="95">
        <v>1</v>
      </c>
      <c r="BQ35" s="19">
        <v>1008374.1399999999</v>
      </c>
      <c r="BR35" s="95">
        <v>1</v>
      </c>
      <c r="BS35" s="19">
        <v>562454.62</v>
      </c>
      <c r="BT35" s="95">
        <v>1</v>
      </c>
      <c r="BU35" s="19">
        <v>849673.22</v>
      </c>
      <c r="BV35" s="95">
        <v>1</v>
      </c>
      <c r="BW35" s="19">
        <v>808793.67</v>
      </c>
      <c r="BX35" s="95">
        <v>1</v>
      </c>
      <c r="BY35" s="19">
        <v>618013.02</v>
      </c>
      <c r="BZ35" s="95">
        <v>1</v>
      </c>
      <c r="CA35" s="19">
        <v>688845.54000000015</v>
      </c>
      <c r="CB35" s="95">
        <v>1</v>
      </c>
      <c r="CC35" s="19">
        <v>645195.99</v>
      </c>
      <c r="CD35" s="95">
        <v>1</v>
      </c>
      <c r="CE35" s="19">
        <v>522403.63000000006</v>
      </c>
      <c r="CF35" s="95">
        <v>1</v>
      </c>
      <c r="CG35" s="19">
        <v>781311.67999999993</v>
      </c>
      <c r="CH35" s="95">
        <v>1</v>
      </c>
      <c r="CI35" s="19">
        <v>530493.92000000004</v>
      </c>
      <c r="CJ35" s="95">
        <v>1</v>
      </c>
      <c r="CK35" s="19">
        <v>723092.71</v>
      </c>
      <c r="CL35" s="95">
        <v>1</v>
      </c>
      <c r="CM35" s="19">
        <v>495434.15</v>
      </c>
      <c r="CN35" s="95">
        <v>1</v>
      </c>
      <c r="CO35" s="19">
        <v>649160.71</v>
      </c>
      <c r="CP35" s="95">
        <v>1</v>
      </c>
      <c r="CQ35" s="19">
        <v>454840.23</v>
      </c>
      <c r="CR35" s="95">
        <v>1</v>
      </c>
      <c r="CS35" s="19">
        <v>520057.27</v>
      </c>
      <c r="CT35" s="95">
        <v>1</v>
      </c>
      <c r="CU35" s="19">
        <v>445795.52</v>
      </c>
      <c r="CV35" s="95">
        <v>1</v>
      </c>
      <c r="CW35" s="19">
        <v>479658.32999999996</v>
      </c>
      <c r="CX35" s="95">
        <v>1</v>
      </c>
      <c r="CY35" s="19">
        <v>754100.72</v>
      </c>
      <c r="CZ35" s="95">
        <v>1</v>
      </c>
      <c r="DA35" s="19">
        <v>808618.93</v>
      </c>
      <c r="DB35" s="95">
        <v>1</v>
      </c>
      <c r="DC35" s="19">
        <v>659091.41</v>
      </c>
      <c r="DD35" s="95">
        <v>1</v>
      </c>
      <c r="DE35" s="19">
        <v>536055.38</v>
      </c>
      <c r="DF35" s="95">
        <v>1</v>
      </c>
      <c r="DG35" s="19">
        <v>690281.87</v>
      </c>
      <c r="DH35" s="95">
        <v>1</v>
      </c>
      <c r="DI35" s="19">
        <v>457726.86</v>
      </c>
      <c r="DJ35" s="95">
        <v>1</v>
      </c>
      <c r="DK35" s="19">
        <v>486119.27</v>
      </c>
      <c r="DL35" s="95">
        <v>1</v>
      </c>
      <c r="DM35" s="19">
        <v>621421.32000000007</v>
      </c>
      <c r="DN35" s="95">
        <v>1</v>
      </c>
      <c r="DO35" s="19">
        <v>519822.94999999995</v>
      </c>
      <c r="DP35" s="95">
        <v>1</v>
      </c>
      <c r="DQ35" s="19">
        <v>671166.95</v>
      </c>
      <c r="DR35" s="95">
        <v>1</v>
      </c>
      <c r="DS35" s="19">
        <v>374970.68</v>
      </c>
      <c r="DT35" s="95">
        <v>1</v>
      </c>
      <c r="DU35" s="19">
        <v>484937.17000000004</v>
      </c>
      <c r="DV35" s="95">
        <v>1</v>
      </c>
      <c r="DW35" s="19">
        <v>830940.72</v>
      </c>
      <c r="DX35" s="95">
        <v>1</v>
      </c>
      <c r="DY35" s="19">
        <v>696908.77</v>
      </c>
      <c r="DZ35" s="95">
        <v>1</v>
      </c>
      <c r="EA35" s="19">
        <v>478667.99</v>
      </c>
      <c r="EB35" s="95">
        <v>1</v>
      </c>
      <c r="EC35" s="19">
        <v>429998.16</v>
      </c>
      <c r="ED35" s="95">
        <v>1</v>
      </c>
      <c r="EE35" s="19">
        <v>581252.71</v>
      </c>
      <c r="EF35" s="95">
        <v>1</v>
      </c>
      <c r="EG35" s="19">
        <v>529176.22</v>
      </c>
      <c r="EH35" s="95">
        <v>1</v>
      </c>
      <c r="EI35" s="19">
        <v>568344.77</v>
      </c>
      <c r="EJ35" s="95">
        <v>1</v>
      </c>
      <c r="EK35" s="19">
        <v>921689.07</v>
      </c>
      <c r="EL35" s="95">
        <v>1</v>
      </c>
      <c r="EM35" s="19">
        <v>673858.51</v>
      </c>
      <c r="EN35" s="95">
        <v>1</v>
      </c>
      <c r="EO35" s="19">
        <v>850906.47</v>
      </c>
      <c r="EP35" s="95">
        <v>1</v>
      </c>
      <c r="EQ35" s="19">
        <v>430575.85</v>
      </c>
      <c r="ER35" s="95">
        <v>1</v>
      </c>
      <c r="ES35" s="19">
        <f>SUM(ES28:ES34)</f>
        <v>672890.81</v>
      </c>
      <c r="ET35" s="95">
        <f>ES35/ES35</f>
        <v>1</v>
      </c>
      <c r="EU35" s="225">
        <f>IF( SUM($EQ35:ES35)&lt;0, "n/a", SUM($EQ35:ES35)/EU$74)</f>
        <v>551733.83000000007</v>
      </c>
      <c r="EV35" s="226">
        <f>EU35/EU35</f>
        <v>1</v>
      </c>
      <c r="EW35" s="22"/>
      <c r="EX35" s="100" t="s">
        <v>148</v>
      </c>
      <c r="EY35" s="103">
        <f>IF(ISERROR(VLOOKUP(EX35,IQSH01E!$A$1:$M$400,2,0)),0,VLOOKUP(EX35,IQSH01E!$A$1:$M$400,2,0))</f>
        <v>0</v>
      </c>
      <c r="EZ35" s="104"/>
      <c r="FA35" s="102"/>
      <c r="FB35" s="102"/>
      <c r="FC35" s="186"/>
    </row>
    <row r="36" spans="1:159" ht="21" customHeight="1" x14ac:dyDescent="0.3">
      <c r="A36" s="3"/>
      <c r="B36" s="14" t="s">
        <v>88</v>
      </c>
      <c r="C36" s="18">
        <v>167113.16</v>
      </c>
      <c r="D36" s="24"/>
      <c r="E36" s="18">
        <v>102710</v>
      </c>
      <c r="F36" s="24"/>
      <c r="G36" s="18">
        <v>32595</v>
      </c>
      <c r="H36" s="24"/>
      <c r="I36" s="18">
        <v>126452</v>
      </c>
      <c r="J36" s="24"/>
      <c r="K36" s="18">
        <v>145490</v>
      </c>
      <c r="L36" s="24"/>
      <c r="M36" s="18">
        <v>52484</v>
      </c>
      <c r="N36" s="24"/>
      <c r="O36" s="18">
        <v>102244</v>
      </c>
      <c r="P36" s="24"/>
      <c r="Q36" s="18">
        <v>102726</v>
      </c>
      <c r="R36" s="24"/>
      <c r="S36" s="18">
        <v>57617</v>
      </c>
      <c r="T36" s="24"/>
      <c r="U36" s="18">
        <v>145710.34</v>
      </c>
      <c r="V36" s="24"/>
      <c r="W36" s="18">
        <v>80474</v>
      </c>
      <c r="X36" s="24"/>
      <c r="Y36" s="18">
        <v>132074</v>
      </c>
      <c r="Z36" s="24"/>
      <c r="AA36" s="18">
        <v>102807</v>
      </c>
      <c r="AB36" s="24"/>
      <c r="AC36" s="18">
        <v>181196</v>
      </c>
      <c r="AD36" s="24"/>
      <c r="AE36" s="18">
        <v>48860</v>
      </c>
      <c r="AF36" s="24"/>
      <c r="AG36" s="18">
        <v>134580</v>
      </c>
      <c r="AH36" s="24"/>
      <c r="AI36" s="18">
        <v>209377</v>
      </c>
      <c r="AJ36" s="24"/>
      <c r="AK36" s="18">
        <v>167686.39000000001</v>
      </c>
      <c r="AL36" s="24"/>
      <c r="AM36" s="18">
        <v>81141</v>
      </c>
      <c r="AN36" s="24"/>
      <c r="AO36" s="18">
        <v>20094</v>
      </c>
      <c r="AP36" s="24"/>
      <c r="AQ36" s="18">
        <v>78096</v>
      </c>
      <c r="AR36" s="24"/>
      <c r="AS36" s="18">
        <v>66296</v>
      </c>
      <c r="AT36" s="24"/>
      <c r="AU36" s="18">
        <v>112874</v>
      </c>
      <c r="AV36" s="24"/>
      <c r="AW36" s="18">
        <v>26481</v>
      </c>
      <c r="AX36" s="24"/>
      <c r="AY36" s="18">
        <v>145129</v>
      </c>
      <c r="AZ36" s="24"/>
      <c r="BA36" s="18">
        <v>34049.440000000002</v>
      </c>
      <c r="BB36" s="24"/>
      <c r="BC36" s="18">
        <v>154162</v>
      </c>
      <c r="BD36" s="24"/>
      <c r="BE36" s="18">
        <v>106645</v>
      </c>
      <c r="BF36" s="24"/>
      <c r="BG36" s="18">
        <v>76453</v>
      </c>
      <c r="BH36" s="24"/>
      <c r="BI36" s="18">
        <v>186520</v>
      </c>
      <c r="BJ36" s="24"/>
      <c r="BK36" s="18">
        <v>211758</v>
      </c>
      <c r="BL36" s="24"/>
      <c r="BM36" s="18">
        <v>82676</v>
      </c>
      <c r="BN36" s="24"/>
      <c r="BO36" s="18">
        <v>207871</v>
      </c>
      <c r="BP36" s="24"/>
      <c r="BQ36" s="18">
        <v>106434</v>
      </c>
      <c r="BR36" s="24"/>
      <c r="BS36" s="18">
        <v>81819</v>
      </c>
      <c r="BT36" s="24"/>
      <c r="BU36" s="18">
        <v>10595</v>
      </c>
      <c r="BV36" s="24"/>
      <c r="BW36" s="18">
        <v>35461</v>
      </c>
      <c r="BX36" s="24"/>
      <c r="BY36" s="18">
        <v>149969.07</v>
      </c>
      <c r="BZ36" s="24"/>
      <c r="CA36" s="18">
        <v>99878</v>
      </c>
      <c r="CB36" s="24"/>
      <c r="CC36" s="18">
        <v>156199</v>
      </c>
      <c r="CD36" s="24"/>
      <c r="CE36" s="18">
        <v>78044.649999999994</v>
      </c>
      <c r="CF36" s="24"/>
      <c r="CG36" s="18">
        <v>72186</v>
      </c>
      <c r="CH36" s="24"/>
      <c r="CI36" s="18">
        <v>87387</v>
      </c>
      <c r="CJ36" s="24"/>
      <c r="CK36" s="18">
        <v>84638</v>
      </c>
      <c r="CL36" s="24"/>
      <c r="CM36" s="18">
        <v>82753</v>
      </c>
      <c r="CN36" s="24"/>
      <c r="CO36" s="18">
        <v>84660</v>
      </c>
      <c r="CP36" s="24"/>
      <c r="CQ36" s="18">
        <v>53700</v>
      </c>
      <c r="CR36" s="24"/>
      <c r="CS36" s="18">
        <v>39701</v>
      </c>
      <c r="CT36" s="24"/>
      <c r="CU36" s="18">
        <v>60219</v>
      </c>
      <c r="CV36" s="24"/>
      <c r="CW36" s="18">
        <v>51569</v>
      </c>
      <c r="CX36" s="24"/>
      <c r="CY36" s="18">
        <v>86452</v>
      </c>
      <c r="CZ36" s="24"/>
      <c r="DA36" s="18">
        <v>112276</v>
      </c>
      <c r="DB36" s="24"/>
      <c r="DC36" s="18">
        <v>12068</v>
      </c>
      <c r="DD36" s="24"/>
      <c r="DE36" s="18">
        <v>188965</v>
      </c>
      <c r="DF36" s="24"/>
      <c r="DG36" s="18">
        <v>78702</v>
      </c>
      <c r="DH36" s="24"/>
      <c r="DI36" s="18">
        <v>79167</v>
      </c>
      <c r="DJ36" s="24"/>
      <c r="DK36" s="18">
        <v>54038</v>
      </c>
      <c r="DL36" s="24"/>
      <c r="DM36" s="18">
        <v>80142</v>
      </c>
      <c r="DN36" s="24"/>
      <c r="DO36" s="18">
        <v>19179</v>
      </c>
      <c r="DP36" s="24"/>
      <c r="DQ36" s="18">
        <v>68519</v>
      </c>
      <c r="DR36" s="24"/>
      <c r="DS36" s="18">
        <v>101464</v>
      </c>
      <c r="DT36" s="24"/>
      <c r="DU36" s="18">
        <v>39555</v>
      </c>
      <c r="DV36" s="24"/>
      <c r="DW36" s="18">
        <v>54245</v>
      </c>
      <c r="DX36" s="24"/>
      <c r="DY36" s="18">
        <v>45417</v>
      </c>
      <c r="DZ36" s="24"/>
      <c r="EA36" s="18">
        <v>23559</v>
      </c>
      <c r="EB36" s="24"/>
      <c r="EC36" s="18">
        <v>5620</v>
      </c>
      <c r="ED36" s="24"/>
      <c r="EE36" s="18">
        <v>119547</v>
      </c>
      <c r="EF36" s="24"/>
      <c r="EG36" s="18">
        <v>9016</v>
      </c>
      <c r="EH36" s="24"/>
      <c r="EI36" s="18">
        <v>64429</v>
      </c>
      <c r="EJ36" s="24"/>
      <c r="EK36" s="18">
        <v>45099</v>
      </c>
      <c r="EL36" s="24"/>
      <c r="EM36" s="18">
        <v>63388</v>
      </c>
      <c r="EN36" s="24"/>
      <c r="EO36" s="18">
        <v>5530</v>
      </c>
      <c r="EP36" s="24"/>
      <c r="EQ36" s="18">
        <v>134996</v>
      </c>
      <c r="ER36" s="24"/>
      <c r="ES36" s="18">
        <f>+$EY36</f>
        <v>0</v>
      </c>
      <c r="ET36" s="24"/>
      <c r="EU36" s="221">
        <f>IF( SUM($EQ36:ES36)&lt;0, "n/a", SUM($EQ36:ES36)/EU$74)</f>
        <v>67498</v>
      </c>
      <c r="EV36" s="227"/>
      <c r="EW36" s="22"/>
      <c r="EX36" s="96" t="s">
        <v>60</v>
      </c>
      <c r="EY36" s="35">
        <f>IF(ISERROR(VLOOKUP(EX36,IQSH01E!$A$1:$M$400,2,0)),0,VLOOKUP(EX36,IQSH01E!$A$1:$M$400,2,0))</f>
        <v>0</v>
      </c>
      <c r="EZ36" s="42"/>
      <c r="FA36" s="43"/>
      <c r="FB36" s="43"/>
      <c r="FC36" s="182" t="s">
        <v>118</v>
      </c>
    </row>
    <row r="37" spans="1:159" ht="21" customHeight="1" x14ac:dyDescent="0.3">
      <c r="A37" s="3"/>
      <c r="B37" s="14" t="s">
        <v>71</v>
      </c>
      <c r="C37" s="18">
        <v>0</v>
      </c>
      <c r="D37" s="24"/>
      <c r="E37" s="18">
        <v>0</v>
      </c>
      <c r="F37" s="24"/>
      <c r="G37" s="18">
        <v>0</v>
      </c>
      <c r="H37" s="24"/>
      <c r="I37" s="18">
        <v>0</v>
      </c>
      <c r="J37" s="24"/>
      <c r="K37" s="18">
        <v>0</v>
      </c>
      <c r="L37" s="24"/>
      <c r="M37" s="18">
        <v>0</v>
      </c>
      <c r="N37" s="24"/>
      <c r="O37" s="18">
        <v>0</v>
      </c>
      <c r="P37" s="24"/>
      <c r="Q37" s="18">
        <v>0</v>
      </c>
      <c r="R37" s="24"/>
      <c r="S37" s="18">
        <v>0</v>
      </c>
      <c r="T37" s="24"/>
      <c r="U37" s="18">
        <v>0</v>
      </c>
      <c r="V37" s="24"/>
      <c r="W37" s="18">
        <v>0</v>
      </c>
      <c r="X37" s="24"/>
      <c r="Y37" s="18">
        <v>0</v>
      </c>
      <c r="Z37" s="24"/>
      <c r="AA37" s="18">
        <v>0</v>
      </c>
      <c r="AB37" s="24"/>
      <c r="AC37" s="18">
        <v>0</v>
      </c>
      <c r="AD37" s="24"/>
      <c r="AE37" s="18">
        <v>0</v>
      </c>
      <c r="AF37" s="24"/>
      <c r="AG37" s="18">
        <v>0</v>
      </c>
      <c r="AH37" s="24"/>
      <c r="AI37" s="18">
        <v>0</v>
      </c>
      <c r="AJ37" s="24"/>
      <c r="AK37" s="18">
        <v>0</v>
      </c>
      <c r="AL37" s="24"/>
      <c r="AM37" s="18">
        <v>0</v>
      </c>
      <c r="AN37" s="24"/>
      <c r="AO37" s="18">
        <v>0</v>
      </c>
      <c r="AP37" s="24"/>
      <c r="AQ37" s="18">
        <v>0</v>
      </c>
      <c r="AR37" s="24"/>
      <c r="AS37" s="18">
        <v>0</v>
      </c>
      <c r="AT37" s="24"/>
      <c r="AU37" s="18">
        <v>0</v>
      </c>
      <c r="AV37" s="24"/>
      <c r="AW37" s="18">
        <v>0</v>
      </c>
      <c r="AX37" s="24"/>
      <c r="AY37" s="18">
        <v>0</v>
      </c>
      <c r="AZ37" s="24"/>
      <c r="BA37" s="18">
        <v>0</v>
      </c>
      <c r="BB37" s="24"/>
      <c r="BC37" s="18">
        <v>0</v>
      </c>
      <c r="BD37" s="24"/>
      <c r="BE37" s="18">
        <v>0</v>
      </c>
      <c r="BF37" s="24"/>
      <c r="BG37" s="18">
        <v>0</v>
      </c>
      <c r="BH37" s="24"/>
      <c r="BI37" s="18">
        <v>0</v>
      </c>
      <c r="BJ37" s="24"/>
      <c r="BK37" s="18">
        <v>0</v>
      </c>
      <c r="BL37" s="24"/>
      <c r="BM37" s="18">
        <v>0</v>
      </c>
      <c r="BN37" s="24"/>
      <c r="BO37" s="18">
        <v>0</v>
      </c>
      <c r="BP37" s="24"/>
      <c r="BQ37" s="18">
        <v>0</v>
      </c>
      <c r="BR37" s="24"/>
      <c r="BS37" s="18">
        <v>0</v>
      </c>
      <c r="BT37" s="24"/>
      <c r="BU37" s="18">
        <v>0</v>
      </c>
      <c r="BV37" s="24"/>
      <c r="BW37" s="18">
        <v>0</v>
      </c>
      <c r="BX37" s="24"/>
      <c r="BY37" s="18">
        <v>0</v>
      </c>
      <c r="BZ37" s="24"/>
      <c r="CA37" s="18">
        <v>0</v>
      </c>
      <c r="CB37" s="24"/>
      <c r="CC37" s="18">
        <v>0</v>
      </c>
      <c r="CD37" s="24"/>
      <c r="CE37" s="18">
        <v>0</v>
      </c>
      <c r="CF37" s="24"/>
      <c r="CG37" s="18">
        <v>0</v>
      </c>
      <c r="CH37" s="24"/>
      <c r="CI37" s="18">
        <v>0</v>
      </c>
      <c r="CJ37" s="24"/>
      <c r="CK37" s="18">
        <v>0</v>
      </c>
      <c r="CL37" s="24"/>
      <c r="CM37" s="18">
        <v>0</v>
      </c>
      <c r="CN37" s="24"/>
      <c r="CO37" s="18">
        <v>0</v>
      </c>
      <c r="CP37" s="24"/>
      <c r="CQ37" s="18">
        <v>0</v>
      </c>
      <c r="CR37" s="24"/>
      <c r="CS37" s="18">
        <v>0</v>
      </c>
      <c r="CT37" s="24"/>
      <c r="CU37" s="18">
        <v>0</v>
      </c>
      <c r="CV37" s="24"/>
      <c r="CW37" s="18">
        <v>0</v>
      </c>
      <c r="CX37" s="24"/>
      <c r="CY37" s="18">
        <v>0</v>
      </c>
      <c r="CZ37" s="24"/>
      <c r="DA37" s="18">
        <v>0</v>
      </c>
      <c r="DB37" s="24"/>
      <c r="DC37" s="18">
        <v>0</v>
      </c>
      <c r="DD37" s="24"/>
      <c r="DE37" s="18">
        <v>0</v>
      </c>
      <c r="DF37" s="24"/>
      <c r="DG37" s="18">
        <v>0</v>
      </c>
      <c r="DH37" s="24"/>
      <c r="DI37" s="18">
        <v>0</v>
      </c>
      <c r="DJ37" s="24"/>
      <c r="DK37" s="18">
        <v>0</v>
      </c>
      <c r="DL37" s="24"/>
      <c r="DM37" s="18">
        <v>0</v>
      </c>
      <c r="DN37" s="24"/>
      <c r="DO37" s="18">
        <v>0</v>
      </c>
      <c r="DP37" s="24"/>
      <c r="DQ37" s="18">
        <v>0</v>
      </c>
      <c r="DR37" s="24"/>
      <c r="DS37" s="18">
        <v>0</v>
      </c>
      <c r="DT37" s="24"/>
      <c r="DU37" s="18">
        <v>0</v>
      </c>
      <c r="DV37" s="24"/>
      <c r="DW37" s="18">
        <v>0</v>
      </c>
      <c r="DX37" s="24"/>
      <c r="DY37" s="18">
        <v>0</v>
      </c>
      <c r="DZ37" s="24"/>
      <c r="EA37" s="18">
        <v>0</v>
      </c>
      <c r="EB37" s="24"/>
      <c r="EC37" s="18">
        <v>0</v>
      </c>
      <c r="ED37" s="24"/>
      <c r="EE37" s="18">
        <v>0</v>
      </c>
      <c r="EF37" s="24"/>
      <c r="EG37" s="18">
        <v>0</v>
      </c>
      <c r="EH37" s="24"/>
      <c r="EI37" s="18">
        <v>0</v>
      </c>
      <c r="EJ37" s="24"/>
      <c r="EK37" s="18">
        <v>0</v>
      </c>
      <c r="EL37" s="24"/>
      <c r="EM37" s="18">
        <v>0</v>
      </c>
      <c r="EN37" s="24"/>
      <c r="EO37" s="18">
        <v>0</v>
      </c>
      <c r="EP37" s="24"/>
      <c r="EQ37" s="18">
        <v>0</v>
      </c>
      <c r="ER37" s="24"/>
      <c r="ES37" s="18">
        <f>+$EY37</f>
        <v>0</v>
      </c>
      <c r="ET37" s="24"/>
      <c r="EU37" s="221">
        <f>IF( SUM($EQ37:ES37)&lt;0, "n/a", SUM($EQ37:ES37)/EU$74)</f>
        <v>0</v>
      </c>
      <c r="EV37" s="224"/>
      <c r="EW37" s="22"/>
      <c r="EX37" s="154" t="s">
        <v>59</v>
      </c>
      <c r="EY37" s="34">
        <f>IF(ISERROR(VLOOKUP(EX37,IQSH01E!$A$1:$M$400,2,0)),0,VLOOKUP(EX37,IQSH01E!$A$1:$M$400,2,0))</f>
        <v>0</v>
      </c>
      <c r="EZ37" s="51"/>
      <c r="FA37" s="52"/>
      <c r="FB37" s="52"/>
      <c r="FC37" s="187" t="s">
        <v>117</v>
      </c>
    </row>
    <row r="38" spans="1:159" ht="21" customHeight="1" thickBot="1" x14ac:dyDescent="0.35">
      <c r="A38" s="7"/>
      <c r="B38" s="16" t="s">
        <v>84</v>
      </c>
      <c r="C38" s="19">
        <v>931888.61</v>
      </c>
      <c r="D38" s="25"/>
      <c r="E38" s="19">
        <v>857439.32</v>
      </c>
      <c r="F38" s="25"/>
      <c r="G38" s="19">
        <v>945838.39</v>
      </c>
      <c r="H38" s="25"/>
      <c r="I38" s="19">
        <v>1002566.08</v>
      </c>
      <c r="J38" s="25"/>
      <c r="K38" s="19">
        <v>884992.82999999984</v>
      </c>
      <c r="L38" s="25"/>
      <c r="M38" s="19">
        <v>1042061.63</v>
      </c>
      <c r="N38" s="25"/>
      <c r="O38" s="19">
        <v>971088.2</v>
      </c>
      <c r="P38" s="25"/>
      <c r="Q38" s="19">
        <v>888356.29</v>
      </c>
      <c r="R38" s="25"/>
      <c r="S38" s="19">
        <v>1113694.92</v>
      </c>
      <c r="T38" s="25"/>
      <c r="U38" s="19">
        <v>775679.36</v>
      </c>
      <c r="V38" s="25"/>
      <c r="W38" s="19">
        <v>755883.65</v>
      </c>
      <c r="X38" s="25"/>
      <c r="Y38" s="19">
        <v>899245.38</v>
      </c>
      <c r="Z38" s="25"/>
      <c r="AA38" s="19">
        <v>1012972.78</v>
      </c>
      <c r="AB38" s="25"/>
      <c r="AC38" s="19">
        <v>1063645.2</v>
      </c>
      <c r="AD38" s="25"/>
      <c r="AE38" s="19">
        <v>1061619.81</v>
      </c>
      <c r="AF38" s="25"/>
      <c r="AG38" s="19">
        <v>1051655.71</v>
      </c>
      <c r="AH38" s="25"/>
      <c r="AI38" s="19">
        <v>1024883.8200000001</v>
      </c>
      <c r="AJ38" s="25"/>
      <c r="AK38" s="19">
        <v>1013567.24</v>
      </c>
      <c r="AL38" s="25"/>
      <c r="AM38" s="19">
        <v>1131233.67</v>
      </c>
      <c r="AN38" s="25"/>
      <c r="AO38" s="19">
        <v>722659.46</v>
      </c>
      <c r="AP38" s="25"/>
      <c r="AQ38" s="19">
        <v>770976.15</v>
      </c>
      <c r="AR38" s="25"/>
      <c r="AS38" s="19">
        <v>680415.68000000017</v>
      </c>
      <c r="AT38" s="25"/>
      <c r="AU38" s="19">
        <v>779219</v>
      </c>
      <c r="AV38" s="25"/>
      <c r="AW38" s="19">
        <v>788214.66</v>
      </c>
      <c r="AX38" s="25"/>
      <c r="AY38" s="19">
        <v>968166.95</v>
      </c>
      <c r="AZ38" s="25"/>
      <c r="BA38" s="19">
        <v>1014840.79</v>
      </c>
      <c r="BB38" s="25"/>
      <c r="BC38" s="19">
        <v>1356289.35</v>
      </c>
      <c r="BD38" s="25"/>
      <c r="BE38" s="19">
        <v>1203965.6499999999</v>
      </c>
      <c r="BF38" s="25"/>
      <c r="BG38" s="19">
        <v>1263374.8700000001</v>
      </c>
      <c r="BH38" s="25"/>
      <c r="BI38" s="19">
        <v>1294211.83</v>
      </c>
      <c r="BJ38" s="25"/>
      <c r="BK38" s="19">
        <v>1114329.56</v>
      </c>
      <c r="BL38" s="25"/>
      <c r="BM38" s="19">
        <v>895039.38</v>
      </c>
      <c r="BN38" s="25"/>
      <c r="BO38" s="19">
        <v>1056287.3899999999</v>
      </c>
      <c r="BP38" s="25"/>
      <c r="BQ38" s="19">
        <v>1114808.1399999999</v>
      </c>
      <c r="BR38" s="25"/>
      <c r="BS38" s="19">
        <v>644273.62</v>
      </c>
      <c r="BT38" s="25"/>
      <c r="BU38" s="19">
        <v>860268.22</v>
      </c>
      <c r="BV38" s="25"/>
      <c r="BW38" s="19">
        <v>844254.67</v>
      </c>
      <c r="BX38" s="25"/>
      <c r="BY38" s="19">
        <v>767982.09000000008</v>
      </c>
      <c r="BZ38" s="25"/>
      <c r="CA38" s="19">
        <v>788723.54000000015</v>
      </c>
      <c r="CB38" s="25"/>
      <c r="CC38" s="19">
        <v>801394.99</v>
      </c>
      <c r="CD38" s="25"/>
      <c r="CE38" s="19">
        <v>600448.28</v>
      </c>
      <c r="CF38" s="25"/>
      <c r="CG38" s="19">
        <v>853497.67999999993</v>
      </c>
      <c r="CH38" s="25"/>
      <c r="CI38" s="19">
        <v>617880.92000000004</v>
      </c>
      <c r="CJ38" s="25"/>
      <c r="CK38" s="19">
        <v>807730.71</v>
      </c>
      <c r="CL38" s="25"/>
      <c r="CM38" s="19">
        <v>578187.15</v>
      </c>
      <c r="CN38" s="25"/>
      <c r="CO38" s="19">
        <v>733820.71</v>
      </c>
      <c r="CP38" s="25"/>
      <c r="CQ38" s="19">
        <v>508540.23</v>
      </c>
      <c r="CR38" s="25"/>
      <c r="CS38" s="19">
        <v>559758.27</v>
      </c>
      <c r="CT38" s="25"/>
      <c r="CU38" s="19">
        <v>506014.52</v>
      </c>
      <c r="CV38" s="25"/>
      <c r="CW38" s="19">
        <v>531227.32999999996</v>
      </c>
      <c r="CX38" s="25"/>
      <c r="CY38" s="19">
        <v>840552.72</v>
      </c>
      <c r="CZ38" s="25"/>
      <c r="DA38" s="19">
        <v>920894.93</v>
      </c>
      <c r="DB38" s="25"/>
      <c r="DC38" s="19">
        <v>671159.41</v>
      </c>
      <c r="DD38" s="25"/>
      <c r="DE38" s="19">
        <v>725020.38</v>
      </c>
      <c r="DF38" s="25"/>
      <c r="DG38" s="19">
        <v>768983.87</v>
      </c>
      <c r="DH38" s="25"/>
      <c r="DI38" s="19">
        <v>536893.86</v>
      </c>
      <c r="DJ38" s="25"/>
      <c r="DK38" s="19">
        <v>540157.27</v>
      </c>
      <c r="DL38" s="25"/>
      <c r="DM38" s="19">
        <v>701563.32000000007</v>
      </c>
      <c r="DN38" s="25"/>
      <c r="DO38" s="19">
        <v>539001.94999999995</v>
      </c>
      <c r="DP38" s="25"/>
      <c r="DQ38" s="19">
        <v>739685.95</v>
      </c>
      <c r="DR38" s="25"/>
      <c r="DS38" s="19">
        <v>476434.68</v>
      </c>
      <c r="DT38" s="25"/>
      <c r="DU38" s="19">
        <v>524492.17000000004</v>
      </c>
      <c r="DV38" s="25"/>
      <c r="DW38" s="19">
        <v>885185.72</v>
      </c>
      <c r="DX38" s="25"/>
      <c r="DY38" s="19">
        <v>742325.77</v>
      </c>
      <c r="DZ38" s="25"/>
      <c r="EA38" s="19">
        <v>502226.99</v>
      </c>
      <c r="EB38" s="25"/>
      <c r="EC38" s="19">
        <v>435618.16</v>
      </c>
      <c r="ED38" s="25"/>
      <c r="EE38" s="19">
        <v>700799.71</v>
      </c>
      <c r="EF38" s="25"/>
      <c r="EG38" s="19">
        <v>538192.22</v>
      </c>
      <c r="EH38" s="25"/>
      <c r="EI38" s="19">
        <v>632773.77</v>
      </c>
      <c r="EJ38" s="25"/>
      <c r="EK38" s="19">
        <v>966788.07</v>
      </c>
      <c r="EL38" s="25"/>
      <c r="EM38" s="19">
        <v>737246.51</v>
      </c>
      <c r="EN38" s="25"/>
      <c r="EO38" s="19">
        <v>856436.47</v>
      </c>
      <c r="EP38" s="25"/>
      <c r="EQ38" s="19">
        <v>565571.85</v>
      </c>
      <c r="ER38" s="25"/>
      <c r="ES38" s="19">
        <f>SUM(ES35:ES37)</f>
        <v>672890.81</v>
      </c>
      <c r="ET38" s="25"/>
      <c r="EU38" s="225">
        <f>IF( SUM($EQ38:ES38)&lt;0, "n/a", SUM($EQ38:ES38)/EU$74)</f>
        <v>619231.33000000007</v>
      </c>
      <c r="EV38" s="228"/>
      <c r="EW38" s="61"/>
      <c r="EX38" s="37" t="s">
        <v>55</v>
      </c>
      <c r="EY38" s="38">
        <f>IF(ISERROR(VLOOKUP(EX38,IQSH01E!$A$1:$M$400,2,0)),0,VLOOKUP(EX38,IQSH01E!$A$1:$M$400,2,0))</f>
        <v>672890.81</v>
      </c>
      <c r="EZ38" s="44"/>
      <c r="FA38" s="45"/>
      <c r="FB38" s="45"/>
      <c r="FC38" s="188" t="s">
        <v>118</v>
      </c>
    </row>
    <row r="39" spans="1:159" ht="21" customHeight="1" x14ac:dyDescent="0.3">
      <c r="A39" s="3"/>
      <c r="B39" s="14" t="s">
        <v>89</v>
      </c>
      <c r="C39" s="18">
        <v>87076.66</v>
      </c>
      <c r="D39" s="92">
        <v>9.4981065892292132E-3</v>
      </c>
      <c r="E39" s="18">
        <v>189829.15</v>
      </c>
      <c r="F39" s="92">
        <v>1.7265938439185516E-2</v>
      </c>
      <c r="G39" s="18">
        <v>28050</v>
      </c>
      <c r="H39" s="92">
        <v>2.3809145563221832E-3</v>
      </c>
      <c r="I39" s="18">
        <v>0</v>
      </c>
      <c r="J39" s="92">
        <v>0</v>
      </c>
      <c r="K39" s="18">
        <v>93887.97</v>
      </c>
      <c r="L39" s="92">
        <v>8.3480900581836583E-3</v>
      </c>
      <c r="M39" s="18">
        <v>0</v>
      </c>
      <c r="N39" s="92">
        <v>0</v>
      </c>
      <c r="O39" s="18">
        <v>0</v>
      </c>
      <c r="P39" s="92">
        <v>0</v>
      </c>
      <c r="Q39" s="18">
        <v>64113.55</v>
      </c>
      <c r="R39" s="92">
        <v>5.8548867075397118E-3</v>
      </c>
      <c r="S39" s="18">
        <v>31579.54</v>
      </c>
      <c r="T39" s="92">
        <v>3.0979172101977667E-3</v>
      </c>
      <c r="U39" s="18">
        <v>53217.95</v>
      </c>
      <c r="V39" s="92">
        <v>5.6093224872894665E-3</v>
      </c>
      <c r="W39" s="18">
        <v>26882.25</v>
      </c>
      <c r="X39" s="92">
        <v>3.2673575045498761E-3</v>
      </c>
      <c r="Y39" s="18">
        <v>28050.06</v>
      </c>
      <c r="Z39" s="92">
        <v>3.092191276528604E-3</v>
      </c>
      <c r="AA39" s="18">
        <v>25846</v>
      </c>
      <c r="AB39" s="92">
        <v>2.7190629744148005E-3</v>
      </c>
      <c r="AC39" s="18">
        <v>56100.05</v>
      </c>
      <c r="AD39" s="92">
        <v>5.5782534752321618E-3</v>
      </c>
      <c r="AE39" s="18">
        <v>57405.34</v>
      </c>
      <c r="AF39" s="92">
        <v>4.9665297330302024E-3</v>
      </c>
      <c r="AG39" s="18">
        <v>0</v>
      </c>
      <c r="AH39" s="92">
        <v>0</v>
      </c>
      <c r="AI39" s="18">
        <v>28204.04</v>
      </c>
      <c r="AJ39" s="92">
        <v>3.6065271055951494E-3</v>
      </c>
      <c r="AK39" s="18">
        <v>57869.94</v>
      </c>
      <c r="AL39" s="92">
        <v>5.5401027767770644E-3</v>
      </c>
      <c r="AM39" s="18">
        <v>56100.07</v>
      </c>
      <c r="AN39" s="92">
        <v>6.0639210917136132E-3</v>
      </c>
      <c r="AO39" s="18">
        <v>57216.479999999996</v>
      </c>
      <c r="AP39" s="92">
        <v>5.2402575946733244E-3</v>
      </c>
      <c r="AQ39" s="18">
        <v>0</v>
      </c>
      <c r="AR39" s="92">
        <v>0</v>
      </c>
      <c r="AS39" s="18">
        <v>51287.74</v>
      </c>
      <c r="AT39" s="92">
        <v>5.0482743087417415E-3</v>
      </c>
      <c r="AU39" s="18">
        <v>0</v>
      </c>
      <c r="AV39" s="92">
        <v>0</v>
      </c>
      <c r="AW39" s="18">
        <v>0</v>
      </c>
      <c r="AX39" s="92">
        <v>0</v>
      </c>
      <c r="AY39" s="18">
        <v>0</v>
      </c>
      <c r="AZ39" s="92">
        <v>0</v>
      </c>
      <c r="BA39" s="18">
        <v>0</v>
      </c>
      <c r="BB39" s="92">
        <v>0</v>
      </c>
      <c r="BC39" s="18">
        <v>0</v>
      </c>
      <c r="BD39" s="92">
        <v>0</v>
      </c>
      <c r="BE39" s="18">
        <v>0</v>
      </c>
      <c r="BF39" s="92">
        <v>0</v>
      </c>
      <c r="BG39" s="18">
        <v>0</v>
      </c>
      <c r="BH39" s="92">
        <v>0</v>
      </c>
      <c r="BI39" s="18">
        <v>0</v>
      </c>
      <c r="BJ39" s="92">
        <v>0</v>
      </c>
      <c r="BK39" s="18">
        <v>0</v>
      </c>
      <c r="BL39" s="92">
        <v>0</v>
      </c>
      <c r="BM39" s="18">
        <v>0</v>
      </c>
      <c r="BN39" s="92">
        <v>0</v>
      </c>
      <c r="BO39" s="18">
        <v>28708.799999999999</v>
      </c>
      <c r="BP39" s="92">
        <v>3.9788992164542228E-3</v>
      </c>
      <c r="BQ39" s="18">
        <v>0</v>
      </c>
      <c r="BR39" s="92">
        <v>0</v>
      </c>
      <c r="BS39" s="18">
        <v>0</v>
      </c>
      <c r="BT39" s="92">
        <v>0</v>
      </c>
      <c r="BU39" s="18">
        <v>0</v>
      </c>
      <c r="BV39" s="92">
        <v>0</v>
      </c>
      <c r="BW39" s="18">
        <v>0</v>
      </c>
      <c r="BX39" s="92">
        <v>0</v>
      </c>
      <c r="BY39" s="18">
        <v>0</v>
      </c>
      <c r="BZ39" s="92">
        <v>0</v>
      </c>
      <c r="CA39" s="18">
        <v>0</v>
      </c>
      <c r="CB39" s="92">
        <v>0</v>
      </c>
      <c r="CC39" s="18">
        <v>0</v>
      </c>
      <c r="CD39" s="92">
        <v>0</v>
      </c>
      <c r="CE39" s="18">
        <v>0</v>
      </c>
      <c r="CF39" s="92">
        <v>0</v>
      </c>
      <c r="CG39" s="18">
        <v>0</v>
      </c>
      <c r="CH39" s="92">
        <v>0</v>
      </c>
      <c r="CI39" s="18">
        <v>0</v>
      </c>
      <c r="CJ39" s="92">
        <v>0</v>
      </c>
      <c r="CK39" s="18">
        <v>0</v>
      </c>
      <c r="CL39" s="92">
        <v>0</v>
      </c>
      <c r="CM39" s="18">
        <v>0</v>
      </c>
      <c r="CN39" s="92">
        <v>0</v>
      </c>
      <c r="CO39" s="18">
        <v>0</v>
      </c>
      <c r="CP39" s="92">
        <v>0</v>
      </c>
      <c r="CQ39" s="18">
        <v>0</v>
      </c>
      <c r="CR39" s="92">
        <v>0</v>
      </c>
      <c r="CS39" s="18">
        <v>0</v>
      </c>
      <c r="CT39" s="92">
        <v>0</v>
      </c>
      <c r="CU39" s="18">
        <v>0</v>
      </c>
      <c r="CV39" s="92">
        <v>0</v>
      </c>
      <c r="CW39" s="18">
        <v>0</v>
      </c>
      <c r="CX39" s="92">
        <v>0</v>
      </c>
      <c r="CY39" s="18">
        <v>0</v>
      </c>
      <c r="CZ39" s="92">
        <v>0</v>
      </c>
      <c r="DA39" s="18">
        <v>0</v>
      </c>
      <c r="DB39" s="92">
        <v>0</v>
      </c>
      <c r="DC39" s="18">
        <v>0</v>
      </c>
      <c r="DD39" s="92">
        <v>0</v>
      </c>
      <c r="DE39" s="18">
        <v>0</v>
      </c>
      <c r="DF39" s="92">
        <v>0</v>
      </c>
      <c r="DG39" s="18">
        <v>0</v>
      </c>
      <c r="DH39" s="92">
        <v>0</v>
      </c>
      <c r="DI39" s="18">
        <v>0</v>
      </c>
      <c r="DJ39" s="92">
        <v>0</v>
      </c>
      <c r="DK39" s="18">
        <v>0</v>
      </c>
      <c r="DL39" s="92">
        <v>0</v>
      </c>
      <c r="DM39" s="18">
        <v>0</v>
      </c>
      <c r="DN39" s="92">
        <v>0</v>
      </c>
      <c r="DO39" s="18">
        <v>0</v>
      </c>
      <c r="DP39" s="92">
        <v>0</v>
      </c>
      <c r="DQ39" s="18">
        <v>0</v>
      </c>
      <c r="DR39" s="92">
        <v>0</v>
      </c>
      <c r="DS39" s="18">
        <v>0</v>
      </c>
      <c r="DT39" s="92">
        <v>0</v>
      </c>
      <c r="DU39" s="18">
        <v>0</v>
      </c>
      <c r="DV39" s="92">
        <v>0</v>
      </c>
      <c r="DW39" s="18">
        <v>0</v>
      </c>
      <c r="DX39" s="92">
        <v>0</v>
      </c>
      <c r="DY39" s="18">
        <v>0</v>
      </c>
      <c r="DZ39" s="92">
        <v>0</v>
      </c>
      <c r="EA39" s="18">
        <v>0</v>
      </c>
      <c r="EB39" s="92">
        <v>0</v>
      </c>
      <c r="EC39" s="18">
        <v>0</v>
      </c>
      <c r="ED39" s="92">
        <v>0</v>
      </c>
      <c r="EE39" s="18">
        <v>0</v>
      </c>
      <c r="EF39" s="92">
        <v>0</v>
      </c>
      <c r="EG39" s="18">
        <v>0</v>
      </c>
      <c r="EH39" s="92">
        <v>0</v>
      </c>
      <c r="EI39" s="18">
        <v>0</v>
      </c>
      <c r="EJ39" s="92">
        <v>0</v>
      </c>
      <c r="EK39" s="18">
        <v>0</v>
      </c>
      <c r="EL39" s="92">
        <v>0</v>
      </c>
      <c r="EM39" s="18">
        <v>0</v>
      </c>
      <c r="EN39" s="92">
        <v>0</v>
      </c>
      <c r="EO39" s="18">
        <v>0</v>
      </c>
      <c r="EP39" s="92">
        <v>0</v>
      </c>
      <c r="EQ39" s="18">
        <v>0</v>
      </c>
      <c r="ER39" s="92">
        <v>0</v>
      </c>
      <c r="ES39" s="18">
        <f t="shared" ref="ES39:ES45" si="4">ES6+ES17+ES28</f>
        <v>0</v>
      </c>
      <c r="ET39" s="92">
        <f>ES39/ES46</f>
        <v>0</v>
      </c>
      <c r="EU39" s="221">
        <f>IF( SUM($EQ39:ES39)&lt;0, "n/a", SUM($EQ39:ES39)/EU$74)</f>
        <v>0</v>
      </c>
      <c r="EV39" s="222">
        <f>EU39/EU46</f>
        <v>0</v>
      </c>
      <c r="EW39" s="22"/>
      <c r="EX39" s="97"/>
      <c r="EY39" s="43"/>
      <c r="EZ39" s="42"/>
      <c r="FA39" s="43"/>
      <c r="FB39" s="43"/>
      <c r="FC39" s="185"/>
    </row>
    <row r="40" spans="1:159" ht="21" customHeight="1" x14ac:dyDescent="0.3">
      <c r="A40" s="3"/>
      <c r="B40" s="14" t="s">
        <v>79</v>
      </c>
      <c r="C40" s="60">
        <v>5502216.4300000016</v>
      </c>
      <c r="D40" s="99">
        <v>0.60016815216785135</v>
      </c>
      <c r="E40" s="60">
        <v>5597568.8999999994</v>
      </c>
      <c r="F40" s="99">
        <v>0.50912770792314765</v>
      </c>
      <c r="G40" s="60">
        <v>7920554.8200000003</v>
      </c>
      <c r="H40" s="99">
        <v>0.67230532139343424</v>
      </c>
      <c r="I40" s="60">
        <v>10099417.5</v>
      </c>
      <c r="J40" s="99">
        <v>0.79424650539712549</v>
      </c>
      <c r="K40" s="60">
        <v>9336228.9499999993</v>
      </c>
      <c r="L40" s="99">
        <v>0.83013489458150447</v>
      </c>
      <c r="M40" s="60">
        <v>9263573.7699999996</v>
      </c>
      <c r="N40" s="99">
        <v>0.92538160096780664</v>
      </c>
      <c r="O40" s="60">
        <v>8617745.0700000022</v>
      </c>
      <c r="P40" s="99">
        <v>0.87891669877889278</v>
      </c>
      <c r="Q40" s="60">
        <v>8791687.5800000019</v>
      </c>
      <c r="R40" s="99">
        <v>0.8028620275898618</v>
      </c>
      <c r="S40" s="60">
        <v>9134438.129999999</v>
      </c>
      <c r="T40" s="99">
        <v>0.89607806473475227</v>
      </c>
      <c r="U40" s="60">
        <v>8589716.5600000024</v>
      </c>
      <c r="V40" s="99">
        <v>0.90538042633079141</v>
      </c>
      <c r="W40" s="60">
        <v>6836822.8200000003</v>
      </c>
      <c r="X40" s="99">
        <v>0.83097003964343941</v>
      </c>
      <c r="Y40" s="60">
        <v>7535459.959999999</v>
      </c>
      <c r="Z40" s="99">
        <v>0.83069638898963427</v>
      </c>
      <c r="AA40" s="60">
        <v>8066151.1600000011</v>
      </c>
      <c r="AB40" s="99">
        <v>0.84857900507579498</v>
      </c>
      <c r="AC40" s="60">
        <v>8937601.6900000013</v>
      </c>
      <c r="AD40" s="99">
        <v>0.88870166225312364</v>
      </c>
      <c r="AE40" s="60">
        <v>10793795.539999999</v>
      </c>
      <c r="AF40" s="99">
        <v>0.9338452917735317</v>
      </c>
      <c r="AG40" s="60">
        <v>9206304.3200000003</v>
      </c>
      <c r="AH40" s="99">
        <v>0.94634084239632121</v>
      </c>
      <c r="AI40" s="60">
        <v>6473683.1500000004</v>
      </c>
      <c r="AJ40" s="99">
        <v>0.8278074259400281</v>
      </c>
      <c r="AK40" s="60">
        <v>8373506.709999999</v>
      </c>
      <c r="AL40" s="99">
        <v>0.8016266782967526</v>
      </c>
      <c r="AM40" s="60">
        <v>6353335.9700000007</v>
      </c>
      <c r="AN40" s="99">
        <v>0.68673939250389116</v>
      </c>
      <c r="AO40" s="60">
        <v>7918349.2999999998</v>
      </c>
      <c r="AP40" s="99">
        <v>0.72521396032403962</v>
      </c>
      <c r="AQ40" s="60">
        <v>9178833.0800000019</v>
      </c>
      <c r="AR40" s="99">
        <v>0.6621338773737917</v>
      </c>
      <c r="AS40" s="60">
        <v>7072810.0999999996</v>
      </c>
      <c r="AT40" s="99">
        <v>0.69617974039096098</v>
      </c>
      <c r="AU40" s="60">
        <v>6282553.0200000005</v>
      </c>
      <c r="AV40" s="99">
        <v>0.71420840276163877</v>
      </c>
      <c r="AW40" s="60">
        <v>5351437.959999999</v>
      </c>
      <c r="AX40" s="99">
        <v>0.69519937771146323</v>
      </c>
      <c r="AY40" s="60">
        <v>7569035</v>
      </c>
      <c r="AZ40" s="99">
        <v>0.67387061560962869</v>
      </c>
      <c r="BA40" s="60">
        <v>8231944.0899999999</v>
      </c>
      <c r="BB40" s="99">
        <v>0.69790863542411774</v>
      </c>
      <c r="BC40" s="60">
        <v>10739860.020000001</v>
      </c>
      <c r="BD40" s="99">
        <v>0.70802202828427185</v>
      </c>
      <c r="BE40" s="60">
        <v>10110991.24</v>
      </c>
      <c r="BF40" s="99">
        <v>0.85439482178321324</v>
      </c>
      <c r="BG40" s="60">
        <v>10822329.150000004</v>
      </c>
      <c r="BH40" s="99">
        <v>0.74627509961376626</v>
      </c>
      <c r="BI40" s="60">
        <v>9810762.9000000022</v>
      </c>
      <c r="BJ40" s="99">
        <v>0.73166303108259856</v>
      </c>
      <c r="BK40" s="60">
        <v>7887233.6400000006</v>
      </c>
      <c r="BL40" s="99">
        <v>0.80231046117215288</v>
      </c>
      <c r="BM40" s="60">
        <v>5336844.84</v>
      </c>
      <c r="BN40" s="99">
        <v>0.7152016749794583</v>
      </c>
      <c r="BO40" s="60">
        <v>5021456.6900000013</v>
      </c>
      <c r="BP40" s="99">
        <v>0.69594932875285009</v>
      </c>
      <c r="BQ40" s="60">
        <v>6132402.5600000015</v>
      </c>
      <c r="BR40" s="99">
        <v>0.77557064185378222</v>
      </c>
      <c r="BS40" s="60">
        <v>5485127.29</v>
      </c>
      <c r="BT40" s="99">
        <v>0.78647305001213896</v>
      </c>
      <c r="BU40" s="60">
        <v>4879438.33</v>
      </c>
      <c r="BV40" s="99">
        <v>0.77068992816377802</v>
      </c>
      <c r="BW40" s="60">
        <v>6550964.8399999999</v>
      </c>
      <c r="BX40" s="99">
        <v>0.7038130312914439</v>
      </c>
      <c r="BY40" s="60">
        <v>7491274.9100000001</v>
      </c>
      <c r="BZ40" s="99">
        <v>0.75736132719265481</v>
      </c>
      <c r="CA40" s="60">
        <v>9922257.9499999993</v>
      </c>
      <c r="CB40" s="99">
        <v>0.93614566679644928</v>
      </c>
      <c r="CC40" s="60">
        <v>8395154.8900000006</v>
      </c>
      <c r="CD40" s="99">
        <v>0.96074125903087981</v>
      </c>
      <c r="CE40" s="60">
        <v>8994621.2699999996</v>
      </c>
      <c r="CF40" s="99">
        <v>0.86108886341096702</v>
      </c>
      <c r="CG40" s="60">
        <v>8625856.1300000008</v>
      </c>
      <c r="CH40" s="99">
        <v>0.82606214035142278</v>
      </c>
      <c r="CI40" s="60">
        <v>7474926.3199999994</v>
      </c>
      <c r="CJ40" s="99">
        <v>0.89482330969775026</v>
      </c>
      <c r="CK40" s="60">
        <v>5688503.9800000004</v>
      </c>
      <c r="CL40" s="99">
        <v>0.87080298494184838</v>
      </c>
      <c r="CM40" s="60">
        <v>4483427.1499999994</v>
      </c>
      <c r="CN40" s="99">
        <v>0.74002144913613921</v>
      </c>
      <c r="CO40" s="60">
        <v>7223322.5300000003</v>
      </c>
      <c r="CP40" s="99">
        <v>0.91617020102913105</v>
      </c>
      <c r="CQ40" s="60">
        <v>6697457.0299999984</v>
      </c>
      <c r="CR40" s="99">
        <v>0.87353385466507361</v>
      </c>
      <c r="CS40" s="60">
        <v>5213972.2300000004</v>
      </c>
      <c r="CT40" s="99">
        <v>0.73211011104799095</v>
      </c>
      <c r="CU40" s="60">
        <v>10280767.449999999</v>
      </c>
      <c r="CV40" s="99">
        <v>0.86878897083816442</v>
      </c>
      <c r="CW40" s="60">
        <v>9692746.290000001</v>
      </c>
      <c r="CX40" s="99">
        <v>0.8559200175399585</v>
      </c>
      <c r="CY40" s="60">
        <v>9911014.3399999999</v>
      </c>
      <c r="CZ40" s="99">
        <v>0.93805744842148131</v>
      </c>
      <c r="DA40" s="60">
        <v>11901173.84</v>
      </c>
      <c r="DB40" s="99">
        <v>0.98200684358749946</v>
      </c>
      <c r="DC40" s="60">
        <v>10773936.039999999</v>
      </c>
      <c r="DD40" s="99">
        <v>0.98084338677068517</v>
      </c>
      <c r="DE40" s="60">
        <v>9366699.6500000004</v>
      </c>
      <c r="DF40" s="99">
        <v>0.98542099114822557</v>
      </c>
      <c r="DG40" s="60">
        <v>8674537.2699999996</v>
      </c>
      <c r="DH40" s="99">
        <v>0.92323508882704175</v>
      </c>
      <c r="DI40" s="60">
        <v>8473589.0999999996</v>
      </c>
      <c r="DJ40" s="99">
        <v>0.91567910027444765</v>
      </c>
      <c r="DK40" s="60">
        <v>5958012.5599999996</v>
      </c>
      <c r="DL40" s="99">
        <v>0.90477259231952134</v>
      </c>
      <c r="DM40" s="60">
        <v>8839047.4499999993</v>
      </c>
      <c r="DN40" s="99">
        <v>0.9675069361468529</v>
      </c>
      <c r="DO40" s="60">
        <v>5146204.3800000008</v>
      </c>
      <c r="DP40" s="99">
        <v>0.92537702342953476</v>
      </c>
      <c r="DQ40" s="60">
        <v>6276653.0699999994</v>
      </c>
      <c r="DR40" s="99">
        <v>0.90411040280733657</v>
      </c>
      <c r="DS40" s="60">
        <v>8541911.3999999985</v>
      </c>
      <c r="DT40" s="99">
        <v>0.91771403344329439</v>
      </c>
      <c r="DU40" s="60">
        <v>8394266.7400000002</v>
      </c>
      <c r="DV40" s="99">
        <v>0.88828058922407793</v>
      </c>
      <c r="DW40" s="60">
        <v>8675969.4600000009</v>
      </c>
      <c r="DX40" s="99">
        <v>0.92763183992282139</v>
      </c>
      <c r="DY40" s="60">
        <v>9364247.8000000007</v>
      </c>
      <c r="DZ40" s="99">
        <v>0.92691770764009784</v>
      </c>
      <c r="EA40" s="60">
        <v>8726474.1399999987</v>
      </c>
      <c r="EB40" s="99">
        <v>0.97994703284404439</v>
      </c>
      <c r="EC40" s="60">
        <v>6791631.7400000002</v>
      </c>
      <c r="ED40" s="99">
        <v>0.9842529937717146</v>
      </c>
      <c r="EE40" s="60">
        <v>8147492.3500000006</v>
      </c>
      <c r="EF40" s="99">
        <v>0.98437224738346629</v>
      </c>
      <c r="EG40" s="60">
        <v>7036309.04</v>
      </c>
      <c r="EH40" s="99">
        <v>0.97601064948967808</v>
      </c>
      <c r="EI40" s="60">
        <v>6077154.1999999993</v>
      </c>
      <c r="EJ40" s="99">
        <v>0.98365001182648482</v>
      </c>
      <c r="EK40" s="60">
        <v>5602499.620000001</v>
      </c>
      <c r="EL40" s="99">
        <v>0.97979381013045519</v>
      </c>
      <c r="EM40" s="60">
        <v>5567132.4399999995</v>
      </c>
      <c r="EN40" s="99">
        <v>0.97784863523189647</v>
      </c>
      <c r="EO40" s="60">
        <v>7920050.3900000006</v>
      </c>
      <c r="EP40" s="99">
        <v>0.9855675452223267</v>
      </c>
      <c r="EQ40" s="60">
        <v>10462812.569999998</v>
      </c>
      <c r="ER40" s="99">
        <v>0.98723655394732501</v>
      </c>
      <c r="ES40" s="60">
        <f t="shared" si="4"/>
        <v>9510415.9100000001</v>
      </c>
      <c r="ET40" s="99">
        <f>ES40/ES46</f>
        <v>0.98718422280297102</v>
      </c>
      <c r="EU40" s="221">
        <f>IF( SUM($EQ40:ES40)&lt;0, "n/a", SUM($EQ40:ES40)/EU$74)</f>
        <v>9986614.7336182762</v>
      </c>
      <c r="EV40" s="223">
        <f>EU40/EU46</f>
        <v>0.98721163535472778</v>
      </c>
      <c r="EW40" s="22"/>
      <c r="EX40" s="97"/>
      <c r="EY40" s="17"/>
      <c r="EZ40" s="155"/>
      <c r="FA40" s="17"/>
      <c r="FB40" s="17"/>
      <c r="FC40" s="185"/>
    </row>
    <row r="41" spans="1:159" ht="21" customHeight="1" x14ac:dyDescent="0.3">
      <c r="A41" s="3"/>
      <c r="B41" s="14" t="s">
        <v>107</v>
      </c>
      <c r="C41" s="60">
        <v>3072776.68</v>
      </c>
      <c r="D41" s="99">
        <v>0.33517087623179237</v>
      </c>
      <c r="E41" s="60">
        <v>4763468</v>
      </c>
      <c r="F41" s="99">
        <v>0.43326193708937832</v>
      </c>
      <c r="G41" s="60">
        <v>3289007.01</v>
      </c>
      <c r="H41" s="99">
        <v>0.27917449789499821</v>
      </c>
      <c r="I41" s="60">
        <v>1971227.71</v>
      </c>
      <c r="J41" s="99">
        <v>0.15502287334982223</v>
      </c>
      <c r="K41" s="60">
        <v>1168466.29</v>
      </c>
      <c r="L41" s="99">
        <v>0.10389469299284822</v>
      </c>
      <c r="M41" s="60">
        <v>180714.25</v>
      </c>
      <c r="N41" s="99">
        <v>1.8052389513458417E-2</v>
      </c>
      <c r="O41" s="60">
        <v>542771.38</v>
      </c>
      <c r="P41" s="99">
        <v>5.5356804549947528E-2</v>
      </c>
      <c r="Q41" s="60">
        <v>1418962.81</v>
      </c>
      <c r="R41" s="99">
        <v>0.12958050981051897</v>
      </c>
      <c r="S41" s="60">
        <v>364399.88</v>
      </c>
      <c r="T41" s="99">
        <v>3.5747216699356633E-2</v>
      </c>
      <c r="U41" s="60">
        <v>180714.33</v>
      </c>
      <c r="V41" s="99">
        <v>1.9047801635434087E-2</v>
      </c>
      <c r="W41" s="60">
        <v>770961.5</v>
      </c>
      <c r="X41" s="99">
        <v>9.3705208557469319E-2</v>
      </c>
      <c r="Y41" s="60">
        <v>1008100.81</v>
      </c>
      <c r="Z41" s="99">
        <v>0.1111313320022638</v>
      </c>
      <c r="AA41" s="60">
        <v>853340.67</v>
      </c>
      <c r="AB41" s="99">
        <v>8.9773544082617007E-2</v>
      </c>
      <c r="AC41" s="60">
        <v>750935.6</v>
      </c>
      <c r="AD41" s="99">
        <v>7.4668545221894603E-2</v>
      </c>
      <c r="AE41" s="60">
        <v>180714.23999999999</v>
      </c>
      <c r="AF41" s="99">
        <v>1.5634828504490279E-2</v>
      </c>
      <c r="AG41" s="60">
        <v>0</v>
      </c>
      <c r="AH41" s="99">
        <v>0</v>
      </c>
      <c r="AI41" s="60">
        <v>916980.68</v>
      </c>
      <c r="AJ41" s="99">
        <v>0.11725680710022648</v>
      </c>
      <c r="AK41" s="60">
        <v>1507449.03</v>
      </c>
      <c r="AL41" s="99">
        <v>0.1443136550159356</v>
      </c>
      <c r="AM41" s="60">
        <v>2332349.09</v>
      </c>
      <c r="AN41" s="99">
        <v>0.25210629576915056</v>
      </c>
      <c r="AO41" s="60">
        <v>2539591.6</v>
      </c>
      <c r="AP41" s="99">
        <v>0.23259232600936969</v>
      </c>
      <c r="AQ41" s="60">
        <v>4263810.37</v>
      </c>
      <c r="AR41" s="99">
        <v>0.30757867237244507</v>
      </c>
      <c r="AS41" s="60">
        <v>2616119.7999999998</v>
      </c>
      <c r="AT41" s="99">
        <v>0.25750579719306371</v>
      </c>
      <c r="AU41" s="60">
        <v>2171947.36</v>
      </c>
      <c r="AV41" s="99">
        <v>0.24690966394231209</v>
      </c>
      <c r="AW41" s="60">
        <v>2055005.61</v>
      </c>
      <c r="AX41" s="99">
        <v>0.26696350250981254</v>
      </c>
      <c r="AY41" s="60">
        <v>3323541.73</v>
      </c>
      <c r="AZ41" s="99">
        <v>0.2958946697431562</v>
      </c>
      <c r="BA41" s="60">
        <v>3242844.84</v>
      </c>
      <c r="BB41" s="99">
        <v>0.27493012494166991</v>
      </c>
      <c r="BC41" s="60">
        <v>3981013.36</v>
      </c>
      <c r="BD41" s="99">
        <v>0.26244710345619415</v>
      </c>
      <c r="BE41" s="60">
        <v>1335226.23</v>
      </c>
      <c r="BF41" s="99">
        <v>0.11282873753346478</v>
      </c>
      <c r="BG41" s="60">
        <v>3269334.21</v>
      </c>
      <c r="BH41" s="99">
        <v>0.22544340311793629</v>
      </c>
      <c r="BI41" s="60">
        <v>3212381.82</v>
      </c>
      <c r="BJ41" s="99">
        <v>0.23957168707194357</v>
      </c>
      <c r="BK41" s="60">
        <v>1611277.06</v>
      </c>
      <c r="BL41" s="99">
        <v>0.16390340391700511</v>
      </c>
      <c r="BM41" s="60">
        <v>1816859.26</v>
      </c>
      <c r="BN41" s="99">
        <v>0.24348108759218476</v>
      </c>
      <c r="BO41" s="60">
        <v>1895834.27</v>
      </c>
      <c r="BP41" s="99">
        <v>0.26275335407366607</v>
      </c>
      <c r="BQ41" s="60">
        <v>1566979.5</v>
      </c>
      <c r="BR41" s="99">
        <v>0.19817735132292399</v>
      </c>
      <c r="BS41" s="60">
        <v>1306603.73</v>
      </c>
      <c r="BT41" s="99">
        <v>0.18734453484129396</v>
      </c>
      <c r="BU41" s="60">
        <v>1234833.1499999999</v>
      </c>
      <c r="BV41" s="99">
        <v>0.19503750376690418</v>
      </c>
      <c r="BW41" s="60">
        <v>2464475.06</v>
      </c>
      <c r="BX41" s="99">
        <v>0.26477468661253922</v>
      </c>
      <c r="BY41" s="60">
        <v>2125322.88</v>
      </c>
      <c r="BZ41" s="99">
        <v>0.21486828029245497</v>
      </c>
      <c r="CA41" s="60">
        <v>405071.15</v>
      </c>
      <c r="CB41" s="99">
        <v>3.8217672199980908E-2</v>
      </c>
      <c r="CC41" s="60">
        <v>135694.15</v>
      </c>
      <c r="CD41" s="99">
        <v>1.5528834217152251E-2</v>
      </c>
      <c r="CE41" s="60">
        <v>1172968.33</v>
      </c>
      <c r="CF41" s="99">
        <v>0.11229266200073815</v>
      </c>
      <c r="CG41" s="60">
        <v>1563906.1</v>
      </c>
      <c r="CH41" s="99">
        <v>0.14976874188540937</v>
      </c>
      <c r="CI41" s="60">
        <v>710692.68</v>
      </c>
      <c r="CJ41" s="99">
        <v>8.5077009306971235E-2</v>
      </c>
      <c r="CK41" s="60">
        <v>599464.89</v>
      </c>
      <c r="CL41" s="99">
        <v>9.1766801502675008E-2</v>
      </c>
      <c r="CM41" s="60">
        <v>1415125.59</v>
      </c>
      <c r="CN41" s="99">
        <v>0.2335765151936135</v>
      </c>
      <c r="CO41" s="60">
        <v>473909.82</v>
      </c>
      <c r="CP41" s="99">
        <v>6.0108357789068478E-2</v>
      </c>
      <c r="CQ41" s="60">
        <v>835155.51</v>
      </c>
      <c r="CR41" s="99">
        <v>0.10892740462943674</v>
      </c>
      <c r="CS41" s="60">
        <v>1807635.67</v>
      </c>
      <c r="CT41" s="99">
        <v>0.2538157651633694</v>
      </c>
      <c r="CU41" s="60">
        <v>1328607.98</v>
      </c>
      <c r="CV41" s="99">
        <v>0.11227566085949864</v>
      </c>
      <c r="CW41" s="60">
        <v>1418875.71</v>
      </c>
      <c r="CX41" s="99">
        <v>0.12529412059853068</v>
      </c>
      <c r="CY41" s="60">
        <v>497783.63</v>
      </c>
      <c r="CZ41" s="99">
        <v>4.7114213117341E-2</v>
      </c>
      <c r="DA41" s="60">
        <v>0</v>
      </c>
      <c r="DB41" s="99">
        <v>0</v>
      </c>
      <c r="DC41" s="60">
        <v>0</v>
      </c>
      <c r="DD41" s="99">
        <v>0</v>
      </c>
      <c r="DE41" s="60">
        <v>0</v>
      </c>
      <c r="DF41" s="99">
        <v>0</v>
      </c>
      <c r="DG41" s="60">
        <v>537378.12</v>
      </c>
      <c r="DH41" s="99">
        <v>5.7193406508000248E-2</v>
      </c>
      <c r="DI41" s="60">
        <v>539002.13</v>
      </c>
      <c r="DJ41" s="99">
        <v>5.8246037141972212E-2</v>
      </c>
      <c r="DK41" s="60">
        <v>449239.26</v>
      </c>
      <c r="DL41" s="99">
        <v>6.8220629907820046E-2</v>
      </c>
      <c r="DM41" s="60">
        <v>134179.21</v>
      </c>
      <c r="DN41" s="99">
        <v>1.4687025620809984E-2</v>
      </c>
      <c r="DO41" s="60">
        <v>267373.53000000003</v>
      </c>
      <c r="DP41" s="99">
        <v>4.8078409457816246E-2</v>
      </c>
      <c r="DQ41" s="60">
        <v>535021.9</v>
      </c>
      <c r="DR41" s="99">
        <v>7.7066369628064638E-2</v>
      </c>
      <c r="DS41" s="60">
        <v>584322.05000000005</v>
      </c>
      <c r="DT41" s="99">
        <v>6.27775822323976E-2</v>
      </c>
      <c r="DU41" s="60">
        <v>893860.77</v>
      </c>
      <c r="DV41" s="99">
        <v>9.4588270310300857E-2</v>
      </c>
      <c r="DW41" s="60">
        <v>447575.26</v>
      </c>
      <c r="DX41" s="99">
        <v>4.7854601592585033E-2</v>
      </c>
      <c r="DY41" s="60">
        <v>537479.68999999994</v>
      </c>
      <c r="DZ41" s="99">
        <v>5.3202291609360269E-2</v>
      </c>
      <c r="EA41" s="60">
        <v>0</v>
      </c>
      <c r="EB41" s="99">
        <v>0</v>
      </c>
      <c r="EC41" s="60">
        <v>0</v>
      </c>
      <c r="ED41" s="99">
        <v>0</v>
      </c>
      <c r="EE41" s="60">
        <v>0</v>
      </c>
      <c r="EF41" s="99">
        <v>0</v>
      </c>
      <c r="EG41" s="60">
        <v>0</v>
      </c>
      <c r="EH41" s="99">
        <v>0</v>
      </c>
      <c r="EI41" s="60">
        <v>0</v>
      </c>
      <c r="EJ41" s="99">
        <v>0</v>
      </c>
      <c r="EK41" s="60">
        <v>0</v>
      </c>
      <c r="EL41" s="99">
        <v>0</v>
      </c>
      <c r="EM41" s="60">
        <v>0</v>
      </c>
      <c r="EN41" s="99">
        <v>0</v>
      </c>
      <c r="EO41" s="60">
        <v>0</v>
      </c>
      <c r="EP41" s="99">
        <v>0</v>
      </c>
      <c r="EQ41" s="60">
        <v>0</v>
      </c>
      <c r="ER41" s="99">
        <v>0</v>
      </c>
      <c r="ES41" s="60">
        <f t="shared" si="4"/>
        <v>0</v>
      </c>
      <c r="ET41" s="99">
        <f>ES41/ES46</f>
        <v>0</v>
      </c>
      <c r="EU41" s="221">
        <f>IF( SUM($EQ41:ES41)&lt;0, "n/a", SUM($EQ41:ES41)/EU$74)</f>
        <v>0</v>
      </c>
      <c r="EV41" s="224">
        <f>EU41/EU46</f>
        <v>0</v>
      </c>
      <c r="EW41" s="22"/>
      <c r="EX41" s="96"/>
      <c r="EY41" s="153"/>
      <c r="EZ41" s="155"/>
      <c r="FA41" s="17"/>
      <c r="FB41" s="17"/>
      <c r="FC41" s="185"/>
    </row>
    <row r="42" spans="1:159" ht="21" customHeight="1" x14ac:dyDescent="0.3">
      <c r="A42" s="152"/>
      <c r="B42" s="14" t="s">
        <v>80</v>
      </c>
      <c r="C42" s="60">
        <v>505692.93000000005</v>
      </c>
      <c r="D42" s="99">
        <v>5.5159733395374007E-2</v>
      </c>
      <c r="E42" s="60">
        <v>443472.98</v>
      </c>
      <c r="F42" s="99">
        <v>4.0336150544435088E-2</v>
      </c>
      <c r="G42" s="60">
        <v>542252.33000000007</v>
      </c>
      <c r="H42" s="99">
        <v>4.6026968474032807E-2</v>
      </c>
      <c r="I42" s="60">
        <v>605185.04</v>
      </c>
      <c r="J42" s="99">
        <v>4.7593448150709643E-2</v>
      </c>
      <c r="K42" s="60">
        <v>642585.29</v>
      </c>
      <c r="L42" s="99">
        <v>5.7135753078739089E-2</v>
      </c>
      <c r="M42" s="60">
        <v>563862.22</v>
      </c>
      <c r="N42" s="99">
        <v>5.632682772588981E-2</v>
      </c>
      <c r="O42" s="60">
        <v>644443.82000000007</v>
      </c>
      <c r="P42" s="99">
        <v>6.5726292692812147E-2</v>
      </c>
      <c r="Q42" s="60">
        <v>672534.97</v>
      </c>
      <c r="R42" s="99">
        <v>6.1416284953939047E-2</v>
      </c>
      <c r="S42" s="60">
        <v>662163.6</v>
      </c>
      <c r="T42" s="99">
        <v>6.4957501357097339E-2</v>
      </c>
      <c r="U42" s="60">
        <v>654475.61</v>
      </c>
      <c r="V42" s="99">
        <v>6.8983580851113044E-2</v>
      </c>
      <c r="W42" s="60">
        <v>552182.27</v>
      </c>
      <c r="X42" s="99">
        <v>6.7114057929075363E-2</v>
      </c>
      <c r="Y42" s="60">
        <v>499438</v>
      </c>
      <c r="Z42" s="99">
        <v>5.5057202257923613E-2</v>
      </c>
      <c r="AA42" s="60">
        <v>560120.36</v>
      </c>
      <c r="AB42" s="99">
        <v>5.8926043956197827E-2</v>
      </c>
      <c r="AC42" s="60">
        <v>312273.62</v>
      </c>
      <c r="AD42" s="99">
        <v>3.1050621273748018E-2</v>
      </c>
      <c r="AE42" s="60">
        <v>525786.88</v>
      </c>
      <c r="AF42" s="99">
        <v>4.5489429602841538E-2</v>
      </c>
      <c r="AG42" s="60">
        <v>521845.57</v>
      </c>
      <c r="AH42" s="99">
        <v>5.3641913100976921E-2</v>
      </c>
      <c r="AI42" s="60">
        <v>383877.58</v>
      </c>
      <c r="AJ42" s="99">
        <v>4.9087467522392902E-2</v>
      </c>
      <c r="AK42" s="60">
        <v>500296.1</v>
      </c>
      <c r="AL42" s="99">
        <v>4.7895190712496601E-2</v>
      </c>
      <c r="AM42" s="60">
        <v>508604.87</v>
      </c>
      <c r="AN42" s="99">
        <v>5.4975685387580804E-2</v>
      </c>
      <c r="AO42" s="60">
        <v>365621.64</v>
      </c>
      <c r="AP42" s="99">
        <v>3.3486009202015159E-2</v>
      </c>
      <c r="AQ42" s="60">
        <v>389024.76</v>
      </c>
      <c r="AR42" s="99">
        <v>2.8063095873752254E-2</v>
      </c>
      <c r="AS42" s="60">
        <v>416891.82</v>
      </c>
      <c r="AT42" s="99">
        <v>4.1034841161466398E-2</v>
      </c>
      <c r="AU42" s="60">
        <v>342025.95</v>
      </c>
      <c r="AV42" s="99">
        <v>3.8881933296049144E-2</v>
      </c>
      <c r="AW42" s="60">
        <v>278371.49</v>
      </c>
      <c r="AX42" s="99">
        <v>3.6162931919818585E-2</v>
      </c>
      <c r="AY42" s="60">
        <v>339513.70999999996</v>
      </c>
      <c r="AZ42" s="99">
        <v>3.0226880013847067E-2</v>
      </c>
      <c r="BA42" s="60">
        <v>320371.17000000004</v>
      </c>
      <c r="BB42" s="99">
        <v>2.7161239634212346E-2</v>
      </c>
      <c r="BC42" s="60">
        <v>443273.47</v>
      </c>
      <c r="BD42" s="99">
        <v>2.9222669637179056E-2</v>
      </c>
      <c r="BE42" s="60">
        <v>387879.57999999996</v>
      </c>
      <c r="BF42" s="99">
        <v>3.2776440683321924E-2</v>
      </c>
      <c r="BG42" s="60">
        <v>408316.54</v>
      </c>
      <c r="BH42" s="99">
        <v>2.8156274156792602E-2</v>
      </c>
      <c r="BI42" s="60">
        <v>343131.35</v>
      </c>
      <c r="BJ42" s="99">
        <v>2.5589908364869761E-2</v>
      </c>
      <c r="BK42" s="60">
        <v>332069.18</v>
      </c>
      <c r="BL42" s="99">
        <v>3.3778963462639179E-2</v>
      </c>
      <c r="BM42" s="60">
        <v>308301.17000000004</v>
      </c>
      <c r="BN42" s="99">
        <v>4.1316080904110895E-2</v>
      </c>
      <c r="BO42" s="60">
        <v>269245.17000000004</v>
      </c>
      <c r="BP42" s="99">
        <v>3.731606322615659E-2</v>
      </c>
      <c r="BQ42" s="60">
        <v>206590.52000000002</v>
      </c>
      <c r="BR42" s="99">
        <v>2.6127694754159554E-2</v>
      </c>
      <c r="BS42" s="60">
        <v>182258.19</v>
      </c>
      <c r="BT42" s="99">
        <v>2.6132694284108752E-2</v>
      </c>
      <c r="BU42" s="60">
        <v>179552.53999999998</v>
      </c>
      <c r="BV42" s="99">
        <v>2.8359685028383964E-2</v>
      </c>
      <c r="BW42" s="60">
        <v>291830.19999999995</v>
      </c>
      <c r="BX42" s="99">
        <v>3.1353228524485306E-2</v>
      </c>
      <c r="BY42" s="60">
        <v>267794.81</v>
      </c>
      <c r="BZ42" s="99">
        <v>2.7073820565063848E-2</v>
      </c>
      <c r="CA42" s="60">
        <v>271384.93999999994</v>
      </c>
      <c r="CB42" s="99">
        <v>2.5604639276165398E-2</v>
      </c>
      <c r="CC42" s="60">
        <v>207119.33000000002</v>
      </c>
      <c r="CD42" s="99">
        <v>2.3702729548308821E-2</v>
      </c>
      <c r="CE42" s="60">
        <v>278015.45</v>
      </c>
      <c r="CF42" s="99">
        <v>2.661546280438204E-2</v>
      </c>
      <c r="CG42" s="60">
        <v>252377.3</v>
      </c>
      <c r="CH42" s="99">
        <v>2.4169117763167828E-2</v>
      </c>
      <c r="CI42" s="60">
        <v>167723.13</v>
      </c>
      <c r="CJ42" s="99">
        <v>2.0078133198169913E-2</v>
      </c>
      <c r="CK42" s="60">
        <v>196272.57</v>
      </c>
      <c r="CL42" s="99">
        <v>3.0045639489595273E-2</v>
      </c>
      <c r="CM42" s="60">
        <v>159851.28000000003</v>
      </c>
      <c r="CN42" s="99">
        <v>2.6384587485015071E-2</v>
      </c>
      <c r="CO42" s="60">
        <v>147567.24</v>
      </c>
      <c r="CP42" s="99">
        <v>1.8716692681880566E-2</v>
      </c>
      <c r="CQ42" s="60">
        <v>134017.78999999998</v>
      </c>
      <c r="CR42" s="99">
        <v>1.7479630876018382E-2</v>
      </c>
      <c r="CS42" s="60">
        <v>99133.440000000002</v>
      </c>
      <c r="CT42" s="99">
        <v>1.3919635656933552E-2</v>
      </c>
      <c r="CU42" s="60">
        <v>223996.78999999998</v>
      </c>
      <c r="CV42" s="99">
        <v>1.8929125826608641E-2</v>
      </c>
      <c r="CW42" s="60">
        <v>212646.75</v>
      </c>
      <c r="CX42" s="99">
        <v>1.8777816373631209E-2</v>
      </c>
      <c r="CY42" s="60">
        <v>156521.45000000001</v>
      </c>
      <c r="CZ42" s="99">
        <v>1.481443845940702E-2</v>
      </c>
      <c r="DA42" s="60">
        <v>177884.05</v>
      </c>
      <c r="DB42" s="99">
        <v>1.4677825634136013E-2</v>
      </c>
      <c r="DC42" s="60">
        <v>209080.3</v>
      </c>
      <c r="DD42" s="99">
        <v>1.9034364859570014E-2</v>
      </c>
      <c r="DE42" s="60">
        <v>138548.82</v>
      </c>
      <c r="DF42" s="99">
        <v>1.4575989476380519E-2</v>
      </c>
      <c r="DG42" s="60">
        <v>183853.95</v>
      </c>
      <c r="DH42" s="99">
        <v>1.9567662524949011E-2</v>
      </c>
      <c r="DI42" s="60">
        <v>173443.32</v>
      </c>
      <c r="DJ42" s="99">
        <v>1.8742757210898169E-2</v>
      </c>
      <c r="DK42" s="60">
        <v>177768.33000000002</v>
      </c>
      <c r="DL42" s="99">
        <v>2.6995564569003219E-2</v>
      </c>
      <c r="DM42" s="60">
        <v>134216.63</v>
      </c>
      <c r="DN42" s="99">
        <v>1.469112154967058E-2</v>
      </c>
      <c r="DO42" s="60">
        <v>147613.85</v>
      </c>
      <c r="DP42" s="99">
        <v>2.6543536759022737E-2</v>
      </c>
      <c r="DQ42" s="60">
        <v>123552.1</v>
      </c>
      <c r="DR42" s="99">
        <v>1.7796863655344958E-2</v>
      </c>
      <c r="DS42" s="60">
        <v>181432.28</v>
      </c>
      <c r="DT42" s="99">
        <v>1.9492469738753456E-2</v>
      </c>
      <c r="DU42" s="60">
        <v>157758.09999999998</v>
      </c>
      <c r="DV42" s="99">
        <v>1.669394866321236E-2</v>
      </c>
      <c r="DW42" s="60">
        <v>188683.95</v>
      </c>
      <c r="DX42" s="99">
        <v>2.0174026719361644E-2</v>
      </c>
      <c r="DY42" s="60">
        <v>170278.01</v>
      </c>
      <c r="DZ42" s="99">
        <v>1.6854925890653776E-2</v>
      </c>
      <c r="EA42" s="60">
        <v>176445.74</v>
      </c>
      <c r="EB42" s="99">
        <v>1.9814128432284764E-2</v>
      </c>
      <c r="EC42" s="60">
        <v>108463.89</v>
      </c>
      <c r="ED42" s="99">
        <v>1.5718742201506045E-2</v>
      </c>
      <c r="EE42" s="60">
        <v>129082.66</v>
      </c>
      <c r="EF42" s="99">
        <v>1.5595643747052535E-2</v>
      </c>
      <c r="EG42" s="60">
        <v>172892.28000000003</v>
      </c>
      <c r="EH42" s="99">
        <v>2.3981991912986146E-2</v>
      </c>
      <c r="EI42" s="60">
        <v>99617.87</v>
      </c>
      <c r="EJ42" s="99">
        <v>1.6124178485322823E-2</v>
      </c>
      <c r="EK42" s="60">
        <v>114186.78</v>
      </c>
      <c r="EL42" s="99">
        <v>1.9969568555317105E-2</v>
      </c>
      <c r="EM42" s="60">
        <v>118547.91</v>
      </c>
      <c r="EN42" s="99">
        <v>2.082255330773013E-2</v>
      </c>
      <c r="EO42" s="60">
        <v>112312.72</v>
      </c>
      <c r="EP42" s="99">
        <v>1.3976144885063352E-2</v>
      </c>
      <c r="EQ42" s="60">
        <v>132845.29999999999</v>
      </c>
      <c r="ER42" s="99">
        <v>1.253484522470984E-2</v>
      </c>
      <c r="ES42" s="60">
        <f t="shared" si="4"/>
        <v>123465.68</v>
      </c>
      <c r="ET42" s="99">
        <f>ES42/ES46</f>
        <v>1.2815777197029053E-2</v>
      </c>
      <c r="EU42" s="221">
        <f>IF( SUM($EQ42:ES42)&lt;0, "n/a", SUM($EQ42:ES42)/EU$74)</f>
        <v>128155.4962674226</v>
      </c>
      <c r="EV42" s="224">
        <f>EU42/EU46</f>
        <v>1.266861698629085E-2</v>
      </c>
      <c r="EW42" s="22"/>
      <c r="EX42" s="97"/>
      <c r="EY42" s="17"/>
      <c r="EZ42" s="155"/>
      <c r="FA42" s="17"/>
      <c r="FB42" s="17"/>
      <c r="FC42" s="185"/>
    </row>
    <row r="43" spans="1:159" ht="21" customHeight="1" x14ac:dyDescent="0.3">
      <c r="A43" s="5"/>
      <c r="B43" s="14" t="s">
        <v>81</v>
      </c>
      <c r="C43" s="18">
        <v>0</v>
      </c>
      <c r="D43" s="92">
        <v>0</v>
      </c>
      <c r="E43" s="18">
        <v>0</v>
      </c>
      <c r="F43" s="92">
        <v>0</v>
      </c>
      <c r="G43" s="18">
        <v>0</v>
      </c>
      <c r="H43" s="92">
        <v>0</v>
      </c>
      <c r="I43" s="18">
        <v>39401</v>
      </c>
      <c r="J43" s="92">
        <v>3.0986050986754571E-3</v>
      </c>
      <c r="K43" s="18">
        <v>0</v>
      </c>
      <c r="L43" s="92">
        <v>0</v>
      </c>
      <c r="M43" s="18">
        <v>0</v>
      </c>
      <c r="N43" s="92">
        <v>0</v>
      </c>
      <c r="O43" s="18">
        <v>0</v>
      </c>
      <c r="P43" s="92">
        <v>0</v>
      </c>
      <c r="Q43" s="18">
        <v>0</v>
      </c>
      <c r="R43" s="92">
        <v>0</v>
      </c>
      <c r="S43" s="18">
        <v>0</v>
      </c>
      <c r="T43" s="92">
        <v>0</v>
      </c>
      <c r="U43" s="18">
        <v>0</v>
      </c>
      <c r="V43" s="92">
        <v>0</v>
      </c>
      <c r="W43" s="18">
        <v>40499</v>
      </c>
      <c r="X43" s="92">
        <v>4.9223822997243698E-3</v>
      </c>
      <c r="Y43" s="18">
        <v>0</v>
      </c>
      <c r="Z43" s="92">
        <v>0</v>
      </c>
      <c r="AA43" s="18">
        <v>0</v>
      </c>
      <c r="AB43" s="92">
        <v>0</v>
      </c>
      <c r="AC43" s="18">
        <v>0</v>
      </c>
      <c r="AD43" s="92">
        <v>0</v>
      </c>
      <c r="AE43" s="18">
        <v>0</v>
      </c>
      <c r="AF43" s="92">
        <v>0</v>
      </c>
      <c r="AG43" s="18">
        <v>0</v>
      </c>
      <c r="AH43" s="92">
        <v>0</v>
      </c>
      <c r="AI43" s="18">
        <v>0</v>
      </c>
      <c r="AJ43" s="92">
        <v>0</v>
      </c>
      <c r="AK43" s="18">
        <v>0</v>
      </c>
      <c r="AL43" s="92">
        <v>0</v>
      </c>
      <c r="AM43" s="18">
        <v>0</v>
      </c>
      <c r="AN43" s="92">
        <v>0</v>
      </c>
      <c r="AO43" s="18">
        <v>37814</v>
      </c>
      <c r="AP43" s="92">
        <v>3.4632522078425149E-3</v>
      </c>
      <c r="AQ43" s="18">
        <v>0</v>
      </c>
      <c r="AR43" s="92">
        <v>0</v>
      </c>
      <c r="AS43" s="18">
        <v>0</v>
      </c>
      <c r="AT43" s="92">
        <v>0</v>
      </c>
      <c r="AU43" s="18">
        <v>0</v>
      </c>
      <c r="AV43" s="92">
        <v>0</v>
      </c>
      <c r="AW43" s="18">
        <v>0</v>
      </c>
      <c r="AX43" s="92">
        <v>0</v>
      </c>
      <c r="AY43" s="18">
        <v>0</v>
      </c>
      <c r="AZ43" s="92">
        <v>0</v>
      </c>
      <c r="BA43" s="18">
        <v>0</v>
      </c>
      <c r="BB43" s="92">
        <v>0</v>
      </c>
      <c r="BC43" s="18">
        <v>0</v>
      </c>
      <c r="BD43" s="92">
        <v>0</v>
      </c>
      <c r="BE43" s="18">
        <v>0</v>
      </c>
      <c r="BF43" s="92">
        <v>0</v>
      </c>
      <c r="BG43" s="18">
        <v>0</v>
      </c>
      <c r="BH43" s="92">
        <v>0</v>
      </c>
      <c r="BI43" s="18">
        <v>40055</v>
      </c>
      <c r="BJ43" s="92">
        <v>2.9872052773809747E-3</v>
      </c>
      <c r="BK43" s="18">
        <v>0</v>
      </c>
      <c r="BL43" s="92">
        <v>0</v>
      </c>
      <c r="BM43" s="18">
        <v>0</v>
      </c>
      <c r="BN43" s="92">
        <v>0</v>
      </c>
      <c r="BO43" s="18">
        <v>0</v>
      </c>
      <c r="BP43" s="92">
        <v>0</v>
      </c>
      <c r="BQ43" s="18">
        <v>0</v>
      </c>
      <c r="BR43" s="92">
        <v>0</v>
      </c>
      <c r="BS43" s="18">
        <v>0</v>
      </c>
      <c r="BT43" s="92">
        <v>0</v>
      </c>
      <c r="BU43" s="18">
        <v>37436</v>
      </c>
      <c r="BV43" s="92">
        <v>5.9128830409337692E-3</v>
      </c>
      <c r="BW43" s="18">
        <v>0</v>
      </c>
      <c r="BX43" s="92">
        <v>0</v>
      </c>
      <c r="BY43" s="18">
        <v>0</v>
      </c>
      <c r="BZ43" s="92">
        <v>0</v>
      </c>
      <c r="CA43" s="18">
        <v>0</v>
      </c>
      <c r="CB43" s="92">
        <v>0</v>
      </c>
      <c r="CC43" s="18">
        <v>0</v>
      </c>
      <c r="CD43" s="92">
        <v>0</v>
      </c>
      <c r="CE43" s="18">
        <v>0</v>
      </c>
      <c r="CF43" s="92">
        <v>0</v>
      </c>
      <c r="CG43" s="18">
        <v>0</v>
      </c>
      <c r="CH43" s="92">
        <v>0</v>
      </c>
      <c r="CI43" s="18">
        <v>0</v>
      </c>
      <c r="CJ43" s="92">
        <v>0</v>
      </c>
      <c r="CK43" s="18">
        <v>0</v>
      </c>
      <c r="CL43" s="92">
        <v>0</v>
      </c>
      <c r="CM43" s="18">
        <v>0</v>
      </c>
      <c r="CN43" s="92">
        <v>0</v>
      </c>
      <c r="CO43" s="18">
        <v>38087</v>
      </c>
      <c r="CP43" s="92">
        <v>4.8307651086703608E-3</v>
      </c>
      <c r="CQ43" s="18">
        <v>0</v>
      </c>
      <c r="CR43" s="92">
        <v>0</v>
      </c>
      <c r="CS43" s="18">
        <v>0</v>
      </c>
      <c r="CT43" s="92">
        <v>0</v>
      </c>
      <c r="CU43" s="18">
        <v>0</v>
      </c>
      <c r="CV43" s="92">
        <v>0</v>
      </c>
      <c r="CW43" s="18">
        <v>0</v>
      </c>
      <c r="CX43" s="92">
        <v>0</v>
      </c>
      <c r="CY43" s="18">
        <v>0</v>
      </c>
      <c r="CZ43" s="92">
        <v>0</v>
      </c>
      <c r="DA43" s="18">
        <v>40110</v>
      </c>
      <c r="DB43" s="92">
        <v>3.309614246950165E-3</v>
      </c>
      <c r="DC43" s="18">
        <v>0</v>
      </c>
      <c r="DD43" s="92">
        <v>0</v>
      </c>
      <c r="DE43" s="18">
        <v>0</v>
      </c>
      <c r="DF43" s="92">
        <v>0</v>
      </c>
      <c r="DG43" s="18">
        <v>0</v>
      </c>
      <c r="DH43" s="92">
        <v>0</v>
      </c>
      <c r="DI43" s="18">
        <v>0</v>
      </c>
      <c r="DJ43" s="92">
        <v>0</v>
      </c>
      <c r="DK43" s="18">
        <v>0</v>
      </c>
      <c r="DL43" s="92">
        <v>0</v>
      </c>
      <c r="DM43" s="18">
        <v>0</v>
      </c>
      <c r="DN43" s="92">
        <v>0</v>
      </c>
      <c r="DO43" s="18">
        <v>0</v>
      </c>
      <c r="DP43" s="92">
        <v>0</v>
      </c>
      <c r="DQ43" s="18">
        <v>0</v>
      </c>
      <c r="DR43" s="92">
        <v>0</v>
      </c>
      <c r="DS43" s="18">
        <v>0</v>
      </c>
      <c r="DT43" s="92">
        <v>0</v>
      </c>
      <c r="DU43" s="18">
        <v>0</v>
      </c>
      <c r="DV43" s="92">
        <v>0</v>
      </c>
      <c r="DW43" s="18">
        <v>40055</v>
      </c>
      <c r="DX43" s="92">
        <v>4.2826676049766326E-3</v>
      </c>
      <c r="DY43" s="18">
        <v>0</v>
      </c>
      <c r="DZ43" s="92">
        <v>0</v>
      </c>
      <c r="EA43" s="18">
        <v>0</v>
      </c>
      <c r="EB43" s="92">
        <v>0</v>
      </c>
      <c r="EC43" s="18">
        <v>0</v>
      </c>
      <c r="ED43" s="92">
        <v>0</v>
      </c>
      <c r="EE43" s="18">
        <v>0</v>
      </c>
      <c r="EF43" s="92">
        <v>0</v>
      </c>
      <c r="EG43" s="18">
        <v>0</v>
      </c>
      <c r="EH43" s="92">
        <v>0</v>
      </c>
      <c r="EI43" s="18">
        <v>0</v>
      </c>
      <c r="EJ43" s="92">
        <v>0</v>
      </c>
      <c r="EK43" s="18">
        <v>0</v>
      </c>
      <c r="EL43" s="92">
        <v>0</v>
      </c>
      <c r="EM43" s="18">
        <v>0</v>
      </c>
      <c r="EN43" s="92">
        <v>0</v>
      </c>
      <c r="EO43" s="18">
        <v>0</v>
      </c>
      <c r="EP43" s="92">
        <v>0</v>
      </c>
      <c r="EQ43" s="18">
        <v>0</v>
      </c>
      <c r="ER43" s="92">
        <v>0</v>
      </c>
      <c r="ES43" s="18">
        <f t="shared" si="4"/>
        <v>0</v>
      </c>
      <c r="ET43" s="92">
        <f>ES43/ES46</f>
        <v>0</v>
      </c>
      <c r="EU43" s="221">
        <f>IF( SUM($EQ43:ES43)&lt;0, "n/a", SUM($EQ43:ES43)/EU$74)</f>
        <v>0</v>
      </c>
      <c r="EV43" s="224">
        <f>EU43/EU46</f>
        <v>0</v>
      </c>
      <c r="EW43" s="22"/>
      <c r="EX43" s="97"/>
      <c r="EY43" s="43"/>
      <c r="EZ43" s="42"/>
      <c r="FA43" s="43"/>
      <c r="FB43" s="43"/>
      <c r="FC43" s="185"/>
    </row>
    <row r="44" spans="1:159" ht="21" customHeight="1" x14ac:dyDescent="0.3">
      <c r="A44" s="5" t="s">
        <v>92</v>
      </c>
      <c r="B44" s="14" t="s">
        <v>82</v>
      </c>
      <c r="C44" s="18">
        <v>28.71</v>
      </c>
      <c r="D44" s="92">
        <v>3.131615753024642E-6</v>
      </c>
      <c r="E44" s="18">
        <v>90.88</v>
      </c>
      <c r="F44" s="92">
        <v>8.2660038532184325E-6</v>
      </c>
      <c r="G44" s="18">
        <v>1323</v>
      </c>
      <c r="H44" s="92">
        <v>1.1229768121262916E-4</v>
      </c>
      <c r="I44" s="18">
        <v>490.41999999999996</v>
      </c>
      <c r="J44" s="92">
        <v>3.8568003667227167E-5</v>
      </c>
      <c r="K44" s="18">
        <v>280.28999999999996</v>
      </c>
      <c r="L44" s="92">
        <v>2.492210836391816E-5</v>
      </c>
      <c r="M44" s="18">
        <v>2394.34</v>
      </c>
      <c r="N44" s="92">
        <v>2.3918179284508018E-4</v>
      </c>
      <c r="O44" s="18">
        <v>2</v>
      </c>
      <c r="P44" s="92">
        <v>2.0397834738429844E-7</v>
      </c>
      <c r="Q44" s="18">
        <v>0</v>
      </c>
      <c r="R44" s="92">
        <v>0</v>
      </c>
      <c r="S44" s="18">
        <v>181.92</v>
      </c>
      <c r="T44" s="92">
        <v>1.784614655182367E-5</v>
      </c>
      <c r="U44" s="18">
        <v>8593.9299999999985</v>
      </c>
      <c r="V44" s="92">
        <v>9.0582453482690635E-4</v>
      </c>
      <c r="W44" s="18">
        <v>172.4</v>
      </c>
      <c r="X44" s="92">
        <v>2.0954065741684519E-5</v>
      </c>
      <c r="Y44" s="18">
        <v>207.6</v>
      </c>
      <c r="Z44" s="92">
        <v>2.288547364987234E-5</v>
      </c>
      <c r="AA44" s="18">
        <v>22.28</v>
      </c>
      <c r="AB44" s="92">
        <v>2.3439109753912312E-6</v>
      </c>
      <c r="AC44" s="18">
        <v>9.23</v>
      </c>
      <c r="AD44" s="92">
        <v>9.1777600156136855E-7</v>
      </c>
      <c r="AE44" s="18">
        <v>216.33</v>
      </c>
      <c r="AF44" s="92">
        <v>1.8716192206969313E-5</v>
      </c>
      <c r="AG44" s="18">
        <v>167.76</v>
      </c>
      <c r="AH44" s="92">
        <v>1.7244502701862328E-5</v>
      </c>
      <c r="AI44" s="18">
        <v>0</v>
      </c>
      <c r="AJ44" s="92">
        <v>0</v>
      </c>
      <c r="AK44" s="18">
        <v>43</v>
      </c>
      <c r="AL44" s="92">
        <v>4.1165485812049187E-6</v>
      </c>
      <c r="AM44" s="18">
        <v>1061.19</v>
      </c>
      <c r="AN44" s="92">
        <v>1.1470524766396137E-4</v>
      </c>
      <c r="AO44" s="18">
        <v>45.8</v>
      </c>
      <c r="AP44" s="92">
        <v>4.194662059533167E-6</v>
      </c>
      <c r="AQ44" s="18">
        <v>72.47999999999999</v>
      </c>
      <c r="AR44" s="92">
        <v>5.2284928828940427E-6</v>
      </c>
      <c r="AS44" s="18">
        <v>2350.36</v>
      </c>
      <c r="AT44" s="92">
        <v>2.3134694576704376E-4</v>
      </c>
      <c r="AU44" s="18">
        <v>0</v>
      </c>
      <c r="AV44" s="92">
        <v>0</v>
      </c>
      <c r="AW44" s="18">
        <v>31.14</v>
      </c>
      <c r="AX44" s="92">
        <v>4.0453629068952098E-6</v>
      </c>
      <c r="AY44" s="18">
        <v>88</v>
      </c>
      <c r="AZ44" s="92">
        <v>7.8346333678794361E-6</v>
      </c>
      <c r="BA44" s="18">
        <v>0</v>
      </c>
      <c r="BB44" s="92">
        <v>0</v>
      </c>
      <c r="BC44" s="18">
        <v>0</v>
      </c>
      <c r="BD44" s="92">
        <v>0</v>
      </c>
      <c r="BE44" s="18">
        <v>0</v>
      </c>
      <c r="BF44" s="92">
        <v>0</v>
      </c>
      <c r="BG44" s="18">
        <v>49.84</v>
      </c>
      <c r="BH44" s="92">
        <v>3.4368157213874888E-6</v>
      </c>
      <c r="BI44" s="18">
        <v>129.1</v>
      </c>
      <c r="BJ44" s="92">
        <v>9.6279665787013819E-6</v>
      </c>
      <c r="BK44" s="18">
        <v>70.5</v>
      </c>
      <c r="BL44" s="92">
        <v>7.1714482027993753E-6</v>
      </c>
      <c r="BM44" s="18">
        <v>8.6300000000000008</v>
      </c>
      <c r="BN44" s="92">
        <v>1.1565242460885797E-6</v>
      </c>
      <c r="BO44" s="18">
        <v>16.989999999999998</v>
      </c>
      <c r="BP44" s="92">
        <v>2.3547308730269896E-6</v>
      </c>
      <c r="BQ44" s="18">
        <v>982.93</v>
      </c>
      <c r="BR44" s="92">
        <v>1.2431206913417927E-4</v>
      </c>
      <c r="BS44" s="18">
        <v>346.77</v>
      </c>
      <c r="BT44" s="92">
        <v>4.9720862458364103E-5</v>
      </c>
      <c r="BU44" s="18">
        <v>0</v>
      </c>
      <c r="BV44" s="92">
        <v>0</v>
      </c>
      <c r="BW44" s="18">
        <v>252.66</v>
      </c>
      <c r="BX44" s="92">
        <v>2.7144917554785138E-5</v>
      </c>
      <c r="BY44" s="18">
        <v>6889.99</v>
      </c>
      <c r="BZ44" s="92">
        <v>6.9657194982637738E-4</v>
      </c>
      <c r="CA44" s="18">
        <v>339.4</v>
      </c>
      <c r="CB44" s="92">
        <v>3.2021727404367159E-5</v>
      </c>
      <c r="CC44" s="18">
        <v>237.48</v>
      </c>
      <c r="CD44" s="92">
        <v>2.7177203659032585E-5</v>
      </c>
      <c r="CE44" s="18">
        <v>31.46</v>
      </c>
      <c r="CF44" s="92">
        <v>3.0117839128216039E-6</v>
      </c>
      <c r="CG44" s="18">
        <v>0</v>
      </c>
      <c r="CH44" s="92">
        <v>0</v>
      </c>
      <c r="CI44" s="18">
        <v>180</v>
      </c>
      <c r="CJ44" s="92">
        <v>2.1547797108667028E-5</v>
      </c>
      <c r="CK44" s="18">
        <v>43278.58</v>
      </c>
      <c r="CL44" s="92">
        <v>6.6251367284873696E-3</v>
      </c>
      <c r="CM44" s="18">
        <v>105.71</v>
      </c>
      <c r="CN44" s="92">
        <v>1.7448185232179201E-5</v>
      </c>
      <c r="CO44" s="18">
        <v>1371.73</v>
      </c>
      <c r="CP44" s="92">
        <v>1.7398339124941303E-4</v>
      </c>
      <c r="CQ44" s="18">
        <v>453.2</v>
      </c>
      <c r="CR44" s="92">
        <v>5.910982947123312E-5</v>
      </c>
      <c r="CS44" s="18">
        <v>1100.24</v>
      </c>
      <c r="CT44" s="92">
        <v>1.5448813170595687E-4</v>
      </c>
      <c r="CU44" s="18">
        <v>73.87</v>
      </c>
      <c r="CV44" s="92">
        <v>6.2424757283869128E-6</v>
      </c>
      <c r="CW44" s="18">
        <v>91.11</v>
      </c>
      <c r="CX44" s="92">
        <v>8.0454878797890841E-6</v>
      </c>
      <c r="CY44" s="18">
        <v>146.86000000000001</v>
      </c>
      <c r="CZ44" s="92">
        <v>1.3900001770674338E-5</v>
      </c>
      <c r="DA44" s="18">
        <v>69.28</v>
      </c>
      <c r="DB44" s="92">
        <v>5.7165314143282829E-6</v>
      </c>
      <c r="DC44" s="18">
        <v>162.32</v>
      </c>
      <c r="DD44" s="92">
        <v>1.4777375505991738E-5</v>
      </c>
      <c r="DE44" s="18">
        <v>28.7</v>
      </c>
      <c r="DF44" s="92">
        <v>3.0193753939739141E-6</v>
      </c>
      <c r="DG44" s="18">
        <v>36.1</v>
      </c>
      <c r="DH44" s="92">
        <v>3.8421400092337385E-6</v>
      </c>
      <c r="DI44" s="18">
        <v>51487.97</v>
      </c>
      <c r="DJ44" s="92">
        <v>5.563930170340424E-3</v>
      </c>
      <c r="DK44" s="18">
        <v>73.84</v>
      </c>
      <c r="DL44" s="92">
        <v>1.121320365542725E-5</v>
      </c>
      <c r="DM44" s="18">
        <v>98.25</v>
      </c>
      <c r="DN44" s="92">
        <v>1.0754276070373206E-5</v>
      </c>
      <c r="DO44" s="18">
        <v>5.73</v>
      </c>
      <c r="DP44" s="92">
        <v>1.0303536262295191E-6</v>
      </c>
      <c r="DQ44" s="18">
        <v>112.82</v>
      </c>
      <c r="DR44" s="92">
        <v>1.6250975560884986E-5</v>
      </c>
      <c r="DS44" s="18">
        <v>148.13</v>
      </c>
      <c r="DT44" s="92">
        <v>1.5914585554464451E-5</v>
      </c>
      <c r="DU44" s="18">
        <v>177.76000000000002</v>
      </c>
      <c r="DV44" s="92">
        <v>1.8810548012258197E-5</v>
      </c>
      <c r="DW44" s="18">
        <v>531.84</v>
      </c>
      <c r="DX44" s="92">
        <v>5.686416025541811E-5</v>
      </c>
      <c r="DY44" s="18">
        <v>30110.02</v>
      </c>
      <c r="DZ44" s="92">
        <v>2.9804327385908667E-3</v>
      </c>
      <c r="EA44" s="18">
        <v>773.87</v>
      </c>
      <c r="EB44" s="92">
        <v>8.6902407334357924E-5</v>
      </c>
      <c r="EC44" s="18">
        <v>195.03</v>
      </c>
      <c r="ED44" s="92">
        <v>2.8264026779416855E-5</v>
      </c>
      <c r="EE44" s="18">
        <v>265.76</v>
      </c>
      <c r="EF44" s="92">
        <v>3.2108869481126913E-5</v>
      </c>
      <c r="EG44" s="18">
        <v>53.05</v>
      </c>
      <c r="EH44" s="92">
        <v>7.3585973357741292E-6</v>
      </c>
      <c r="EI44" s="18">
        <v>1395.0900000000001</v>
      </c>
      <c r="EJ44" s="92">
        <v>2.2580968819237976E-4</v>
      </c>
      <c r="EK44" s="18">
        <v>0</v>
      </c>
      <c r="EL44" s="92">
        <v>0</v>
      </c>
      <c r="EM44" s="18">
        <v>7565.25</v>
      </c>
      <c r="EN44" s="92">
        <v>1.3288114603733239E-3</v>
      </c>
      <c r="EO44" s="18">
        <v>10.220000000000001</v>
      </c>
      <c r="EP44" s="92">
        <v>1.2717722509556128E-6</v>
      </c>
      <c r="EQ44" s="18">
        <v>697.73</v>
      </c>
      <c r="ER44" s="92">
        <v>6.5835506100982096E-5</v>
      </c>
      <c r="ES44" s="18">
        <f t="shared" si="4"/>
        <v>0</v>
      </c>
      <c r="ET44" s="92">
        <f>ES44/ES46</f>
        <v>0</v>
      </c>
      <c r="EU44" s="221">
        <f>IF( SUM($EQ44:ES44)&lt;0, "n/a", SUM($EQ44:ES44)/EU$74)</f>
        <v>348.86503291775307</v>
      </c>
      <c r="EV44" s="224">
        <f>EU44/EU46</f>
        <v>3.4486523096303945E-5</v>
      </c>
      <c r="EW44" s="22"/>
      <c r="EX44" s="97"/>
      <c r="EY44" s="43"/>
      <c r="EZ44" s="42"/>
      <c r="FA44" s="43"/>
      <c r="FB44" s="43"/>
      <c r="FC44" s="185"/>
    </row>
    <row r="45" spans="1:159" ht="21" customHeight="1" x14ac:dyDescent="0.3">
      <c r="A45" s="3"/>
      <c r="B45" s="14" t="s">
        <v>102</v>
      </c>
      <c r="C45" s="18">
        <v>0</v>
      </c>
      <c r="D45" s="92">
        <v>0</v>
      </c>
      <c r="E45" s="18">
        <v>0</v>
      </c>
      <c r="F45" s="92">
        <v>0</v>
      </c>
      <c r="G45" s="18">
        <v>0</v>
      </c>
      <c r="H45" s="92">
        <v>0</v>
      </c>
      <c r="I45" s="18">
        <v>0</v>
      </c>
      <c r="J45" s="92">
        <v>0</v>
      </c>
      <c r="K45" s="18">
        <v>5191.9799999999996</v>
      </c>
      <c r="L45" s="92">
        <v>4.6164718036068291E-4</v>
      </c>
      <c r="M45" s="18">
        <v>0</v>
      </c>
      <c r="N45" s="92">
        <v>0</v>
      </c>
      <c r="O45" s="18">
        <v>0</v>
      </c>
      <c r="P45" s="92">
        <v>0</v>
      </c>
      <c r="Q45" s="18">
        <v>3135.01</v>
      </c>
      <c r="R45" s="92">
        <v>2.8629093814028505E-4</v>
      </c>
      <c r="S45" s="18">
        <v>1034.2</v>
      </c>
      <c r="T45" s="92">
        <v>1.0145385204428343E-4</v>
      </c>
      <c r="U45" s="18">
        <v>693</v>
      </c>
      <c r="V45" s="92">
        <v>7.3044160545297231E-5</v>
      </c>
      <c r="W45" s="18">
        <v>0</v>
      </c>
      <c r="X45" s="92">
        <v>0</v>
      </c>
      <c r="Y45" s="18">
        <v>0</v>
      </c>
      <c r="Z45" s="92">
        <v>0</v>
      </c>
      <c r="AA45" s="18">
        <v>0</v>
      </c>
      <c r="AB45" s="92">
        <v>0</v>
      </c>
      <c r="AC45" s="18">
        <v>0</v>
      </c>
      <c r="AD45" s="92">
        <v>0</v>
      </c>
      <c r="AE45" s="18">
        <v>522.49</v>
      </c>
      <c r="AF45" s="92">
        <v>4.5204193899225245E-5</v>
      </c>
      <c r="AG45" s="18">
        <v>0</v>
      </c>
      <c r="AH45" s="92">
        <v>0</v>
      </c>
      <c r="AI45" s="18">
        <v>17531.28</v>
      </c>
      <c r="AJ45" s="92">
        <v>2.2417723317573698E-3</v>
      </c>
      <c r="AK45" s="18">
        <v>6478.98</v>
      </c>
      <c r="AL45" s="92">
        <v>6.2025664945709392E-4</v>
      </c>
      <c r="AM45" s="18">
        <v>0</v>
      </c>
      <c r="AN45" s="92">
        <v>0</v>
      </c>
      <c r="AO45" s="18">
        <v>0</v>
      </c>
      <c r="AP45" s="92">
        <v>0</v>
      </c>
      <c r="AQ45" s="18">
        <v>30762.639999999999</v>
      </c>
      <c r="AR45" s="92">
        <v>2.2191258871279199E-3</v>
      </c>
      <c r="AS45" s="18">
        <v>0</v>
      </c>
      <c r="AT45" s="92">
        <v>0</v>
      </c>
      <c r="AU45" s="18">
        <v>0</v>
      </c>
      <c r="AV45" s="92">
        <v>0</v>
      </c>
      <c r="AW45" s="18">
        <v>12856.26</v>
      </c>
      <c r="AX45" s="92">
        <v>1.6701424959987348E-3</v>
      </c>
      <c r="AY45" s="18">
        <v>0</v>
      </c>
      <c r="AZ45" s="92">
        <v>0</v>
      </c>
      <c r="BA45" s="18">
        <v>0</v>
      </c>
      <c r="BB45" s="92">
        <v>0</v>
      </c>
      <c r="BC45" s="18">
        <v>4675.01</v>
      </c>
      <c r="BD45" s="92">
        <v>3.0819862235497304E-4</v>
      </c>
      <c r="BE45" s="18">
        <v>0</v>
      </c>
      <c r="BF45" s="92">
        <v>0</v>
      </c>
      <c r="BG45" s="18">
        <v>1766.12</v>
      </c>
      <c r="BH45" s="92">
        <v>1.2178629578364508E-4</v>
      </c>
      <c r="BI45" s="18">
        <v>2394.02</v>
      </c>
      <c r="BJ45" s="92">
        <v>1.7854023662852581E-4</v>
      </c>
      <c r="BK45" s="18">
        <v>0</v>
      </c>
      <c r="BL45" s="92">
        <v>0</v>
      </c>
      <c r="BM45" s="18">
        <v>0</v>
      </c>
      <c r="BN45" s="92">
        <v>0</v>
      </c>
      <c r="BO45" s="18">
        <v>0</v>
      </c>
      <c r="BP45" s="92">
        <v>0</v>
      </c>
      <c r="BQ45" s="18">
        <v>0</v>
      </c>
      <c r="BR45" s="92">
        <v>0</v>
      </c>
      <c r="BS45" s="18">
        <v>0</v>
      </c>
      <c r="BT45" s="92">
        <v>0</v>
      </c>
      <c r="BU45" s="18">
        <v>0</v>
      </c>
      <c r="BV45" s="92">
        <v>0</v>
      </c>
      <c r="BW45" s="18">
        <v>297</v>
      </c>
      <c r="BX45" s="92">
        <v>3.1908653976771893E-5</v>
      </c>
      <c r="BY45" s="18">
        <v>0</v>
      </c>
      <c r="BZ45" s="92">
        <v>0</v>
      </c>
      <c r="CA45" s="18">
        <v>0</v>
      </c>
      <c r="CB45" s="92">
        <v>0</v>
      </c>
      <c r="CC45" s="18">
        <v>0</v>
      </c>
      <c r="CD45" s="92">
        <v>0</v>
      </c>
      <c r="CE45" s="18">
        <v>0</v>
      </c>
      <c r="CF45" s="92">
        <v>0</v>
      </c>
      <c r="CG45" s="18">
        <v>0</v>
      </c>
      <c r="CH45" s="92">
        <v>0</v>
      </c>
      <c r="CI45" s="18">
        <v>0</v>
      </c>
      <c r="CJ45" s="92">
        <v>0</v>
      </c>
      <c r="CK45" s="18">
        <v>4961.01</v>
      </c>
      <c r="CL45" s="92">
        <v>7.5943733739399779E-4</v>
      </c>
      <c r="CM45" s="18">
        <v>0</v>
      </c>
      <c r="CN45" s="92">
        <v>0</v>
      </c>
      <c r="CO45" s="18">
        <v>0</v>
      </c>
      <c r="CP45" s="92">
        <v>0</v>
      </c>
      <c r="CQ45" s="18">
        <v>0</v>
      </c>
      <c r="CR45" s="92">
        <v>0</v>
      </c>
      <c r="CS45" s="18">
        <v>0</v>
      </c>
      <c r="CT45" s="92">
        <v>0</v>
      </c>
      <c r="CU45" s="18">
        <v>0</v>
      </c>
      <c r="CV45" s="92">
        <v>0</v>
      </c>
      <c r="CW45" s="18">
        <v>0</v>
      </c>
      <c r="CX45" s="92">
        <v>0</v>
      </c>
      <c r="CY45" s="18">
        <v>0</v>
      </c>
      <c r="CZ45" s="92">
        <v>0</v>
      </c>
      <c r="DA45" s="18">
        <v>0</v>
      </c>
      <c r="DB45" s="92">
        <v>0</v>
      </c>
      <c r="DC45" s="18">
        <v>1180.5</v>
      </c>
      <c r="DD45" s="92">
        <v>1.0747099423868438E-4</v>
      </c>
      <c r="DE45" s="18">
        <v>0</v>
      </c>
      <c r="DF45" s="92">
        <v>0</v>
      </c>
      <c r="DG45" s="18">
        <v>0</v>
      </c>
      <c r="DH45" s="92">
        <v>0</v>
      </c>
      <c r="DI45" s="18">
        <v>16362.49</v>
      </c>
      <c r="DJ45" s="92">
        <v>1.7681752023413135E-3</v>
      </c>
      <c r="DK45" s="18">
        <v>0</v>
      </c>
      <c r="DL45" s="92">
        <v>0</v>
      </c>
      <c r="DM45" s="18">
        <v>28359.32</v>
      </c>
      <c r="DN45" s="92">
        <v>3.1041624065959923E-3</v>
      </c>
      <c r="DO45" s="18">
        <v>0</v>
      </c>
      <c r="DP45" s="92">
        <v>0</v>
      </c>
      <c r="DQ45" s="18">
        <v>7012.56</v>
      </c>
      <c r="DR45" s="92">
        <v>1.010112933692959E-3</v>
      </c>
      <c r="DS45" s="18">
        <v>0</v>
      </c>
      <c r="DT45" s="92">
        <v>0</v>
      </c>
      <c r="DU45" s="18">
        <v>3953.71</v>
      </c>
      <c r="DV45" s="92">
        <v>4.1838125439663229E-4</v>
      </c>
      <c r="DW45" s="18">
        <v>0</v>
      </c>
      <c r="DX45" s="92">
        <v>0</v>
      </c>
      <c r="DY45" s="18">
        <v>451</v>
      </c>
      <c r="DZ45" s="92">
        <v>4.464212129731169E-5</v>
      </c>
      <c r="EA45" s="18">
        <v>1353</v>
      </c>
      <c r="EB45" s="92">
        <v>1.5193631633657627E-4</v>
      </c>
      <c r="EC45" s="18">
        <v>0</v>
      </c>
      <c r="ED45" s="92">
        <v>0</v>
      </c>
      <c r="EE45" s="18">
        <v>0</v>
      </c>
      <c r="EF45" s="92">
        <v>0</v>
      </c>
      <c r="EG45" s="18">
        <v>0</v>
      </c>
      <c r="EH45" s="92">
        <v>0</v>
      </c>
      <c r="EI45" s="18">
        <v>0</v>
      </c>
      <c r="EJ45" s="92">
        <v>0</v>
      </c>
      <c r="EK45" s="18">
        <v>1353.01</v>
      </c>
      <c r="EL45" s="92">
        <v>2.3662131422770306E-4</v>
      </c>
      <c r="EM45" s="18">
        <v>0</v>
      </c>
      <c r="EN45" s="92">
        <v>0</v>
      </c>
      <c r="EO45" s="18">
        <v>3656.7</v>
      </c>
      <c r="EP45" s="92">
        <v>4.5503812035904001E-4</v>
      </c>
      <c r="EQ45" s="18">
        <v>1725</v>
      </c>
      <c r="ER45" s="92">
        <v>1.6276532186403642E-4</v>
      </c>
      <c r="ES45" s="18">
        <f t="shared" si="4"/>
        <v>0</v>
      </c>
      <c r="ET45" s="92">
        <f>ES45/ES46</f>
        <v>0</v>
      </c>
      <c r="EU45" s="221">
        <f>IF( SUM($EQ45:ES45)&lt;0, "n/a", SUM($EQ45:ES45)/EU$74)</f>
        <v>862.50008138266094</v>
      </c>
      <c r="EV45" s="224">
        <f>EU45/EU46</f>
        <v>8.5261135885119314E-5</v>
      </c>
      <c r="EW45" s="22"/>
      <c r="EX45" s="97"/>
      <c r="EY45" s="43"/>
      <c r="EZ45" s="42"/>
      <c r="FA45" s="43"/>
      <c r="FB45" s="43"/>
      <c r="FC45" s="185"/>
    </row>
    <row r="46" spans="1:159" ht="21" customHeight="1" thickBot="1" x14ac:dyDescent="0.35">
      <c r="A46" s="3"/>
      <c r="B46" s="15" t="s">
        <v>83</v>
      </c>
      <c r="C46" s="19">
        <v>9167791.410000002</v>
      </c>
      <c r="D46" s="95">
        <v>1</v>
      </c>
      <c r="E46" s="19">
        <v>10994429.910000002</v>
      </c>
      <c r="F46" s="95">
        <v>1</v>
      </c>
      <c r="G46" s="19">
        <v>11781187.16</v>
      </c>
      <c r="H46" s="95">
        <v>1</v>
      </c>
      <c r="I46" s="19">
        <v>12715721.67</v>
      </c>
      <c r="J46" s="95">
        <v>1</v>
      </c>
      <c r="K46" s="19">
        <v>11246640.77</v>
      </c>
      <c r="L46" s="95">
        <v>1</v>
      </c>
      <c r="M46" s="19">
        <v>10010544.58</v>
      </c>
      <c r="N46" s="95">
        <v>1</v>
      </c>
      <c r="O46" s="19">
        <v>9804962.2700000033</v>
      </c>
      <c r="P46" s="95">
        <v>1</v>
      </c>
      <c r="Q46" s="19">
        <v>10950433.920000004</v>
      </c>
      <c r="R46" s="95">
        <v>1</v>
      </c>
      <c r="S46" s="19">
        <v>10193797.269999998</v>
      </c>
      <c r="T46" s="95">
        <v>1</v>
      </c>
      <c r="U46" s="19">
        <v>9487411.3800000008</v>
      </c>
      <c r="V46" s="95">
        <v>1</v>
      </c>
      <c r="W46" s="19">
        <v>8227520.2400000002</v>
      </c>
      <c r="X46" s="95">
        <v>1</v>
      </c>
      <c r="Y46" s="19">
        <v>9071256.4299999978</v>
      </c>
      <c r="Z46" s="95">
        <v>1</v>
      </c>
      <c r="AA46" s="19">
        <v>9505480.4700000007</v>
      </c>
      <c r="AB46" s="95">
        <v>1</v>
      </c>
      <c r="AC46" s="19">
        <v>10056920.190000001</v>
      </c>
      <c r="AD46" s="95">
        <v>1</v>
      </c>
      <c r="AE46" s="19">
        <v>11558440.82</v>
      </c>
      <c r="AF46" s="95">
        <v>1</v>
      </c>
      <c r="AG46" s="19">
        <v>9728317.6500000004</v>
      </c>
      <c r="AH46" s="95">
        <v>1</v>
      </c>
      <c r="AI46" s="19">
        <v>7820276.7300000004</v>
      </c>
      <c r="AJ46" s="95">
        <v>1</v>
      </c>
      <c r="AK46" s="19">
        <v>10445643.759999998</v>
      </c>
      <c r="AL46" s="95">
        <v>1</v>
      </c>
      <c r="AM46" s="19">
        <v>9251451.1899999995</v>
      </c>
      <c r="AN46" s="95">
        <v>1</v>
      </c>
      <c r="AO46" s="19">
        <v>10918638.820000002</v>
      </c>
      <c r="AP46" s="95">
        <v>1</v>
      </c>
      <c r="AQ46" s="19">
        <v>13862503.330000004</v>
      </c>
      <c r="AR46" s="95">
        <v>1</v>
      </c>
      <c r="AS46" s="19">
        <v>10159459.82</v>
      </c>
      <c r="AT46" s="95">
        <v>1</v>
      </c>
      <c r="AU46" s="19">
        <v>8796526.3300000001</v>
      </c>
      <c r="AV46" s="95">
        <v>1</v>
      </c>
      <c r="AW46" s="19">
        <v>7697702.459999999</v>
      </c>
      <c r="AX46" s="95">
        <v>1</v>
      </c>
      <c r="AY46" s="19">
        <v>11232178.440000001</v>
      </c>
      <c r="AZ46" s="95">
        <v>1</v>
      </c>
      <c r="BA46" s="19">
        <v>11795160.1</v>
      </c>
      <c r="BB46" s="95">
        <v>1</v>
      </c>
      <c r="BC46" s="19">
        <v>15168821.860000001</v>
      </c>
      <c r="BD46" s="95">
        <v>1</v>
      </c>
      <c r="BE46" s="19">
        <v>11834097.050000001</v>
      </c>
      <c r="BF46" s="95">
        <v>1</v>
      </c>
      <c r="BG46" s="19">
        <v>14501795.860000001</v>
      </c>
      <c r="BH46" s="95">
        <v>1</v>
      </c>
      <c r="BI46" s="19">
        <v>13408854.190000001</v>
      </c>
      <c r="BJ46" s="95">
        <v>1</v>
      </c>
      <c r="BK46" s="19">
        <v>9830650.3800000008</v>
      </c>
      <c r="BL46" s="95">
        <v>1</v>
      </c>
      <c r="BM46" s="19">
        <v>7462013.8999999994</v>
      </c>
      <c r="BN46" s="95">
        <v>1</v>
      </c>
      <c r="BO46" s="19">
        <v>7215261.9200000018</v>
      </c>
      <c r="BP46" s="95">
        <v>1</v>
      </c>
      <c r="BQ46" s="19">
        <v>7906955.5100000016</v>
      </c>
      <c r="BR46" s="95">
        <v>1</v>
      </c>
      <c r="BS46" s="19">
        <v>6974335.9799999995</v>
      </c>
      <c r="BT46" s="95">
        <v>1</v>
      </c>
      <c r="BU46" s="19">
        <v>6331260.0200000005</v>
      </c>
      <c r="BV46" s="95">
        <v>1</v>
      </c>
      <c r="BW46" s="19">
        <v>9307819.7599999998</v>
      </c>
      <c r="BX46" s="95">
        <v>1</v>
      </c>
      <c r="BY46" s="19">
        <v>9891282.5899999999</v>
      </c>
      <c r="BZ46" s="95">
        <v>1</v>
      </c>
      <c r="CA46" s="19">
        <v>10599053.439999999</v>
      </c>
      <c r="CB46" s="95">
        <v>1</v>
      </c>
      <c r="CC46" s="19">
        <v>8738205.8500000015</v>
      </c>
      <c r="CD46" s="95">
        <v>1</v>
      </c>
      <c r="CE46" s="19">
        <v>10445636.51</v>
      </c>
      <c r="CF46" s="95">
        <v>1</v>
      </c>
      <c r="CG46" s="19">
        <v>10442139.530000001</v>
      </c>
      <c r="CH46" s="95">
        <v>1</v>
      </c>
      <c r="CI46" s="19">
        <v>8353522.129999999</v>
      </c>
      <c r="CJ46" s="95">
        <v>1</v>
      </c>
      <c r="CK46" s="19">
        <v>6532481.0300000003</v>
      </c>
      <c r="CL46" s="95">
        <v>1</v>
      </c>
      <c r="CM46" s="19">
        <v>6058509.7299999995</v>
      </c>
      <c r="CN46" s="95">
        <v>1</v>
      </c>
      <c r="CO46" s="19">
        <v>7884258.3200000012</v>
      </c>
      <c r="CP46" s="95">
        <v>1</v>
      </c>
      <c r="CQ46" s="19">
        <v>7667083.5299999984</v>
      </c>
      <c r="CR46" s="95">
        <v>1</v>
      </c>
      <c r="CS46" s="19">
        <v>7121841.580000001</v>
      </c>
      <c r="CT46" s="95">
        <v>1</v>
      </c>
      <c r="CU46" s="19">
        <v>11833446.089999998</v>
      </c>
      <c r="CV46" s="95">
        <v>1</v>
      </c>
      <c r="CW46" s="19">
        <v>11324359.859999999</v>
      </c>
      <c r="CX46" s="95">
        <v>1</v>
      </c>
      <c r="CY46" s="19">
        <v>10565466.279999999</v>
      </c>
      <c r="CZ46" s="95">
        <v>1</v>
      </c>
      <c r="DA46" s="19">
        <v>12119237.17</v>
      </c>
      <c r="DB46" s="95">
        <v>1</v>
      </c>
      <c r="DC46" s="19">
        <v>10984359.16</v>
      </c>
      <c r="DD46" s="95">
        <v>1</v>
      </c>
      <c r="DE46" s="19">
        <v>9505277.1699999999</v>
      </c>
      <c r="DF46" s="95">
        <v>1</v>
      </c>
      <c r="DG46" s="19">
        <v>9395805.4399999976</v>
      </c>
      <c r="DH46" s="95">
        <v>1</v>
      </c>
      <c r="DI46" s="19">
        <v>9253885.0100000016</v>
      </c>
      <c r="DJ46" s="95">
        <v>1</v>
      </c>
      <c r="DK46" s="19">
        <v>6585093.9899999993</v>
      </c>
      <c r="DL46" s="95">
        <v>1</v>
      </c>
      <c r="DM46" s="19">
        <v>9135900.8600000013</v>
      </c>
      <c r="DN46" s="95">
        <v>1</v>
      </c>
      <c r="DO46" s="19">
        <v>5561197.4900000012</v>
      </c>
      <c r="DP46" s="95">
        <v>1</v>
      </c>
      <c r="DQ46" s="19">
        <v>6942352.4499999993</v>
      </c>
      <c r="DR46" s="95">
        <v>1</v>
      </c>
      <c r="DS46" s="19">
        <v>9307813.8599999994</v>
      </c>
      <c r="DT46" s="95">
        <v>1</v>
      </c>
      <c r="DU46" s="19">
        <v>9450017.0800000001</v>
      </c>
      <c r="DV46" s="95">
        <v>1</v>
      </c>
      <c r="DW46" s="19">
        <v>9352815.5099999998</v>
      </c>
      <c r="DX46" s="95">
        <v>1</v>
      </c>
      <c r="DY46" s="19">
        <v>10102566.52</v>
      </c>
      <c r="DZ46" s="95">
        <v>1</v>
      </c>
      <c r="EA46" s="19">
        <v>8905046.7499999981</v>
      </c>
      <c r="EB46" s="95">
        <v>1</v>
      </c>
      <c r="EC46" s="19">
        <v>6900290.6600000001</v>
      </c>
      <c r="ED46" s="95">
        <v>1</v>
      </c>
      <c r="EE46" s="19">
        <v>8276840.7700000005</v>
      </c>
      <c r="EF46" s="95">
        <v>1</v>
      </c>
      <c r="EG46" s="19">
        <v>7209254.3700000001</v>
      </c>
      <c r="EH46" s="95">
        <v>1</v>
      </c>
      <c r="EI46" s="19">
        <v>6178167.1599999992</v>
      </c>
      <c r="EJ46" s="95">
        <v>1</v>
      </c>
      <c r="EK46" s="19">
        <v>5718039.4100000011</v>
      </c>
      <c r="EL46" s="95">
        <v>1</v>
      </c>
      <c r="EM46" s="19">
        <v>5693245.5999999996</v>
      </c>
      <c r="EN46" s="95">
        <v>1</v>
      </c>
      <c r="EO46" s="19">
        <v>8036030.0300000003</v>
      </c>
      <c r="EP46" s="95">
        <v>1</v>
      </c>
      <c r="EQ46" s="19">
        <v>10598080.6</v>
      </c>
      <c r="ER46" s="95">
        <v>1</v>
      </c>
      <c r="ES46" s="19">
        <f>SUM(ES39:ES45)</f>
        <v>9633881.5899999999</v>
      </c>
      <c r="ET46" s="95">
        <f>ES46/ES46</f>
        <v>1</v>
      </c>
      <c r="EU46" s="225">
        <f>IF( SUM($EQ46:ES46)&lt;0, "n/a", SUM($EQ46:ES46)/EU$74)</f>
        <v>10115981.594999999</v>
      </c>
      <c r="EV46" s="226">
        <f>EU46/EU46</f>
        <v>1</v>
      </c>
      <c r="EW46" s="22"/>
      <c r="EX46" s="97"/>
      <c r="EY46" s="43"/>
      <c r="EZ46" s="42"/>
      <c r="FA46" s="43"/>
      <c r="FB46" s="43"/>
      <c r="FC46" s="185"/>
    </row>
    <row r="47" spans="1:159" ht="21" customHeight="1" x14ac:dyDescent="0.3">
      <c r="A47" s="3"/>
      <c r="B47" s="14" t="s">
        <v>88</v>
      </c>
      <c r="C47" s="18">
        <v>4253348.97</v>
      </c>
      <c r="D47" s="24"/>
      <c r="E47" s="18">
        <v>3777964.35</v>
      </c>
      <c r="F47" s="24"/>
      <c r="G47" s="18">
        <v>6095560.3500000006</v>
      </c>
      <c r="H47" s="24"/>
      <c r="I47" s="18">
        <v>5528249.8399999999</v>
      </c>
      <c r="J47" s="24"/>
      <c r="K47" s="18">
        <v>10516652.32</v>
      </c>
      <c r="L47" s="24"/>
      <c r="M47" s="18">
        <v>10707692.370000001</v>
      </c>
      <c r="N47" s="24"/>
      <c r="O47" s="18">
        <v>10577279.139999999</v>
      </c>
      <c r="P47" s="24"/>
      <c r="Q47" s="18">
        <v>8063773.3099999996</v>
      </c>
      <c r="R47" s="24"/>
      <c r="S47" s="18">
        <v>7610774.46</v>
      </c>
      <c r="T47" s="24"/>
      <c r="U47" s="18">
        <v>9684156.7399999984</v>
      </c>
      <c r="V47" s="24"/>
      <c r="W47" s="18">
        <v>8310580.04</v>
      </c>
      <c r="X47" s="24"/>
      <c r="Y47" s="18">
        <v>5229777.21</v>
      </c>
      <c r="Z47" s="24"/>
      <c r="AA47" s="18">
        <v>5597013.9199999999</v>
      </c>
      <c r="AB47" s="24"/>
      <c r="AC47" s="18">
        <v>3100560.08</v>
      </c>
      <c r="AD47" s="24"/>
      <c r="AE47" s="18">
        <v>6267194.4100000001</v>
      </c>
      <c r="AF47" s="24"/>
      <c r="AG47" s="18">
        <v>7892457.6200000001</v>
      </c>
      <c r="AH47" s="24"/>
      <c r="AI47" s="18">
        <v>10858486.369999999</v>
      </c>
      <c r="AJ47" s="24"/>
      <c r="AK47" s="18">
        <v>7495956.3099999996</v>
      </c>
      <c r="AL47" s="24"/>
      <c r="AM47" s="18">
        <v>6906910.1100000003</v>
      </c>
      <c r="AN47" s="24"/>
      <c r="AO47" s="18">
        <v>8378960</v>
      </c>
      <c r="AP47" s="24"/>
      <c r="AQ47" s="18">
        <v>7180522.8199999994</v>
      </c>
      <c r="AR47" s="24"/>
      <c r="AS47" s="18">
        <v>7492780.9800000004</v>
      </c>
      <c r="AT47" s="24"/>
      <c r="AU47" s="18">
        <v>5689537.6600000001</v>
      </c>
      <c r="AV47" s="24"/>
      <c r="AW47" s="18">
        <v>5351256.59</v>
      </c>
      <c r="AX47" s="24"/>
      <c r="AY47" s="18">
        <v>4424536.0599999996</v>
      </c>
      <c r="AZ47" s="24"/>
      <c r="BA47" s="18">
        <v>4304996.6700000009</v>
      </c>
      <c r="BB47" s="24"/>
      <c r="BC47" s="18">
        <v>6713843.7200000007</v>
      </c>
      <c r="BD47" s="24"/>
      <c r="BE47" s="18">
        <v>9825218.9400000013</v>
      </c>
      <c r="BF47" s="24"/>
      <c r="BG47" s="18">
        <v>9860133.0800000001</v>
      </c>
      <c r="BH47" s="24"/>
      <c r="BI47" s="18">
        <v>6335937.21</v>
      </c>
      <c r="BJ47" s="24"/>
      <c r="BK47" s="18">
        <v>9171567.5700000003</v>
      </c>
      <c r="BL47" s="24"/>
      <c r="BM47" s="18">
        <v>8179200.5300000003</v>
      </c>
      <c r="BN47" s="24"/>
      <c r="BO47" s="18">
        <v>9951815.4699999988</v>
      </c>
      <c r="BP47" s="24"/>
      <c r="BQ47" s="18">
        <v>8435923.5599999987</v>
      </c>
      <c r="BR47" s="24"/>
      <c r="BS47" s="18">
        <v>8028382.21</v>
      </c>
      <c r="BT47" s="24"/>
      <c r="BU47" s="18">
        <v>4674895.38</v>
      </c>
      <c r="BV47" s="24"/>
      <c r="BW47" s="18">
        <v>5046517.7699999996</v>
      </c>
      <c r="BX47" s="24"/>
      <c r="BY47" s="18">
        <v>5588204.5300000003</v>
      </c>
      <c r="BZ47" s="24"/>
      <c r="CA47" s="18">
        <v>9483668.3800000008</v>
      </c>
      <c r="CB47" s="24"/>
      <c r="CC47" s="18">
        <v>5121175.12</v>
      </c>
      <c r="CD47" s="24"/>
      <c r="CE47" s="18">
        <v>9769462.5800000001</v>
      </c>
      <c r="CF47" s="24"/>
      <c r="CG47" s="18">
        <v>11095198.809999999</v>
      </c>
      <c r="CH47" s="24"/>
      <c r="CI47" s="18">
        <v>9454187.3399999999</v>
      </c>
      <c r="CJ47" s="24"/>
      <c r="CK47" s="18">
        <v>9247517.9099999983</v>
      </c>
      <c r="CL47" s="24"/>
      <c r="CM47" s="18">
        <v>9040208.0800000001</v>
      </c>
      <c r="CN47" s="24"/>
      <c r="CO47" s="18">
        <v>9331848.3300000001</v>
      </c>
      <c r="CP47" s="24"/>
      <c r="CQ47" s="18">
        <v>6487979</v>
      </c>
      <c r="CR47" s="24"/>
      <c r="CS47" s="18">
        <v>4532150.09</v>
      </c>
      <c r="CT47" s="24"/>
      <c r="CU47" s="18">
        <v>4357332.4000000004</v>
      </c>
      <c r="CV47" s="24"/>
      <c r="CW47" s="18">
        <v>4945300.59</v>
      </c>
      <c r="CX47" s="24"/>
      <c r="CY47" s="18">
        <v>9194135.9399999995</v>
      </c>
      <c r="CZ47" s="24"/>
      <c r="DA47" s="18">
        <v>12012034.029999999</v>
      </c>
      <c r="DB47" s="24"/>
      <c r="DC47" s="18">
        <v>10911451.99</v>
      </c>
      <c r="DD47" s="24"/>
      <c r="DE47" s="18">
        <v>6380147.96</v>
      </c>
      <c r="DF47" s="24"/>
      <c r="DG47" s="18">
        <v>10161838.08</v>
      </c>
      <c r="DH47" s="24"/>
      <c r="DI47" s="18">
        <v>8904665.5500000007</v>
      </c>
      <c r="DJ47" s="24"/>
      <c r="DK47" s="18">
        <v>10261656.560000001</v>
      </c>
      <c r="DL47" s="24"/>
      <c r="DM47" s="18">
        <v>9640993.9299999997</v>
      </c>
      <c r="DN47" s="24"/>
      <c r="DO47" s="18">
        <v>8231069.5300000003</v>
      </c>
      <c r="DP47" s="24"/>
      <c r="DQ47" s="18">
        <v>4882259.6399999997</v>
      </c>
      <c r="DR47" s="24"/>
      <c r="DS47" s="18">
        <v>5612067.9900000002</v>
      </c>
      <c r="DT47" s="24"/>
      <c r="DU47" s="18">
        <v>5187651.12</v>
      </c>
      <c r="DV47" s="24"/>
      <c r="DW47" s="18">
        <v>9948726.6699999999</v>
      </c>
      <c r="DX47" s="24"/>
      <c r="DY47" s="18">
        <v>10134687.6</v>
      </c>
      <c r="DZ47" s="24"/>
      <c r="EA47" s="18">
        <v>11490814.800000001</v>
      </c>
      <c r="EB47" s="24"/>
      <c r="EC47" s="18">
        <v>8985145.8000000007</v>
      </c>
      <c r="ED47" s="24"/>
      <c r="EE47" s="18">
        <v>9360041.7399999984</v>
      </c>
      <c r="EF47" s="24"/>
      <c r="EG47" s="18">
        <v>8031449.1299999999</v>
      </c>
      <c r="EH47" s="24"/>
      <c r="EI47" s="18">
        <v>9073549.5600000005</v>
      </c>
      <c r="EJ47" s="24"/>
      <c r="EK47" s="18">
        <v>10238175.67</v>
      </c>
      <c r="EL47" s="24"/>
      <c r="EM47" s="18">
        <v>6303681.6100000003</v>
      </c>
      <c r="EN47" s="24"/>
      <c r="EO47" s="18">
        <v>4479988.62</v>
      </c>
      <c r="EP47" s="24"/>
      <c r="EQ47" s="18">
        <v>3025705.86</v>
      </c>
      <c r="ER47" s="24"/>
      <c r="ES47" s="18">
        <f>ES14+ES25+ES36</f>
        <v>2670095.4000000004</v>
      </c>
      <c r="ET47" s="24"/>
      <c r="EU47" s="221">
        <f>IF( SUM($EQ47:ES47)&lt;0, "n/a", SUM($EQ47:ES47)/EU$74)</f>
        <v>2847900.63</v>
      </c>
      <c r="EV47" s="227"/>
      <c r="EW47" s="22"/>
      <c r="EX47" s="97"/>
      <c r="EY47" s="43"/>
      <c r="EZ47" s="42"/>
      <c r="FA47" s="43"/>
      <c r="FB47" s="43"/>
      <c r="FC47" s="185"/>
    </row>
    <row r="48" spans="1:159" ht="21" customHeight="1" x14ac:dyDescent="0.3">
      <c r="A48" s="3"/>
      <c r="B48" s="14" t="s">
        <v>71</v>
      </c>
      <c r="C48" s="18">
        <v>0</v>
      </c>
      <c r="D48" s="24"/>
      <c r="E48" s="18">
        <v>0</v>
      </c>
      <c r="F48" s="24"/>
      <c r="G48" s="18">
        <v>0</v>
      </c>
      <c r="H48" s="24"/>
      <c r="I48" s="18">
        <v>0</v>
      </c>
      <c r="J48" s="24"/>
      <c r="K48" s="18">
        <v>0</v>
      </c>
      <c r="L48" s="24"/>
      <c r="M48" s="18">
        <v>0</v>
      </c>
      <c r="N48" s="24"/>
      <c r="O48" s="18">
        <v>0</v>
      </c>
      <c r="P48" s="24"/>
      <c r="Q48" s="18">
        <v>0</v>
      </c>
      <c r="R48" s="24"/>
      <c r="S48" s="18">
        <v>0</v>
      </c>
      <c r="T48" s="24"/>
      <c r="U48" s="18">
        <v>0</v>
      </c>
      <c r="V48" s="24"/>
      <c r="W48" s="18">
        <v>0</v>
      </c>
      <c r="X48" s="24"/>
      <c r="Y48" s="18">
        <v>0</v>
      </c>
      <c r="Z48" s="24"/>
      <c r="AA48" s="18">
        <v>0</v>
      </c>
      <c r="AB48" s="24"/>
      <c r="AC48" s="18">
        <v>0</v>
      </c>
      <c r="AD48" s="24"/>
      <c r="AE48" s="18">
        <v>0</v>
      </c>
      <c r="AF48" s="24"/>
      <c r="AG48" s="18">
        <v>0</v>
      </c>
      <c r="AH48" s="24"/>
      <c r="AI48" s="18">
        <v>0</v>
      </c>
      <c r="AJ48" s="24"/>
      <c r="AK48" s="18">
        <v>0</v>
      </c>
      <c r="AL48" s="24"/>
      <c r="AM48" s="18">
        <v>0</v>
      </c>
      <c r="AN48" s="24"/>
      <c r="AO48" s="18">
        <v>0</v>
      </c>
      <c r="AP48" s="24"/>
      <c r="AQ48" s="18">
        <v>0</v>
      </c>
      <c r="AR48" s="24"/>
      <c r="AS48" s="18">
        <v>0</v>
      </c>
      <c r="AT48" s="24"/>
      <c r="AU48" s="18">
        <v>0</v>
      </c>
      <c r="AV48" s="24"/>
      <c r="AW48" s="18">
        <v>0</v>
      </c>
      <c r="AX48" s="24"/>
      <c r="AY48" s="18">
        <v>0</v>
      </c>
      <c r="AZ48" s="24"/>
      <c r="BA48" s="18">
        <v>0</v>
      </c>
      <c r="BB48" s="24"/>
      <c r="BC48" s="18">
        <v>0</v>
      </c>
      <c r="BD48" s="24"/>
      <c r="BE48" s="18">
        <v>0</v>
      </c>
      <c r="BF48" s="24"/>
      <c r="BG48" s="18">
        <v>0</v>
      </c>
      <c r="BH48" s="24"/>
      <c r="BI48" s="18">
        <v>0</v>
      </c>
      <c r="BJ48" s="24"/>
      <c r="BK48" s="18">
        <v>0</v>
      </c>
      <c r="BL48" s="24"/>
      <c r="BM48" s="18">
        <v>0</v>
      </c>
      <c r="BN48" s="24"/>
      <c r="BO48" s="18">
        <v>0</v>
      </c>
      <c r="BP48" s="24"/>
      <c r="BQ48" s="18">
        <v>0</v>
      </c>
      <c r="BR48" s="24"/>
      <c r="BS48" s="18">
        <v>0</v>
      </c>
      <c r="BT48" s="24"/>
      <c r="BU48" s="18">
        <v>0</v>
      </c>
      <c r="BV48" s="24"/>
      <c r="BW48" s="18">
        <v>0</v>
      </c>
      <c r="BX48" s="24"/>
      <c r="BY48" s="18">
        <v>0</v>
      </c>
      <c r="BZ48" s="24"/>
      <c r="CA48" s="18">
        <v>0</v>
      </c>
      <c r="CB48" s="24"/>
      <c r="CC48" s="18">
        <v>0</v>
      </c>
      <c r="CD48" s="24"/>
      <c r="CE48" s="18">
        <v>0</v>
      </c>
      <c r="CF48" s="24"/>
      <c r="CG48" s="18">
        <v>0</v>
      </c>
      <c r="CH48" s="24"/>
      <c r="CI48" s="18">
        <v>0</v>
      </c>
      <c r="CJ48" s="24"/>
      <c r="CK48" s="18">
        <v>0</v>
      </c>
      <c r="CL48" s="24"/>
      <c r="CM48" s="18">
        <v>0</v>
      </c>
      <c r="CN48" s="24"/>
      <c r="CO48" s="18">
        <v>0</v>
      </c>
      <c r="CP48" s="24"/>
      <c r="CQ48" s="18">
        <v>0</v>
      </c>
      <c r="CR48" s="24"/>
      <c r="CS48" s="18">
        <v>0</v>
      </c>
      <c r="CT48" s="24"/>
      <c r="CU48" s="18">
        <v>0</v>
      </c>
      <c r="CV48" s="24"/>
      <c r="CW48" s="18">
        <v>0</v>
      </c>
      <c r="CX48" s="24"/>
      <c r="CY48" s="18">
        <v>0</v>
      </c>
      <c r="CZ48" s="24"/>
      <c r="DA48" s="18">
        <v>0</v>
      </c>
      <c r="DB48" s="24"/>
      <c r="DC48" s="18">
        <v>0</v>
      </c>
      <c r="DD48" s="24"/>
      <c r="DE48" s="18">
        <v>0</v>
      </c>
      <c r="DF48" s="24"/>
      <c r="DG48" s="18">
        <v>0</v>
      </c>
      <c r="DH48" s="24"/>
      <c r="DI48" s="18">
        <v>0</v>
      </c>
      <c r="DJ48" s="24"/>
      <c r="DK48" s="18">
        <v>0</v>
      </c>
      <c r="DL48" s="24"/>
      <c r="DM48" s="18">
        <v>0</v>
      </c>
      <c r="DN48" s="24"/>
      <c r="DO48" s="18">
        <v>0</v>
      </c>
      <c r="DP48" s="24"/>
      <c r="DQ48" s="18">
        <v>0</v>
      </c>
      <c r="DR48" s="24"/>
      <c r="DS48" s="18">
        <v>0</v>
      </c>
      <c r="DT48" s="24"/>
      <c r="DU48" s="18">
        <v>0</v>
      </c>
      <c r="DV48" s="24"/>
      <c r="DW48" s="18">
        <v>0</v>
      </c>
      <c r="DX48" s="24"/>
      <c r="DY48" s="18">
        <v>0</v>
      </c>
      <c r="DZ48" s="24"/>
      <c r="EA48" s="18">
        <v>0</v>
      </c>
      <c r="EB48" s="24"/>
      <c r="EC48" s="18">
        <v>0</v>
      </c>
      <c r="ED48" s="24"/>
      <c r="EE48" s="18">
        <v>0</v>
      </c>
      <c r="EF48" s="24"/>
      <c r="EG48" s="18">
        <v>0</v>
      </c>
      <c r="EH48" s="24"/>
      <c r="EI48" s="18">
        <v>0</v>
      </c>
      <c r="EJ48" s="24"/>
      <c r="EK48" s="18">
        <v>0</v>
      </c>
      <c r="EL48" s="24"/>
      <c r="EM48" s="18">
        <v>0</v>
      </c>
      <c r="EN48" s="24"/>
      <c r="EO48" s="18">
        <v>0</v>
      </c>
      <c r="EP48" s="24"/>
      <c r="EQ48" s="18">
        <v>0</v>
      </c>
      <c r="ER48" s="24"/>
      <c r="ES48" s="18">
        <f>ES15+ES26+ES37</f>
        <v>0</v>
      </c>
      <c r="ET48" s="24"/>
      <c r="EU48" s="221">
        <f>IF( SUM($EQ48:ES48)&lt;0, "n/a", SUM($EQ48:ES48)/EU$74)</f>
        <v>0</v>
      </c>
      <c r="EV48" s="224"/>
      <c r="EW48" s="22"/>
      <c r="EX48" s="97"/>
      <c r="EY48" s="43"/>
      <c r="EZ48" s="42"/>
      <c r="FA48" s="43"/>
      <c r="FB48" s="43"/>
      <c r="FC48" s="185"/>
    </row>
    <row r="49" spans="1:159" ht="21" customHeight="1" thickBot="1" x14ac:dyDescent="0.35">
      <c r="A49" s="7"/>
      <c r="B49" s="16" t="s">
        <v>84</v>
      </c>
      <c r="C49" s="19">
        <v>13421140.380000003</v>
      </c>
      <c r="D49" s="25"/>
      <c r="E49" s="19">
        <v>14772394.260000002</v>
      </c>
      <c r="F49" s="25"/>
      <c r="G49" s="19">
        <v>17876747.510000002</v>
      </c>
      <c r="H49" s="25"/>
      <c r="I49" s="19">
        <v>18243971.509999998</v>
      </c>
      <c r="J49" s="25"/>
      <c r="K49" s="19">
        <v>21763293.09</v>
      </c>
      <c r="L49" s="25"/>
      <c r="M49" s="19">
        <v>20718236.950000003</v>
      </c>
      <c r="N49" s="25"/>
      <c r="O49" s="19">
        <v>20382241.410000004</v>
      </c>
      <c r="P49" s="25"/>
      <c r="Q49" s="19">
        <v>19014207.230000004</v>
      </c>
      <c r="R49" s="25"/>
      <c r="S49" s="19">
        <v>17804571.729999997</v>
      </c>
      <c r="T49" s="25"/>
      <c r="U49" s="19">
        <v>19171568.119999997</v>
      </c>
      <c r="V49" s="25"/>
      <c r="W49" s="19">
        <v>16538100.280000001</v>
      </c>
      <c r="X49" s="25"/>
      <c r="Y49" s="19">
        <v>14301033.639999997</v>
      </c>
      <c r="Z49" s="25"/>
      <c r="AA49" s="19">
        <v>15102494.390000001</v>
      </c>
      <c r="AB49" s="25"/>
      <c r="AC49" s="19">
        <v>13157480.270000001</v>
      </c>
      <c r="AD49" s="25"/>
      <c r="AE49" s="19">
        <v>17825635.23</v>
      </c>
      <c r="AF49" s="25"/>
      <c r="AG49" s="19">
        <v>17620775.27</v>
      </c>
      <c r="AH49" s="25"/>
      <c r="AI49" s="19">
        <v>18678763.100000001</v>
      </c>
      <c r="AJ49" s="25"/>
      <c r="AK49" s="19">
        <v>17941600.069999997</v>
      </c>
      <c r="AL49" s="25"/>
      <c r="AM49" s="19">
        <v>16158361.300000001</v>
      </c>
      <c r="AN49" s="25"/>
      <c r="AO49" s="19">
        <v>19297598.82</v>
      </c>
      <c r="AP49" s="25"/>
      <c r="AQ49" s="19">
        <v>21043026.150000002</v>
      </c>
      <c r="AR49" s="25"/>
      <c r="AS49" s="19">
        <v>17652240.800000001</v>
      </c>
      <c r="AT49" s="25"/>
      <c r="AU49" s="19">
        <v>14486063.99</v>
      </c>
      <c r="AV49" s="25"/>
      <c r="AW49" s="19">
        <v>13048959.049999999</v>
      </c>
      <c r="AX49" s="25"/>
      <c r="AY49" s="19">
        <v>15656714.5</v>
      </c>
      <c r="AZ49" s="25"/>
      <c r="BA49" s="19">
        <v>16100156.77</v>
      </c>
      <c r="BB49" s="25"/>
      <c r="BC49" s="19">
        <v>21882665.580000002</v>
      </c>
      <c r="BD49" s="25"/>
      <c r="BE49" s="19">
        <v>21659315.990000002</v>
      </c>
      <c r="BF49" s="25"/>
      <c r="BG49" s="19">
        <v>24361928.940000001</v>
      </c>
      <c r="BH49" s="25"/>
      <c r="BI49" s="19">
        <v>19744791.400000002</v>
      </c>
      <c r="BJ49" s="25"/>
      <c r="BK49" s="19">
        <v>19002217.950000003</v>
      </c>
      <c r="BL49" s="25"/>
      <c r="BM49" s="19">
        <v>15641214.43</v>
      </c>
      <c r="BN49" s="25"/>
      <c r="BO49" s="19">
        <v>17167077.390000001</v>
      </c>
      <c r="BP49" s="25"/>
      <c r="BQ49" s="19">
        <v>16342879.07</v>
      </c>
      <c r="BR49" s="25"/>
      <c r="BS49" s="19">
        <v>15002718.189999999</v>
      </c>
      <c r="BT49" s="25"/>
      <c r="BU49" s="19">
        <v>11006155.4</v>
      </c>
      <c r="BV49" s="25"/>
      <c r="BW49" s="19">
        <v>14354337.529999999</v>
      </c>
      <c r="BX49" s="25"/>
      <c r="BY49" s="19">
        <v>15479487.120000001</v>
      </c>
      <c r="BZ49" s="25"/>
      <c r="CA49" s="19">
        <v>20082721.82</v>
      </c>
      <c r="CB49" s="25"/>
      <c r="CC49" s="19">
        <v>13859380.970000003</v>
      </c>
      <c r="CD49" s="25"/>
      <c r="CE49" s="19">
        <v>20215099.09</v>
      </c>
      <c r="CF49" s="25"/>
      <c r="CG49" s="19">
        <v>21537338.34</v>
      </c>
      <c r="CH49" s="25"/>
      <c r="CI49" s="19">
        <v>17807709.469999999</v>
      </c>
      <c r="CJ49" s="25"/>
      <c r="CK49" s="19">
        <v>15779998.939999998</v>
      </c>
      <c r="CL49" s="25"/>
      <c r="CM49" s="19">
        <v>15098717.809999999</v>
      </c>
      <c r="CN49" s="25"/>
      <c r="CO49" s="19">
        <v>17216106.650000002</v>
      </c>
      <c r="CP49" s="25"/>
      <c r="CQ49" s="19">
        <v>14155062.529999997</v>
      </c>
      <c r="CR49" s="25"/>
      <c r="CS49" s="19">
        <v>11653991.670000002</v>
      </c>
      <c r="CT49" s="25"/>
      <c r="CU49" s="19">
        <v>16190778.489999998</v>
      </c>
      <c r="CV49" s="25"/>
      <c r="CW49" s="19">
        <v>16269660.449999999</v>
      </c>
      <c r="CX49" s="25"/>
      <c r="CY49" s="19">
        <v>19759602.219999999</v>
      </c>
      <c r="CZ49" s="25"/>
      <c r="DA49" s="19">
        <v>24131271.199999999</v>
      </c>
      <c r="DB49" s="25"/>
      <c r="DC49" s="19">
        <v>21895811.149999999</v>
      </c>
      <c r="DD49" s="25"/>
      <c r="DE49" s="19">
        <v>15885425.129999999</v>
      </c>
      <c r="DF49" s="25"/>
      <c r="DG49" s="19">
        <v>19557643.519999996</v>
      </c>
      <c r="DH49" s="25"/>
      <c r="DI49" s="19">
        <v>18158550.560000002</v>
      </c>
      <c r="DJ49" s="25"/>
      <c r="DK49" s="19">
        <v>16846750.550000001</v>
      </c>
      <c r="DL49" s="25"/>
      <c r="DM49" s="19">
        <v>18776894.789999999</v>
      </c>
      <c r="DN49" s="25"/>
      <c r="DO49" s="19">
        <v>13792267.020000001</v>
      </c>
      <c r="DP49" s="25"/>
      <c r="DQ49" s="19">
        <v>11824612.09</v>
      </c>
      <c r="DR49" s="25"/>
      <c r="DS49" s="19">
        <v>14919881.85</v>
      </c>
      <c r="DT49" s="25"/>
      <c r="DU49" s="19">
        <v>14637668.199999999</v>
      </c>
      <c r="DV49" s="25"/>
      <c r="DW49" s="19">
        <v>19301542.18</v>
      </c>
      <c r="DX49" s="25"/>
      <c r="DY49" s="19">
        <v>20237254.119999997</v>
      </c>
      <c r="DZ49" s="25"/>
      <c r="EA49" s="19">
        <v>20395861.549999997</v>
      </c>
      <c r="EB49" s="25"/>
      <c r="EC49" s="19">
        <v>15885436.460000001</v>
      </c>
      <c r="ED49" s="25"/>
      <c r="EE49" s="19">
        <v>17636882.509999998</v>
      </c>
      <c r="EF49" s="25"/>
      <c r="EG49" s="19">
        <v>15240703.5</v>
      </c>
      <c r="EH49" s="25"/>
      <c r="EI49" s="19">
        <v>15251716.719999999</v>
      </c>
      <c r="EJ49" s="25"/>
      <c r="EK49" s="19">
        <v>15956215.080000002</v>
      </c>
      <c r="EL49" s="25"/>
      <c r="EM49" s="19">
        <v>11996927.210000001</v>
      </c>
      <c r="EN49" s="25"/>
      <c r="EO49" s="19">
        <v>12516018.65</v>
      </c>
      <c r="EP49" s="25"/>
      <c r="EQ49" s="19">
        <v>13623786.459999999</v>
      </c>
      <c r="ER49" s="25"/>
      <c r="ES49" s="19">
        <f>SUM(ES46:ES48)</f>
        <v>12303976.99</v>
      </c>
      <c r="ET49" s="25"/>
      <c r="EU49" s="225">
        <f>IF( SUM($EQ49:ES49)&lt;0, "n/a", SUM($EQ49:ES49)/EU$74)</f>
        <v>12963881.725</v>
      </c>
      <c r="EV49" s="228"/>
      <c r="EW49" s="61"/>
      <c r="EX49" s="40"/>
      <c r="EY49" s="41">
        <f>EY16+EY27+EY38</f>
        <v>12303976.99</v>
      </c>
      <c r="EZ49" s="44" t="str">
        <f>IF(ES49-EY49=0,"OK","CHECK")</f>
        <v>OK</v>
      </c>
      <c r="FA49" s="45"/>
      <c r="FB49" s="45"/>
      <c r="FC49" s="188"/>
    </row>
    <row r="50" spans="1:159" ht="12.75" customHeight="1" thickBot="1" x14ac:dyDescent="0.35">
      <c r="A50" s="32" t="s">
        <v>90</v>
      </c>
      <c r="B50" s="165" t="s">
        <v>72</v>
      </c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59"/>
      <c r="DT50" s="59"/>
      <c r="DU50" s="59"/>
      <c r="DV50" s="59"/>
      <c r="DW50" s="59"/>
      <c r="DX50" s="59"/>
      <c r="DY50" s="59"/>
      <c r="DZ50" s="59"/>
      <c r="EA50" s="59"/>
      <c r="EB50" s="59"/>
      <c r="EC50" s="59"/>
      <c r="ED50" s="59"/>
      <c r="EE50" s="59"/>
      <c r="EF50" s="59"/>
      <c r="EG50" s="59"/>
      <c r="EH50" s="59"/>
      <c r="EI50" s="59"/>
      <c r="EJ50" s="59"/>
      <c r="EK50" s="59"/>
      <c r="EL50" s="59"/>
      <c r="EM50" s="59"/>
      <c r="EN50" s="59"/>
      <c r="EO50" s="59"/>
      <c r="EP50" s="59"/>
      <c r="EQ50" s="59"/>
      <c r="ER50" s="59"/>
      <c r="ES50" s="59"/>
      <c r="ET50" s="59"/>
      <c r="EU50" s="221">
        <f>IF( SUM($EQ50:ES50)&lt;0, "n/a", SUM($EQ50:ES50)/EU$74)</f>
        <v>0</v>
      </c>
      <c r="EV50" s="222" t="e">
        <f>EU50/EU57</f>
        <v>#DIV/0!</v>
      </c>
      <c r="EW50" s="59"/>
      <c r="EX50" s="40"/>
      <c r="EY50" s="215">
        <f>ES49-EY49</f>
        <v>0</v>
      </c>
      <c r="EZ50" s="45"/>
      <c r="FA50" s="45"/>
      <c r="FB50" s="45"/>
      <c r="FC50" s="199"/>
    </row>
    <row r="51" spans="1:159" ht="12.75" customHeight="1" x14ac:dyDescent="0.3">
      <c r="A51" s="13"/>
      <c r="B51" s="165" t="s">
        <v>93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1">
        <f>IF( SUM($EQ51:ES51)&lt;0, "n/a", SUM($EQ51:ES51)/EU$74)</f>
        <v>0</v>
      </c>
      <c r="EV51" s="223" t="e">
        <f>EU51/EU57</f>
        <v>#DIV/0!</v>
      </c>
      <c r="EW51" s="22"/>
      <c r="EX51" s="43"/>
      <c r="EY51" s="166"/>
      <c r="EZ51" s="43"/>
      <c r="FA51" s="43"/>
    </row>
    <row r="52" spans="1:159" ht="12.75" customHeight="1" x14ac:dyDescent="0.3">
      <c r="A52" s="13"/>
      <c r="B52" s="165" t="s">
        <v>100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21">
        <f>IF( SUM($EQ52:ES52)&lt;0, "n/a", SUM($EQ52:ES52)/EU$74)</f>
        <v>0</v>
      </c>
      <c r="EV52" s="224" t="e">
        <f>EU52/EU57</f>
        <v>#DIV/0!</v>
      </c>
      <c r="EW52" s="26"/>
    </row>
    <row r="53" spans="1:159" x14ac:dyDescent="0.3"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21">
        <f>IF( SUM($EQ53:ES53)&lt;0, "n/a", SUM($EQ53:ES53)/EU$74)</f>
        <v>0</v>
      </c>
      <c r="EV53" s="224" t="e">
        <f>EU53/EU57</f>
        <v>#DIV/0!</v>
      </c>
      <c r="EW53" s="26"/>
    </row>
    <row r="54" spans="1:159" x14ac:dyDescent="0.3"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21">
        <f>IF( SUM($EQ54:ES54)&lt;0, "n/a", SUM($EQ54:ES54)/EU$74)</f>
        <v>0</v>
      </c>
      <c r="EV54" s="224" t="e">
        <f>EU54/EU57</f>
        <v>#DIV/0!</v>
      </c>
      <c r="EW54" s="26"/>
    </row>
    <row r="55" spans="1:159" x14ac:dyDescent="0.3"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21">
        <f>IF( SUM($EQ55:ES55)&lt;0, "n/a", SUM($EQ55:ES55)/EU$74)</f>
        <v>0</v>
      </c>
      <c r="EV55" s="224" t="e">
        <f>EU55/EU57</f>
        <v>#DIV/0!</v>
      </c>
      <c r="EW55" s="26"/>
    </row>
    <row r="56" spans="1:159" x14ac:dyDescent="0.3"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21">
        <f>IF( SUM($EQ56:ES56)&lt;0, "n/a", SUM($EQ56:ES56)/EU$74)</f>
        <v>0</v>
      </c>
      <c r="EV56" s="224" t="e">
        <f>EU56/EU57</f>
        <v>#DIV/0!</v>
      </c>
      <c r="EW56" s="26"/>
    </row>
    <row r="57" spans="1:159" ht="13.3" thickBot="1" x14ac:dyDescent="0.35"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25">
        <f>IF( SUM($EQ57:ES57)&lt;0, "n/a", SUM($EQ57:ES57)/EU$74)</f>
        <v>0</v>
      </c>
      <c r="EV57" s="226" t="e">
        <f>EU57/EU57</f>
        <v>#DIV/0!</v>
      </c>
      <c r="EW57" s="26"/>
    </row>
    <row r="58" spans="1:159" x14ac:dyDescent="0.3"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21">
        <f>IF( SUM($EQ58:ES58)&lt;0, "n/a", SUM($EQ58:ES58)/EU$74)</f>
        <v>0</v>
      </c>
      <c r="EV58" s="227"/>
      <c r="EW58" s="26"/>
    </row>
    <row r="59" spans="1:159" x14ac:dyDescent="0.3"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21">
        <f>IF( SUM($EQ59:ES59)&lt;0, "n/a", SUM($EQ59:ES59)/EU$74)</f>
        <v>0</v>
      </c>
      <c r="EV59" s="224"/>
      <c r="EW59" s="26"/>
    </row>
    <row r="60" spans="1:159" ht="13.3" thickBot="1" x14ac:dyDescent="0.35"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25">
        <f>IF( SUM($EQ60:ES60)&lt;0, "n/a", SUM($EQ60:ES60)/EU$74)</f>
        <v>0</v>
      </c>
      <c r="EV60" s="228"/>
      <c r="EW60" s="26"/>
    </row>
    <row r="61" spans="1:159" x14ac:dyDescent="0.3"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21">
        <f>IF( SUM($EQ61:ES61)&lt;0, "n/a", SUM($EQ61:ES61)/EU$74)</f>
        <v>0</v>
      </c>
      <c r="EV61" s="222" t="e">
        <f>EU61/EU68</f>
        <v>#DIV/0!</v>
      </c>
      <c r="EW61" s="26"/>
    </row>
    <row r="62" spans="1:159" x14ac:dyDescent="0.3"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21">
        <f>IF( SUM($EQ62:ES62)&lt;0, "n/a", SUM($EQ62:ES62)/EU$74)</f>
        <v>0</v>
      </c>
      <c r="EV62" s="223" t="e">
        <f>EU62/EU68</f>
        <v>#DIV/0!</v>
      </c>
      <c r="EW62" s="26"/>
    </row>
    <row r="63" spans="1:159" x14ac:dyDescent="0.3">
      <c r="EU63" s="221">
        <f>IF( SUM($EQ63:ES63)&lt;0, "n/a", SUM($EQ63:ES63)/EU$74)</f>
        <v>0</v>
      </c>
      <c r="EV63" s="224" t="e">
        <f>EU63/EU68</f>
        <v>#DIV/0!</v>
      </c>
    </row>
    <row r="64" spans="1:159" x14ac:dyDescent="0.3">
      <c r="EU64" s="221">
        <f>IF( SUM($EQ64:ES64)&lt;0, "n/a", SUM($EQ64:ES64)/EU$74)</f>
        <v>0</v>
      </c>
      <c r="EV64" s="224" t="e">
        <f>EU64/EU68</f>
        <v>#DIV/0!</v>
      </c>
    </row>
    <row r="65" spans="151:152" x14ac:dyDescent="0.3">
      <c r="EU65" s="221">
        <f>IF( SUM($EQ65:ES65)&lt;0, "n/a", SUM($EQ65:ES65)/EU$74)</f>
        <v>0</v>
      </c>
      <c r="EV65" s="224" t="e">
        <f>EU65/EU68</f>
        <v>#DIV/0!</v>
      </c>
    </row>
    <row r="66" spans="151:152" x14ac:dyDescent="0.3">
      <c r="EU66" s="221">
        <f>IF( SUM($EQ66:ES66)&lt;0, "n/a", SUM($EQ66:ES66)/EU$74)</f>
        <v>0</v>
      </c>
      <c r="EV66" s="224" t="e">
        <f>EU66/EU68</f>
        <v>#DIV/0!</v>
      </c>
    </row>
    <row r="67" spans="151:152" x14ac:dyDescent="0.3">
      <c r="EU67" s="221">
        <f>IF( SUM($EQ67:ES67)&lt;0, "n/a", SUM($EQ67:ES67)/EU$74)</f>
        <v>0</v>
      </c>
      <c r="EV67" s="224" t="e">
        <f>EU67/EU68</f>
        <v>#DIV/0!</v>
      </c>
    </row>
    <row r="68" spans="151:152" ht="13.3" thickBot="1" x14ac:dyDescent="0.35">
      <c r="EU68" s="225">
        <f>IF( SUM($EQ68:ES68)&lt;0, "n/a", SUM($EQ68:ES68)/EU$74)</f>
        <v>0</v>
      </c>
      <c r="EV68" s="226" t="e">
        <f>EU68/EU68</f>
        <v>#DIV/0!</v>
      </c>
    </row>
    <row r="69" spans="151:152" x14ac:dyDescent="0.3">
      <c r="EU69" s="221">
        <f>IF( SUM($EQ69:ES69)&lt;0, "n/a", SUM($EQ69:ES69)/EU$74)</f>
        <v>0</v>
      </c>
      <c r="EV69" s="227"/>
    </row>
    <row r="70" spans="151:152" x14ac:dyDescent="0.3">
      <c r="EU70" s="221">
        <f>IF( SUM($EQ70:ES70)&lt;0, "n/a", SUM($EQ70:ES70)/EU$74)</f>
        <v>0</v>
      </c>
      <c r="EV70" s="224"/>
    </row>
    <row r="71" spans="151:152" ht="13.3" thickBot="1" x14ac:dyDescent="0.35">
      <c r="EU71" s="225">
        <f>IF( SUM($EQ71:ES71)&lt;0, "n/a", SUM($EQ71:ES71)/EU$74)</f>
        <v>0</v>
      </c>
      <c r="EV71" s="228"/>
    </row>
    <row r="72" spans="151:152" ht="13.3" thickBot="1" x14ac:dyDescent="0.4">
      <c r="EU72" s="229"/>
      <c r="EV72" s="230"/>
    </row>
    <row r="73" spans="151:152" x14ac:dyDescent="0.3">
      <c r="EU73" s="231" t="s">
        <v>246</v>
      </c>
      <c r="EV73" s="232"/>
    </row>
    <row r="74" spans="151:152" ht="18" thickBot="1" x14ac:dyDescent="0.35">
      <c r="EU74" s="233">
        <v>2</v>
      </c>
      <c r="EV74" s="232"/>
    </row>
  </sheetData>
  <mergeCells count="1">
    <mergeCell ref="A1:EV1"/>
  </mergeCells>
  <conditionalFormatting sqref="EU72:EV74">
    <cfRule type="containsErrors" dxfId="55" priority="55" stopIfTrue="1">
      <formula>ISERROR(EU72)</formula>
    </cfRule>
    <cfRule type="containsErrors" priority="56" stopIfTrue="1">
      <formula>ISERROR(EU72)</formula>
    </cfRule>
  </conditionalFormatting>
  <conditionalFormatting sqref="EU72:EV74">
    <cfRule type="containsErrors" dxfId="54" priority="53" stopIfTrue="1">
      <formula>ISERROR(EU72)</formula>
    </cfRule>
    <cfRule type="containsErrors" priority="54" stopIfTrue="1">
      <formula>ISERROR(EU72)</formula>
    </cfRule>
  </conditionalFormatting>
  <conditionalFormatting sqref="EU4">
    <cfRule type="containsErrors" dxfId="53" priority="51" stopIfTrue="1">
      <formula>ISERROR(EU4)</formula>
    </cfRule>
    <cfRule type="containsErrors" priority="52" stopIfTrue="1">
      <formula>ISERROR(EU4)</formula>
    </cfRule>
  </conditionalFormatting>
  <conditionalFormatting sqref="EU4:EV5 EU6:EU16">
    <cfRule type="containsErrors" dxfId="52" priority="49" stopIfTrue="1">
      <formula>ISERROR(EU4)</formula>
    </cfRule>
    <cfRule type="containsErrors" priority="50" stopIfTrue="1">
      <formula>ISERROR(EU4)</formula>
    </cfRule>
  </conditionalFormatting>
  <conditionalFormatting sqref="EU4">
    <cfRule type="containsErrors" dxfId="51" priority="47" stopIfTrue="1">
      <formula>ISERROR(EU4)</formula>
    </cfRule>
    <cfRule type="containsErrors" priority="48" stopIfTrue="1">
      <formula>ISERROR(EU4)</formula>
    </cfRule>
  </conditionalFormatting>
  <conditionalFormatting sqref="EU4:EV5 EU6:EU16">
    <cfRule type="containsErrors" dxfId="50" priority="45" stopIfTrue="1">
      <formula>ISERROR(EU4)</formula>
    </cfRule>
    <cfRule type="containsErrors" priority="46" stopIfTrue="1">
      <formula>ISERROR(EU4)</formula>
    </cfRule>
  </conditionalFormatting>
  <conditionalFormatting sqref="EV6:EV16">
    <cfRule type="containsErrors" dxfId="49" priority="43" stopIfTrue="1">
      <formula>ISERROR(EV6)</formula>
    </cfRule>
    <cfRule type="containsErrors" priority="44" stopIfTrue="1">
      <formula>ISERROR(EV6)</formula>
    </cfRule>
  </conditionalFormatting>
  <conditionalFormatting sqref="EV6:EV16">
    <cfRule type="containsErrors" dxfId="48" priority="41" stopIfTrue="1">
      <formula>ISERROR(EV6)</formula>
    </cfRule>
    <cfRule type="containsErrors" priority="42" stopIfTrue="1">
      <formula>ISERROR(EV6)</formula>
    </cfRule>
  </conditionalFormatting>
  <conditionalFormatting sqref="EU17:EU27">
    <cfRule type="containsErrors" dxfId="47" priority="39" stopIfTrue="1">
      <formula>ISERROR(EU17)</formula>
    </cfRule>
    <cfRule type="containsErrors" priority="40" stopIfTrue="1">
      <formula>ISERROR(EU17)</formula>
    </cfRule>
  </conditionalFormatting>
  <conditionalFormatting sqref="EU17:EU27">
    <cfRule type="containsErrors" dxfId="46" priority="37" stopIfTrue="1">
      <formula>ISERROR(EU17)</formula>
    </cfRule>
    <cfRule type="containsErrors" priority="38" stopIfTrue="1">
      <formula>ISERROR(EU17)</formula>
    </cfRule>
  </conditionalFormatting>
  <conditionalFormatting sqref="EV17:EV27">
    <cfRule type="containsErrors" dxfId="45" priority="35" stopIfTrue="1">
      <formula>ISERROR(EV17)</formula>
    </cfRule>
    <cfRule type="containsErrors" priority="36" stopIfTrue="1">
      <formula>ISERROR(EV17)</formula>
    </cfRule>
  </conditionalFormatting>
  <conditionalFormatting sqref="EV17:EV27">
    <cfRule type="containsErrors" dxfId="44" priority="33" stopIfTrue="1">
      <formula>ISERROR(EV17)</formula>
    </cfRule>
    <cfRule type="containsErrors" priority="34" stopIfTrue="1">
      <formula>ISERROR(EV17)</formula>
    </cfRule>
  </conditionalFormatting>
  <conditionalFormatting sqref="EU28:EU38">
    <cfRule type="containsErrors" dxfId="43" priority="31" stopIfTrue="1">
      <formula>ISERROR(EU28)</formula>
    </cfRule>
    <cfRule type="containsErrors" priority="32" stopIfTrue="1">
      <formula>ISERROR(EU28)</formula>
    </cfRule>
  </conditionalFormatting>
  <conditionalFormatting sqref="EU28:EU38">
    <cfRule type="containsErrors" dxfId="42" priority="29" stopIfTrue="1">
      <formula>ISERROR(EU28)</formula>
    </cfRule>
    <cfRule type="containsErrors" priority="30" stopIfTrue="1">
      <formula>ISERROR(EU28)</formula>
    </cfRule>
  </conditionalFormatting>
  <conditionalFormatting sqref="EV28:EV38">
    <cfRule type="containsErrors" dxfId="41" priority="27" stopIfTrue="1">
      <formula>ISERROR(EV28)</formula>
    </cfRule>
    <cfRule type="containsErrors" priority="28" stopIfTrue="1">
      <formula>ISERROR(EV28)</formula>
    </cfRule>
  </conditionalFormatting>
  <conditionalFormatting sqref="EV28:EV38">
    <cfRule type="containsErrors" dxfId="40" priority="25" stopIfTrue="1">
      <formula>ISERROR(EV28)</formula>
    </cfRule>
    <cfRule type="containsErrors" priority="26" stopIfTrue="1">
      <formula>ISERROR(EV28)</formula>
    </cfRule>
  </conditionalFormatting>
  <conditionalFormatting sqref="EU39:EU49">
    <cfRule type="containsErrors" dxfId="39" priority="23" stopIfTrue="1">
      <formula>ISERROR(EU39)</formula>
    </cfRule>
    <cfRule type="containsErrors" priority="24" stopIfTrue="1">
      <formula>ISERROR(EU39)</formula>
    </cfRule>
  </conditionalFormatting>
  <conditionalFormatting sqref="EU39:EU49">
    <cfRule type="containsErrors" dxfId="38" priority="21" stopIfTrue="1">
      <formula>ISERROR(EU39)</formula>
    </cfRule>
    <cfRule type="containsErrors" priority="22" stopIfTrue="1">
      <formula>ISERROR(EU39)</formula>
    </cfRule>
  </conditionalFormatting>
  <conditionalFormatting sqref="EV39:EV49">
    <cfRule type="containsErrors" dxfId="37" priority="19" stopIfTrue="1">
      <formula>ISERROR(EV39)</formula>
    </cfRule>
    <cfRule type="containsErrors" priority="20" stopIfTrue="1">
      <formula>ISERROR(EV39)</formula>
    </cfRule>
  </conditionalFormatting>
  <conditionalFormatting sqref="EV39:EV49">
    <cfRule type="containsErrors" dxfId="36" priority="17" stopIfTrue="1">
      <formula>ISERROR(EV39)</formula>
    </cfRule>
    <cfRule type="containsErrors" priority="18" stopIfTrue="1">
      <formula>ISERROR(EV39)</formula>
    </cfRule>
  </conditionalFormatting>
  <conditionalFormatting sqref="EU50:EU60">
    <cfRule type="containsErrors" dxfId="35" priority="15" stopIfTrue="1">
      <formula>ISERROR(EU50)</formula>
    </cfRule>
    <cfRule type="containsErrors" priority="16" stopIfTrue="1">
      <formula>ISERROR(EU50)</formula>
    </cfRule>
  </conditionalFormatting>
  <conditionalFormatting sqref="EU50:EU60">
    <cfRule type="containsErrors" dxfId="34" priority="13" stopIfTrue="1">
      <formula>ISERROR(EU50)</formula>
    </cfRule>
    <cfRule type="containsErrors" priority="14" stopIfTrue="1">
      <formula>ISERROR(EU50)</formula>
    </cfRule>
  </conditionalFormatting>
  <conditionalFormatting sqref="EV50:EV60">
    <cfRule type="containsErrors" dxfId="33" priority="11" stopIfTrue="1">
      <formula>ISERROR(EV50)</formula>
    </cfRule>
    <cfRule type="containsErrors" priority="12" stopIfTrue="1">
      <formula>ISERROR(EV50)</formula>
    </cfRule>
  </conditionalFormatting>
  <conditionalFormatting sqref="EV50:EV60">
    <cfRule type="containsErrors" dxfId="32" priority="9" stopIfTrue="1">
      <formula>ISERROR(EV50)</formula>
    </cfRule>
    <cfRule type="containsErrors" priority="10" stopIfTrue="1">
      <formula>ISERROR(EV50)</formula>
    </cfRule>
  </conditionalFormatting>
  <conditionalFormatting sqref="EU61:EU71">
    <cfRule type="containsErrors" dxfId="31" priority="7" stopIfTrue="1">
      <formula>ISERROR(EU61)</formula>
    </cfRule>
    <cfRule type="containsErrors" priority="8" stopIfTrue="1">
      <formula>ISERROR(EU61)</formula>
    </cfRule>
  </conditionalFormatting>
  <conditionalFormatting sqref="EU61:EU71">
    <cfRule type="containsErrors" dxfId="30" priority="5" stopIfTrue="1">
      <formula>ISERROR(EU61)</formula>
    </cfRule>
    <cfRule type="containsErrors" priority="6" stopIfTrue="1">
      <formula>ISERROR(EU61)</formula>
    </cfRule>
  </conditionalFormatting>
  <conditionalFormatting sqref="EV61:EV71">
    <cfRule type="containsErrors" dxfId="29" priority="3" stopIfTrue="1">
      <formula>ISERROR(EV61)</formula>
    </cfRule>
    <cfRule type="containsErrors" priority="4" stopIfTrue="1">
      <formula>ISERROR(EV61)</formula>
    </cfRule>
  </conditionalFormatting>
  <conditionalFormatting sqref="EV61:EV71">
    <cfRule type="containsErrors" dxfId="28" priority="1" stopIfTrue="1">
      <formula>ISERROR(EV61)</formula>
    </cfRule>
    <cfRule type="containsErrors" priority="2" stopIfTrue="1">
      <formula>ISERROR(EV61)</formula>
    </cfRule>
  </conditionalFormatting>
  <printOptions horizontalCentered="1"/>
  <pageMargins left="0.17" right="0.17" top="0.33" bottom="0.28000000000000003" header="0.17" footer="0.17"/>
  <pageSetup scale="51" orientation="landscape" horizont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FA157"/>
  <sheetViews>
    <sheetView zoomScale="70" zoomScaleNormal="70" workbookViewId="0">
      <pane xSplit="124" ySplit="5" topLeftCell="EF58" activePane="bottomRight" state="frozen"/>
      <selection pane="topRight" activeCell="DU1" sqref="DU1"/>
      <selection pane="bottomLeft" activeCell="A6" sqref="A6"/>
      <selection pane="bottomRight" activeCell="EW71" sqref="EW71"/>
    </sheetView>
  </sheetViews>
  <sheetFormatPr defaultColWidth="10.69140625" defaultRowHeight="12.9" x14ac:dyDescent="0.3"/>
  <cols>
    <col min="1" max="1" width="7.84375" style="9" customWidth="1"/>
    <col min="2" max="2" width="14.69140625" style="47" customWidth="1"/>
    <col min="3" max="3" width="10.3046875" style="26" hidden="1" customWidth="1"/>
    <col min="4" max="4" width="7" style="26" hidden="1" customWidth="1"/>
    <col min="5" max="5" width="10.3046875" style="26" hidden="1" customWidth="1"/>
    <col min="6" max="6" width="7" style="26" hidden="1" customWidth="1"/>
    <col min="7" max="7" width="10.3046875" style="26" hidden="1" customWidth="1"/>
    <col min="8" max="8" width="7" style="26" hidden="1" customWidth="1"/>
    <col min="9" max="9" width="10.3046875" style="26" hidden="1" customWidth="1"/>
    <col min="10" max="10" width="7" style="26" hidden="1" customWidth="1"/>
    <col min="11" max="11" width="10.3046875" style="26" hidden="1" customWidth="1"/>
    <col min="12" max="12" width="7" style="26" hidden="1" customWidth="1"/>
    <col min="13" max="13" width="10.3046875" style="26" hidden="1" customWidth="1"/>
    <col min="14" max="14" width="7" style="26" hidden="1" customWidth="1"/>
    <col min="15" max="15" width="10.3046875" style="26" hidden="1" customWidth="1"/>
    <col min="16" max="16" width="7" style="26" hidden="1" customWidth="1"/>
    <col min="17" max="17" width="10.3046875" style="26" hidden="1" customWidth="1"/>
    <col min="18" max="18" width="7" style="26" hidden="1" customWidth="1"/>
    <col min="19" max="19" width="10.3046875" style="26" hidden="1" customWidth="1"/>
    <col min="20" max="20" width="7" style="26" hidden="1" customWidth="1"/>
    <col min="21" max="21" width="10.3046875" style="26" hidden="1" customWidth="1"/>
    <col min="22" max="22" width="7" style="26" hidden="1" customWidth="1"/>
    <col min="23" max="23" width="10.3046875" style="26" hidden="1" customWidth="1"/>
    <col min="24" max="24" width="7" style="26" hidden="1" customWidth="1"/>
    <col min="25" max="25" width="10.3046875" style="26" hidden="1" customWidth="1"/>
    <col min="26" max="26" width="7" style="26" hidden="1" customWidth="1"/>
    <col min="27" max="27" width="10.3046875" style="26" hidden="1" customWidth="1"/>
    <col min="28" max="28" width="7" style="26" hidden="1" customWidth="1"/>
    <col min="29" max="29" width="10.3046875" style="26" hidden="1" customWidth="1"/>
    <col min="30" max="30" width="7" style="26" hidden="1" customWidth="1"/>
    <col min="31" max="31" width="10.3046875" style="26" hidden="1" customWidth="1"/>
    <col min="32" max="32" width="7" style="26" hidden="1" customWidth="1"/>
    <col min="33" max="33" width="10.3046875" style="26" hidden="1" customWidth="1"/>
    <col min="34" max="34" width="7" style="26" hidden="1" customWidth="1"/>
    <col min="35" max="35" width="10.3046875" style="26" hidden="1" customWidth="1"/>
    <col min="36" max="36" width="7" style="26" hidden="1" customWidth="1"/>
    <col min="37" max="37" width="10.3046875" style="26" hidden="1" customWidth="1"/>
    <col min="38" max="38" width="7" style="26" hidden="1" customWidth="1"/>
    <col min="39" max="39" width="10.3046875" style="26" hidden="1" customWidth="1"/>
    <col min="40" max="40" width="7" style="26" hidden="1" customWidth="1"/>
    <col min="41" max="41" width="10.3046875" style="26" hidden="1" customWidth="1"/>
    <col min="42" max="42" width="7" style="26" hidden="1" customWidth="1"/>
    <col min="43" max="43" width="10.3046875" style="26" hidden="1" customWidth="1"/>
    <col min="44" max="44" width="7" style="26" hidden="1" customWidth="1"/>
    <col min="45" max="45" width="10.3046875" style="26" hidden="1" customWidth="1"/>
    <col min="46" max="46" width="7" style="26" hidden="1" customWidth="1"/>
    <col min="47" max="47" width="10.3046875" style="26" hidden="1" customWidth="1"/>
    <col min="48" max="48" width="7" style="26" hidden="1" customWidth="1"/>
    <col min="49" max="49" width="10.3046875" style="26" hidden="1" customWidth="1"/>
    <col min="50" max="50" width="7" style="26" hidden="1" customWidth="1"/>
    <col min="51" max="51" width="10.3046875" style="26" hidden="1" customWidth="1"/>
    <col min="52" max="52" width="7" style="26" hidden="1" customWidth="1"/>
    <col min="53" max="53" width="10.3046875" style="26" hidden="1" customWidth="1"/>
    <col min="54" max="54" width="7" style="26" hidden="1" customWidth="1"/>
    <col min="55" max="55" width="10.3046875" style="26" hidden="1" customWidth="1"/>
    <col min="56" max="56" width="7" style="26" hidden="1" customWidth="1"/>
    <col min="57" max="57" width="10.3046875" style="26" hidden="1" customWidth="1"/>
    <col min="58" max="58" width="7" style="26" hidden="1" customWidth="1"/>
    <col min="59" max="59" width="10.3046875" style="26" hidden="1" customWidth="1"/>
    <col min="60" max="60" width="7" style="26" hidden="1" customWidth="1"/>
    <col min="61" max="61" width="10.3046875" style="26" hidden="1" customWidth="1"/>
    <col min="62" max="62" width="7" style="26" hidden="1" customWidth="1"/>
    <col min="63" max="63" width="10.3046875" style="26" hidden="1" customWidth="1"/>
    <col min="64" max="64" width="7" style="26" hidden="1" customWidth="1"/>
    <col min="65" max="65" width="10.3046875" style="26" hidden="1" customWidth="1"/>
    <col min="66" max="66" width="7" style="26" hidden="1" customWidth="1"/>
    <col min="67" max="67" width="10.3046875" style="26" hidden="1" customWidth="1"/>
    <col min="68" max="68" width="7" style="26" hidden="1" customWidth="1"/>
    <col min="69" max="69" width="10.3046875" style="26" hidden="1" customWidth="1"/>
    <col min="70" max="70" width="7" style="26" hidden="1" customWidth="1"/>
    <col min="71" max="71" width="10.3046875" style="26" hidden="1" customWidth="1"/>
    <col min="72" max="72" width="7" style="26" hidden="1" customWidth="1"/>
    <col min="73" max="73" width="10.3046875" style="26" hidden="1" customWidth="1"/>
    <col min="74" max="74" width="7" style="26" hidden="1" customWidth="1"/>
    <col min="75" max="75" width="10.3046875" style="26" hidden="1" customWidth="1"/>
    <col min="76" max="76" width="7" style="26" hidden="1" customWidth="1"/>
    <col min="77" max="77" width="10.3046875" style="26" hidden="1" customWidth="1"/>
    <col min="78" max="78" width="7" style="26" hidden="1" customWidth="1"/>
    <col min="79" max="79" width="10.3046875" style="26" hidden="1" customWidth="1"/>
    <col min="80" max="80" width="7" style="26" hidden="1" customWidth="1"/>
    <col min="81" max="81" width="10.3046875" style="26" hidden="1" customWidth="1"/>
    <col min="82" max="82" width="7" style="26" hidden="1" customWidth="1"/>
    <col min="83" max="83" width="10.3046875" style="26" hidden="1" customWidth="1"/>
    <col min="84" max="84" width="7" style="26" hidden="1" customWidth="1"/>
    <col min="85" max="85" width="10.3046875" style="26" hidden="1" customWidth="1"/>
    <col min="86" max="86" width="7" style="26" hidden="1" customWidth="1"/>
    <col min="87" max="87" width="10.3046875" style="26" hidden="1" customWidth="1"/>
    <col min="88" max="88" width="7" style="26" hidden="1" customWidth="1"/>
    <col min="89" max="89" width="10.3046875" style="26" hidden="1" customWidth="1"/>
    <col min="90" max="90" width="7" style="26" hidden="1" customWidth="1"/>
    <col min="91" max="91" width="10.3046875" style="26" hidden="1" customWidth="1"/>
    <col min="92" max="92" width="7" style="26" hidden="1" customWidth="1"/>
    <col min="93" max="93" width="10.3046875" style="26" hidden="1" customWidth="1"/>
    <col min="94" max="94" width="7" style="26" hidden="1" customWidth="1"/>
    <col min="95" max="95" width="10.3046875" style="26" hidden="1" customWidth="1"/>
    <col min="96" max="96" width="7" style="26" hidden="1" customWidth="1"/>
    <col min="97" max="97" width="10.3046875" style="26" hidden="1" customWidth="1"/>
    <col min="98" max="98" width="7" style="26" hidden="1" customWidth="1"/>
    <col min="99" max="99" width="10.3046875" style="26" hidden="1" customWidth="1"/>
    <col min="100" max="100" width="7" style="26" hidden="1" customWidth="1"/>
    <col min="101" max="101" width="10.3046875" style="26" hidden="1" customWidth="1"/>
    <col min="102" max="102" width="7" style="26" hidden="1" customWidth="1"/>
    <col min="103" max="103" width="10.3046875" style="26" hidden="1" customWidth="1"/>
    <col min="104" max="104" width="7" style="26" hidden="1" customWidth="1"/>
    <col min="105" max="105" width="10.3046875" style="26" hidden="1" customWidth="1"/>
    <col min="106" max="106" width="7" style="26" hidden="1" customWidth="1"/>
    <col min="107" max="107" width="10.3046875" style="26" hidden="1" customWidth="1"/>
    <col min="108" max="108" width="7" style="26" hidden="1" customWidth="1"/>
    <col min="109" max="109" width="10.3046875" style="26" hidden="1" customWidth="1"/>
    <col min="110" max="110" width="7" style="26" hidden="1" customWidth="1"/>
    <col min="111" max="111" width="10.3046875" style="26" hidden="1" customWidth="1"/>
    <col min="112" max="112" width="7" style="26" hidden="1" customWidth="1"/>
    <col min="113" max="113" width="10.3046875" style="26" hidden="1" customWidth="1"/>
    <col min="114" max="114" width="7" style="26" hidden="1" customWidth="1"/>
    <col min="115" max="115" width="10.3046875" style="26" hidden="1" customWidth="1"/>
    <col min="116" max="116" width="7" style="26" hidden="1" customWidth="1"/>
    <col min="117" max="117" width="10.3046875" style="26" hidden="1" customWidth="1"/>
    <col min="118" max="118" width="7" style="26" hidden="1" customWidth="1"/>
    <col min="119" max="119" width="10.3046875" style="26" hidden="1" customWidth="1"/>
    <col min="120" max="120" width="7" style="26" hidden="1" customWidth="1"/>
    <col min="121" max="121" width="10.3046875" style="26" hidden="1" customWidth="1"/>
    <col min="122" max="122" width="7" style="26" hidden="1" customWidth="1"/>
    <col min="123" max="123" width="10.3046875" style="26" hidden="1" customWidth="1"/>
    <col min="124" max="124" width="7" style="26" hidden="1" customWidth="1"/>
    <col min="125" max="125" width="10.3046875" style="26" customWidth="1"/>
    <col min="126" max="126" width="7" style="26" customWidth="1"/>
    <col min="127" max="127" width="10.3046875" style="26" customWidth="1"/>
    <col min="128" max="128" width="7" style="26" customWidth="1"/>
    <col min="129" max="129" width="10.3046875" style="26" customWidth="1"/>
    <col min="130" max="130" width="7" style="26" customWidth="1"/>
    <col min="131" max="131" width="10.3046875" style="26" customWidth="1"/>
    <col min="132" max="132" width="7" style="26" customWidth="1"/>
    <col min="133" max="133" width="10.3046875" style="26" customWidth="1"/>
    <col min="134" max="134" width="7" style="26" customWidth="1"/>
    <col min="135" max="135" width="10.3046875" style="26" customWidth="1"/>
    <col min="136" max="136" width="7" style="26" customWidth="1"/>
    <col min="137" max="137" width="10.3046875" style="26" customWidth="1"/>
    <col min="138" max="138" width="7" style="26" customWidth="1"/>
    <col min="139" max="139" width="10.3046875" style="26" customWidth="1"/>
    <col min="140" max="140" width="7" style="26" customWidth="1"/>
    <col min="141" max="141" width="10.3046875" style="26" customWidth="1"/>
    <col min="142" max="142" width="7" style="26" customWidth="1"/>
    <col min="143" max="143" width="10.3046875" style="26" customWidth="1"/>
    <col min="144" max="144" width="7" style="26" customWidth="1"/>
    <col min="145" max="145" width="10.3046875" style="26" customWidth="1"/>
    <col min="146" max="146" width="7" style="26" customWidth="1"/>
    <col min="147" max="147" width="10.3046875" style="26" customWidth="1"/>
    <col min="148" max="148" width="7" style="26" customWidth="1"/>
    <col min="149" max="149" width="10.3046875" style="26" customWidth="1"/>
    <col min="150" max="150" width="7" style="26" customWidth="1"/>
    <col min="151" max="151" width="11.3046875" customWidth="1"/>
    <col min="152" max="152" width="7" customWidth="1"/>
    <col min="153" max="153" width="7.3046875" style="26" customWidth="1"/>
    <col min="154" max="154" width="12" style="46" bestFit="1" customWidth="1"/>
    <col min="155" max="155" width="12.84375" style="46" customWidth="1"/>
    <col min="156" max="156" width="12.53515625" style="46" customWidth="1"/>
    <col min="157" max="157" width="10.69140625" style="53"/>
    <col min="158" max="16384" width="10.69140625" style="8"/>
  </cols>
  <sheetData>
    <row r="1" spans="1:157" s="142" customFormat="1" ht="21.65" customHeight="1" x14ac:dyDescent="0.3">
      <c r="A1" s="273" t="s">
        <v>149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3"/>
      <c r="BE1" s="273"/>
      <c r="BF1" s="273"/>
      <c r="BG1" s="273"/>
      <c r="BH1" s="273"/>
      <c r="BI1" s="273"/>
      <c r="BJ1" s="273"/>
      <c r="BK1" s="273"/>
      <c r="BL1" s="273"/>
      <c r="BM1" s="273"/>
      <c r="BN1" s="273"/>
      <c r="BO1" s="273"/>
      <c r="BP1" s="273"/>
      <c r="BQ1" s="273"/>
      <c r="BR1" s="273"/>
      <c r="BS1" s="273"/>
      <c r="BT1" s="273"/>
      <c r="BU1" s="273"/>
      <c r="BV1" s="273"/>
      <c r="BW1" s="273"/>
      <c r="BX1" s="273"/>
      <c r="BY1" s="273"/>
      <c r="BZ1" s="273"/>
      <c r="CA1" s="273"/>
      <c r="CB1" s="273"/>
      <c r="CC1" s="273"/>
      <c r="CD1" s="273"/>
      <c r="CE1" s="273"/>
      <c r="CF1" s="273"/>
      <c r="CG1" s="273"/>
      <c r="CH1" s="273"/>
      <c r="CI1" s="273"/>
      <c r="CJ1" s="273"/>
      <c r="CK1" s="273"/>
      <c r="CL1" s="273"/>
      <c r="CM1" s="273"/>
      <c r="CN1" s="273"/>
      <c r="CO1" s="273"/>
      <c r="CP1" s="273"/>
      <c r="CQ1" s="273"/>
      <c r="CR1" s="273"/>
      <c r="CS1" s="273"/>
      <c r="CT1" s="273"/>
      <c r="CU1" s="273"/>
      <c r="CV1" s="273"/>
      <c r="CW1" s="273"/>
      <c r="CX1" s="273"/>
      <c r="CY1" s="273"/>
      <c r="CZ1" s="273"/>
      <c r="DA1" s="273"/>
      <c r="DB1" s="273"/>
      <c r="DC1" s="273"/>
      <c r="DD1" s="273"/>
      <c r="DE1" s="273"/>
      <c r="DF1" s="273"/>
      <c r="DG1" s="273"/>
      <c r="DH1" s="273"/>
      <c r="DI1" s="273"/>
      <c r="DJ1" s="273"/>
      <c r="DK1" s="273"/>
      <c r="DL1" s="273"/>
      <c r="DM1" s="273"/>
      <c r="DN1" s="273"/>
      <c r="DO1" s="273"/>
      <c r="DP1" s="273"/>
      <c r="DQ1" s="273"/>
      <c r="DR1" s="273"/>
      <c r="DS1" s="273"/>
      <c r="DT1" s="273"/>
      <c r="DU1" s="273"/>
      <c r="DV1" s="273"/>
      <c r="DW1" s="273"/>
      <c r="DX1" s="273"/>
      <c r="DY1" s="273"/>
      <c r="DZ1" s="273"/>
      <c r="EA1" s="273"/>
      <c r="EB1" s="273"/>
      <c r="EC1" s="273"/>
      <c r="ED1" s="273"/>
      <c r="EE1" s="273"/>
      <c r="EF1" s="273"/>
      <c r="EG1" s="273"/>
      <c r="EH1" s="273"/>
      <c r="EI1" s="273"/>
      <c r="EJ1" s="273"/>
      <c r="EK1" s="273"/>
      <c r="EL1" s="273"/>
      <c r="EM1" s="273"/>
      <c r="EN1" s="273"/>
      <c r="EO1" s="273"/>
      <c r="EP1" s="273"/>
      <c r="EQ1" s="273"/>
      <c r="ER1" s="273"/>
      <c r="ES1" s="273"/>
      <c r="ET1" s="273"/>
      <c r="EU1" s="273"/>
      <c r="EV1" s="273"/>
      <c r="EW1" s="139"/>
      <c r="EX1" s="140"/>
      <c r="EY1" s="140"/>
      <c r="EZ1" s="140"/>
      <c r="FA1" s="141"/>
    </row>
    <row r="2" spans="1:157" s="142" customFormat="1" ht="4.95" customHeight="1" x14ac:dyDescent="0.3">
      <c r="A2" s="143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44"/>
      <c r="BL2" s="144"/>
      <c r="BM2" s="144"/>
      <c r="BN2" s="144"/>
      <c r="BO2" s="144"/>
      <c r="BP2" s="144"/>
      <c r="BQ2" s="144"/>
      <c r="BR2" s="144"/>
      <c r="BS2" s="144"/>
      <c r="BT2" s="144"/>
      <c r="BU2" s="144"/>
      <c r="BV2" s="144"/>
      <c r="BW2" s="144"/>
      <c r="BX2" s="144"/>
      <c r="BY2" s="144"/>
      <c r="BZ2" s="144"/>
      <c r="CA2" s="144"/>
      <c r="CB2" s="144"/>
      <c r="CC2" s="144"/>
      <c r="CD2" s="144"/>
      <c r="CE2" s="144"/>
      <c r="CF2" s="144"/>
      <c r="CG2" s="144"/>
      <c r="CH2" s="144"/>
      <c r="CI2" s="144"/>
      <c r="CJ2" s="144"/>
      <c r="CK2" s="144"/>
      <c r="CL2" s="144"/>
      <c r="CM2" s="144"/>
      <c r="CN2" s="144"/>
      <c r="CO2" s="144"/>
      <c r="CP2" s="144"/>
      <c r="CQ2" s="144"/>
      <c r="CR2" s="144"/>
      <c r="CS2" s="144"/>
      <c r="CT2" s="144"/>
      <c r="CU2" s="144"/>
      <c r="CV2" s="144"/>
      <c r="CW2" s="144"/>
      <c r="CX2" s="144"/>
      <c r="CY2" s="144"/>
      <c r="CZ2" s="144"/>
      <c r="DA2" s="144"/>
      <c r="DB2" s="144"/>
      <c r="DC2" s="144"/>
      <c r="DD2" s="144"/>
      <c r="DE2" s="144"/>
      <c r="DF2" s="144"/>
      <c r="DG2" s="144"/>
      <c r="DH2" s="144"/>
      <c r="DI2" s="144"/>
      <c r="DJ2" s="144"/>
      <c r="DK2" s="144"/>
      <c r="DL2" s="144"/>
      <c r="DM2" s="144"/>
      <c r="DN2" s="144"/>
      <c r="DO2" s="144"/>
      <c r="DP2" s="144"/>
      <c r="DQ2" s="144"/>
      <c r="DR2" s="144"/>
      <c r="DS2" s="144"/>
      <c r="DT2" s="144"/>
      <c r="DU2" s="144"/>
      <c r="DV2" s="144"/>
      <c r="DW2" s="144"/>
      <c r="DX2" s="144"/>
      <c r="DY2" s="144"/>
      <c r="DZ2" s="144"/>
      <c r="EA2" s="144"/>
      <c r="EB2" s="144"/>
      <c r="EC2" s="144"/>
      <c r="ED2" s="144"/>
      <c r="EE2" s="144"/>
      <c r="EF2" s="144"/>
      <c r="EG2" s="144"/>
      <c r="EH2" s="144"/>
      <c r="EI2" s="144"/>
      <c r="EJ2" s="144"/>
      <c r="EK2" s="144"/>
      <c r="EL2" s="144"/>
      <c r="EM2" s="144"/>
      <c r="EN2" s="144"/>
      <c r="EO2" s="144"/>
      <c r="EP2" s="144"/>
      <c r="EQ2" s="144"/>
      <c r="ER2" s="144"/>
      <c r="ES2" s="144"/>
      <c r="ET2" s="144"/>
      <c r="EU2"/>
      <c r="EV2"/>
      <c r="EW2" s="139"/>
      <c r="EX2" s="140"/>
      <c r="EY2" s="140"/>
      <c r="EZ2" s="140"/>
      <c r="FA2" s="141"/>
    </row>
    <row r="3" spans="1:157" s="142" customFormat="1" ht="4.95" customHeight="1" thickBot="1" x14ac:dyDescent="0.35">
      <c r="A3" s="145"/>
      <c r="B3" s="146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DA3" s="132"/>
      <c r="DB3" s="132"/>
      <c r="DC3" s="132"/>
      <c r="DD3" s="132"/>
      <c r="DE3" s="132"/>
      <c r="DF3" s="132"/>
      <c r="DG3" s="132"/>
      <c r="DH3" s="132"/>
      <c r="DI3" s="132"/>
      <c r="DJ3" s="132"/>
      <c r="DK3" s="132"/>
      <c r="DL3" s="132"/>
      <c r="DM3" s="132"/>
      <c r="DN3" s="132"/>
      <c r="DO3" s="132"/>
      <c r="DP3" s="132"/>
      <c r="DQ3" s="132"/>
      <c r="DR3" s="132"/>
      <c r="DS3" s="132"/>
      <c r="DT3" s="132"/>
      <c r="DU3" s="132"/>
      <c r="DV3" s="132"/>
      <c r="DW3" s="132"/>
      <c r="DX3" s="132"/>
      <c r="DY3" s="132"/>
      <c r="DZ3" s="132"/>
      <c r="EA3" s="132"/>
      <c r="EB3" s="132"/>
      <c r="EC3" s="132"/>
      <c r="ED3" s="132"/>
      <c r="EE3" s="132"/>
      <c r="EF3" s="132"/>
      <c r="EG3" s="132"/>
      <c r="EH3" s="132"/>
      <c r="EI3" s="132"/>
      <c r="EJ3" s="132"/>
      <c r="EK3" s="132"/>
      <c r="EL3" s="132"/>
      <c r="EM3" s="132"/>
      <c r="EN3" s="132"/>
      <c r="EO3" s="132"/>
      <c r="EP3" s="132"/>
      <c r="EQ3" s="132"/>
      <c r="ER3" s="132"/>
      <c r="ES3" s="132"/>
      <c r="ET3" s="132"/>
      <c r="EU3"/>
      <c r="EV3"/>
      <c r="EW3" s="132"/>
      <c r="EX3" s="176"/>
      <c r="EY3" s="176"/>
      <c r="EZ3" s="176"/>
      <c r="FA3" s="177"/>
    </row>
    <row r="4" spans="1:157" s="145" customFormat="1" ht="16.5" customHeight="1" x14ac:dyDescent="0.3">
      <c r="A4" s="114" t="s">
        <v>91</v>
      </c>
      <c r="B4" s="115" t="s">
        <v>94</v>
      </c>
      <c r="C4" s="116" t="s">
        <v>160</v>
      </c>
      <c r="D4" s="117"/>
      <c r="E4" s="116" t="s">
        <v>161</v>
      </c>
      <c r="F4" s="117"/>
      <c r="G4" s="116" t="s">
        <v>162</v>
      </c>
      <c r="H4" s="117"/>
      <c r="I4" s="116" t="s">
        <v>163</v>
      </c>
      <c r="J4" s="117"/>
      <c r="K4" s="116" t="s">
        <v>164</v>
      </c>
      <c r="L4" s="117"/>
      <c r="M4" s="116" t="s">
        <v>165</v>
      </c>
      <c r="N4" s="117"/>
      <c r="O4" s="116" t="s">
        <v>168</v>
      </c>
      <c r="P4" s="117"/>
      <c r="Q4" s="116" t="s">
        <v>169</v>
      </c>
      <c r="R4" s="117"/>
      <c r="S4" s="116" t="s">
        <v>170</v>
      </c>
      <c r="T4" s="117"/>
      <c r="U4" s="116" t="s">
        <v>171</v>
      </c>
      <c r="V4" s="117"/>
      <c r="W4" s="116" t="s">
        <v>172</v>
      </c>
      <c r="X4" s="117"/>
      <c r="Y4" s="116" t="s">
        <v>173</v>
      </c>
      <c r="Z4" s="117"/>
      <c r="AA4" s="116" t="s">
        <v>174</v>
      </c>
      <c r="AB4" s="117"/>
      <c r="AC4" s="116" t="s">
        <v>175</v>
      </c>
      <c r="AD4" s="117"/>
      <c r="AE4" s="116" t="s">
        <v>176</v>
      </c>
      <c r="AF4" s="117"/>
      <c r="AG4" s="116" t="s">
        <v>177</v>
      </c>
      <c r="AH4" s="117"/>
      <c r="AI4" s="116" t="s">
        <v>178</v>
      </c>
      <c r="AJ4" s="117"/>
      <c r="AK4" s="116" t="s">
        <v>180</v>
      </c>
      <c r="AL4" s="117"/>
      <c r="AM4" s="116" t="s">
        <v>181</v>
      </c>
      <c r="AN4" s="117"/>
      <c r="AO4" s="116" t="s">
        <v>184</v>
      </c>
      <c r="AP4" s="117"/>
      <c r="AQ4" s="116" t="s">
        <v>185</v>
      </c>
      <c r="AR4" s="117"/>
      <c r="AS4" s="116" t="s">
        <v>186</v>
      </c>
      <c r="AT4" s="117"/>
      <c r="AU4" s="116" t="s">
        <v>187</v>
      </c>
      <c r="AV4" s="117"/>
      <c r="AW4" s="116" t="s">
        <v>189</v>
      </c>
      <c r="AX4" s="117"/>
      <c r="AY4" s="116" t="s">
        <v>190</v>
      </c>
      <c r="AZ4" s="117"/>
      <c r="BA4" s="116" t="s">
        <v>191</v>
      </c>
      <c r="BB4" s="117"/>
      <c r="BC4" s="116" t="s">
        <v>192</v>
      </c>
      <c r="BD4" s="117"/>
      <c r="BE4" s="116" t="s">
        <v>193</v>
      </c>
      <c r="BF4" s="117"/>
      <c r="BG4" s="116" t="s">
        <v>194</v>
      </c>
      <c r="BH4" s="117"/>
      <c r="BI4" s="116" t="s">
        <v>195</v>
      </c>
      <c r="BJ4" s="117"/>
      <c r="BK4" s="116" t="s">
        <v>196</v>
      </c>
      <c r="BL4" s="117"/>
      <c r="BM4" s="116" t="s">
        <v>197</v>
      </c>
      <c r="BN4" s="117"/>
      <c r="BO4" s="116" t="s">
        <v>198</v>
      </c>
      <c r="BP4" s="117"/>
      <c r="BQ4" s="116" t="s">
        <v>199</v>
      </c>
      <c r="BR4" s="117"/>
      <c r="BS4" s="116" t="s">
        <v>200</v>
      </c>
      <c r="BT4" s="117"/>
      <c r="BU4" s="116" t="s">
        <v>201</v>
      </c>
      <c r="BV4" s="117"/>
      <c r="BW4" s="116" t="s">
        <v>202</v>
      </c>
      <c r="BX4" s="117"/>
      <c r="BY4" s="116" t="s">
        <v>203</v>
      </c>
      <c r="BZ4" s="117"/>
      <c r="CA4" s="116" t="s">
        <v>204</v>
      </c>
      <c r="CB4" s="117"/>
      <c r="CC4" s="116" t="s">
        <v>205</v>
      </c>
      <c r="CD4" s="117"/>
      <c r="CE4" s="116" t="s">
        <v>206</v>
      </c>
      <c r="CF4" s="117"/>
      <c r="CG4" s="116" t="s">
        <v>207</v>
      </c>
      <c r="CH4" s="117"/>
      <c r="CI4" s="116" t="s">
        <v>208</v>
      </c>
      <c r="CJ4" s="117"/>
      <c r="CK4" s="116" t="s">
        <v>209</v>
      </c>
      <c r="CL4" s="117"/>
      <c r="CM4" s="116" t="s">
        <v>210</v>
      </c>
      <c r="CN4" s="117"/>
      <c r="CO4" s="116" t="s">
        <v>211</v>
      </c>
      <c r="CP4" s="117"/>
      <c r="CQ4" s="116" t="s">
        <v>212</v>
      </c>
      <c r="CR4" s="117"/>
      <c r="CS4" s="116" t="s">
        <v>213</v>
      </c>
      <c r="CT4" s="117"/>
      <c r="CU4" s="116" t="s">
        <v>214</v>
      </c>
      <c r="CV4" s="117"/>
      <c r="CW4" s="116" t="s">
        <v>215</v>
      </c>
      <c r="CX4" s="117"/>
      <c r="CY4" s="116" t="s">
        <v>216</v>
      </c>
      <c r="CZ4" s="117"/>
      <c r="DA4" s="116" t="s">
        <v>217</v>
      </c>
      <c r="DB4" s="117"/>
      <c r="DC4" s="116" t="s">
        <v>218</v>
      </c>
      <c r="DD4" s="117"/>
      <c r="DE4" s="116" t="s">
        <v>219</v>
      </c>
      <c r="DF4" s="117"/>
      <c r="DG4" s="116" t="s">
        <v>220</v>
      </c>
      <c r="DH4" s="117"/>
      <c r="DI4" s="116" t="s">
        <v>221</v>
      </c>
      <c r="DJ4" s="117"/>
      <c r="DK4" s="116" t="s">
        <v>222</v>
      </c>
      <c r="DL4" s="117"/>
      <c r="DM4" s="116" t="s">
        <v>223</v>
      </c>
      <c r="DN4" s="117"/>
      <c r="DO4" s="116" t="s">
        <v>224</v>
      </c>
      <c r="DP4" s="117"/>
      <c r="DQ4" s="116" t="s">
        <v>225</v>
      </c>
      <c r="DR4" s="117"/>
      <c r="DS4" s="116" t="s">
        <v>227</v>
      </c>
      <c r="DT4" s="117"/>
      <c r="DU4" s="116" t="s">
        <v>228</v>
      </c>
      <c r="DV4" s="117"/>
      <c r="DW4" s="116" t="s">
        <v>229</v>
      </c>
      <c r="DX4" s="117"/>
      <c r="DY4" s="116" t="s">
        <v>230</v>
      </c>
      <c r="DZ4" s="117"/>
      <c r="EA4" s="116" t="s">
        <v>231</v>
      </c>
      <c r="EB4" s="117"/>
      <c r="EC4" s="116" t="s">
        <v>232</v>
      </c>
      <c r="ED4" s="117"/>
      <c r="EE4" s="116" t="s">
        <v>233</v>
      </c>
      <c r="EF4" s="117"/>
      <c r="EG4" s="116" t="s">
        <v>234</v>
      </c>
      <c r="EH4" s="117"/>
      <c r="EI4" s="116" t="s">
        <v>235</v>
      </c>
      <c r="EJ4" s="117"/>
      <c r="EK4" s="116" t="s">
        <v>236</v>
      </c>
      <c r="EL4" s="117"/>
      <c r="EM4" s="116" t="s">
        <v>237</v>
      </c>
      <c r="EN4" s="117"/>
      <c r="EO4" s="116" t="s">
        <v>238</v>
      </c>
      <c r="EP4" s="117"/>
      <c r="EQ4" s="116" t="s">
        <v>239</v>
      </c>
      <c r="ER4" s="117"/>
      <c r="ES4" s="116" t="str">
        <f>+AM!ES4</f>
        <v>26/02</v>
      </c>
      <c r="ET4" s="117"/>
      <c r="EU4" s="217" t="s">
        <v>245</v>
      </c>
      <c r="EV4" s="218"/>
      <c r="EW4" s="118"/>
      <c r="EX4" s="200"/>
      <c r="EY4" s="201"/>
      <c r="EZ4" s="201"/>
      <c r="FA4" s="202"/>
    </row>
    <row r="5" spans="1:157" s="145" customFormat="1" ht="16.5" customHeight="1" thickBot="1" x14ac:dyDescent="0.35">
      <c r="A5" s="120"/>
      <c r="B5" s="121" t="s">
        <v>76</v>
      </c>
      <c r="C5" s="122" t="s">
        <v>77</v>
      </c>
      <c r="D5" s="123" t="s">
        <v>78</v>
      </c>
      <c r="E5" s="122" t="s">
        <v>77</v>
      </c>
      <c r="F5" s="123" t="s">
        <v>78</v>
      </c>
      <c r="G5" s="122" t="s">
        <v>77</v>
      </c>
      <c r="H5" s="123" t="s">
        <v>78</v>
      </c>
      <c r="I5" s="122" t="s">
        <v>77</v>
      </c>
      <c r="J5" s="123" t="s">
        <v>78</v>
      </c>
      <c r="K5" s="122" t="s">
        <v>77</v>
      </c>
      <c r="L5" s="123" t="s">
        <v>78</v>
      </c>
      <c r="M5" s="122" t="s">
        <v>77</v>
      </c>
      <c r="N5" s="123" t="s">
        <v>78</v>
      </c>
      <c r="O5" s="122" t="s">
        <v>77</v>
      </c>
      <c r="P5" s="123" t="s">
        <v>78</v>
      </c>
      <c r="Q5" s="122" t="s">
        <v>77</v>
      </c>
      <c r="R5" s="123" t="s">
        <v>78</v>
      </c>
      <c r="S5" s="122" t="s">
        <v>77</v>
      </c>
      <c r="T5" s="123" t="s">
        <v>78</v>
      </c>
      <c r="U5" s="122" t="s">
        <v>77</v>
      </c>
      <c r="V5" s="123" t="s">
        <v>78</v>
      </c>
      <c r="W5" s="122" t="s">
        <v>77</v>
      </c>
      <c r="X5" s="123" t="s">
        <v>78</v>
      </c>
      <c r="Y5" s="122" t="s">
        <v>77</v>
      </c>
      <c r="Z5" s="123" t="s">
        <v>78</v>
      </c>
      <c r="AA5" s="122" t="s">
        <v>77</v>
      </c>
      <c r="AB5" s="123" t="s">
        <v>78</v>
      </c>
      <c r="AC5" s="122" t="s">
        <v>77</v>
      </c>
      <c r="AD5" s="123" t="s">
        <v>78</v>
      </c>
      <c r="AE5" s="122" t="s">
        <v>77</v>
      </c>
      <c r="AF5" s="123" t="s">
        <v>78</v>
      </c>
      <c r="AG5" s="122" t="s">
        <v>77</v>
      </c>
      <c r="AH5" s="123" t="s">
        <v>78</v>
      </c>
      <c r="AI5" s="122" t="s">
        <v>77</v>
      </c>
      <c r="AJ5" s="123" t="s">
        <v>78</v>
      </c>
      <c r="AK5" s="122" t="s">
        <v>77</v>
      </c>
      <c r="AL5" s="123" t="s">
        <v>78</v>
      </c>
      <c r="AM5" s="122" t="s">
        <v>77</v>
      </c>
      <c r="AN5" s="123" t="s">
        <v>78</v>
      </c>
      <c r="AO5" s="122" t="s">
        <v>77</v>
      </c>
      <c r="AP5" s="123" t="s">
        <v>78</v>
      </c>
      <c r="AQ5" s="122" t="s">
        <v>77</v>
      </c>
      <c r="AR5" s="123" t="s">
        <v>78</v>
      </c>
      <c r="AS5" s="122" t="s">
        <v>77</v>
      </c>
      <c r="AT5" s="123" t="s">
        <v>78</v>
      </c>
      <c r="AU5" s="122" t="s">
        <v>77</v>
      </c>
      <c r="AV5" s="123" t="s">
        <v>78</v>
      </c>
      <c r="AW5" s="122" t="s">
        <v>77</v>
      </c>
      <c r="AX5" s="123" t="s">
        <v>78</v>
      </c>
      <c r="AY5" s="122" t="s">
        <v>77</v>
      </c>
      <c r="AZ5" s="123" t="s">
        <v>78</v>
      </c>
      <c r="BA5" s="122" t="s">
        <v>77</v>
      </c>
      <c r="BB5" s="123" t="s">
        <v>78</v>
      </c>
      <c r="BC5" s="122" t="s">
        <v>77</v>
      </c>
      <c r="BD5" s="123" t="s">
        <v>78</v>
      </c>
      <c r="BE5" s="122" t="s">
        <v>77</v>
      </c>
      <c r="BF5" s="123" t="s">
        <v>78</v>
      </c>
      <c r="BG5" s="122" t="s">
        <v>77</v>
      </c>
      <c r="BH5" s="123" t="s">
        <v>78</v>
      </c>
      <c r="BI5" s="122" t="s">
        <v>77</v>
      </c>
      <c r="BJ5" s="123" t="s">
        <v>78</v>
      </c>
      <c r="BK5" s="122" t="s">
        <v>77</v>
      </c>
      <c r="BL5" s="123" t="s">
        <v>78</v>
      </c>
      <c r="BM5" s="122" t="s">
        <v>77</v>
      </c>
      <c r="BN5" s="123" t="s">
        <v>78</v>
      </c>
      <c r="BO5" s="122" t="s">
        <v>77</v>
      </c>
      <c r="BP5" s="123" t="s">
        <v>78</v>
      </c>
      <c r="BQ5" s="122" t="s">
        <v>77</v>
      </c>
      <c r="BR5" s="123" t="s">
        <v>78</v>
      </c>
      <c r="BS5" s="122" t="s">
        <v>77</v>
      </c>
      <c r="BT5" s="123" t="s">
        <v>78</v>
      </c>
      <c r="BU5" s="122" t="s">
        <v>77</v>
      </c>
      <c r="BV5" s="123" t="s">
        <v>78</v>
      </c>
      <c r="BW5" s="122" t="s">
        <v>77</v>
      </c>
      <c r="BX5" s="123" t="s">
        <v>78</v>
      </c>
      <c r="BY5" s="122" t="s">
        <v>77</v>
      </c>
      <c r="BZ5" s="123" t="s">
        <v>78</v>
      </c>
      <c r="CA5" s="122" t="s">
        <v>77</v>
      </c>
      <c r="CB5" s="123" t="s">
        <v>78</v>
      </c>
      <c r="CC5" s="122" t="s">
        <v>77</v>
      </c>
      <c r="CD5" s="123" t="s">
        <v>78</v>
      </c>
      <c r="CE5" s="122" t="s">
        <v>77</v>
      </c>
      <c r="CF5" s="123" t="s">
        <v>78</v>
      </c>
      <c r="CG5" s="122" t="s">
        <v>77</v>
      </c>
      <c r="CH5" s="123" t="s">
        <v>78</v>
      </c>
      <c r="CI5" s="122" t="s">
        <v>77</v>
      </c>
      <c r="CJ5" s="123" t="s">
        <v>78</v>
      </c>
      <c r="CK5" s="122" t="s">
        <v>77</v>
      </c>
      <c r="CL5" s="123" t="s">
        <v>78</v>
      </c>
      <c r="CM5" s="122" t="s">
        <v>77</v>
      </c>
      <c r="CN5" s="123" t="s">
        <v>78</v>
      </c>
      <c r="CO5" s="122" t="s">
        <v>77</v>
      </c>
      <c r="CP5" s="123" t="s">
        <v>78</v>
      </c>
      <c r="CQ5" s="122" t="s">
        <v>77</v>
      </c>
      <c r="CR5" s="123" t="s">
        <v>78</v>
      </c>
      <c r="CS5" s="122" t="s">
        <v>77</v>
      </c>
      <c r="CT5" s="123" t="s">
        <v>78</v>
      </c>
      <c r="CU5" s="122" t="s">
        <v>77</v>
      </c>
      <c r="CV5" s="123" t="s">
        <v>78</v>
      </c>
      <c r="CW5" s="122" t="s">
        <v>77</v>
      </c>
      <c r="CX5" s="123" t="s">
        <v>78</v>
      </c>
      <c r="CY5" s="122" t="s">
        <v>77</v>
      </c>
      <c r="CZ5" s="123" t="s">
        <v>78</v>
      </c>
      <c r="DA5" s="122" t="s">
        <v>77</v>
      </c>
      <c r="DB5" s="123" t="s">
        <v>78</v>
      </c>
      <c r="DC5" s="122" t="s">
        <v>77</v>
      </c>
      <c r="DD5" s="123" t="s">
        <v>78</v>
      </c>
      <c r="DE5" s="122" t="s">
        <v>77</v>
      </c>
      <c r="DF5" s="123" t="s">
        <v>78</v>
      </c>
      <c r="DG5" s="122" t="s">
        <v>77</v>
      </c>
      <c r="DH5" s="123" t="s">
        <v>78</v>
      </c>
      <c r="DI5" s="122" t="s">
        <v>77</v>
      </c>
      <c r="DJ5" s="123" t="s">
        <v>78</v>
      </c>
      <c r="DK5" s="122" t="s">
        <v>77</v>
      </c>
      <c r="DL5" s="123" t="s">
        <v>78</v>
      </c>
      <c r="DM5" s="122" t="s">
        <v>77</v>
      </c>
      <c r="DN5" s="123" t="s">
        <v>78</v>
      </c>
      <c r="DO5" s="122" t="s">
        <v>77</v>
      </c>
      <c r="DP5" s="123" t="s">
        <v>78</v>
      </c>
      <c r="DQ5" s="122" t="s">
        <v>77</v>
      </c>
      <c r="DR5" s="123" t="s">
        <v>78</v>
      </c>
      <c r="DS5" s="122" t="s">
        <v>77</v>
      </c>
      <c r="DT5" s="123" t="s">
        <v>78</v>
      </c>
      <c r="DU5" s="122" t="s">
        <v>77</v>
      </c>
      <c r="DV5" s="123" t="s">
        <v>78</v>
      </c>
      <c r="DW5" s="122" t="s">
        <v>77</v>
      </c>
      <c r="DX5" s="123" t="s">
        <v>78</v>
      </c>
      <c r="DY5" s="122" t="s">
        <v>77</v>
      </c>
      <c r="DZ5" s="123" t="s">
        <v>78</v>
      </c>
      <c r="EA5" s="122" t="s">
        <v>77</v>
      </c>
      <c r="EB5" s="123" t="s">
        <v>78</v>
      </c>
      <c r="EC5" s="122" t="s">
        <v>77</v>
      </c>
      <c r="ED5" s="123" t="s">
        <v>78</v>
      </c>
      <c r="EE5" s="122" t="s">
        <v>77</v>
      </c>
      <c r="EF5" s="123" t="s">
        <v>78</v>
      </c>
      <c r="EG5" s="122" t="s">
        <v>77</v>
      </c>
      <c r="EH5" s="123" t="s">
        <v>78</v>
      </c>
      <c r="EI5" s="122" t="s">
        <v>77</v>
      </c>
      <c r="EJ5" s="123" t="s">
        <v>78</v>
      </c>
      <c r="EK5" s="122" t="s">
        <v>77</v>
      </c>
      <c r="EL5" s="123" t="s">
        <v>78</v>
      </c>
      <c r="EM5" s="122" t="s">
        <v>77</v>
      </c>
      <c r="EN5" s="123" t="s">
        <v>78</v>
      </c>
      <c r="EO5" s="122" t="s">
        <v>77</v>
      </c>
      <c r="EP5" s="123" t="s">
        <v>78</v>
      </c>
      <c r="EQ5" s="122" t="s">
        <v>77</v>
      </c>
      <c r="ER5" s="123" t="s">
        <v>78</v>
      </c>
      <c r="ES5" s="122" t="s">
        <v>77</v>
      </c>
      <c r="ET5" s="123" t="s">
        <v>78</v>
      </c>
      <c r="EU5" s="219" t="s">
        <v>77</v>
      </c>
      <c r="EV5" s="220" t="s">
        <v>78</v>
      </c>
      <c r="EW5" s="124"/>
      <c r="EX5" s="147" t="s">
        <v>76</v>
      </c>
      <c r="EY5" s="148"/>
      <c r="EZ5" s="148"/>
      <c r="FA5" s="203" t="s">
        <v>156</v>
      </c>
    </row>
    <row r="6" spans="1:157" ht="16.5" customHeight="1" thickBot="1" x14ac:dyDescent="0.35">
      <c r="A6" s="10"/>
      <c r="B6" s="20" t="s">
        <v>89</v>
      </c>
      <c r="C6" s="21">
        <v>0</v>
      </c>
      <c r="D6" s="23" t="e">
        <v>#DIV/0!</v>
      </c>
      <c r="E6" s="21">
        <v>0</v>
      </c>
      <c r="F6" s="23" t="e">
        <v>#DIV/0!</v>
      </c>
      <c r="G6" s="21">
        <v>0</v>
      </c>
      <c r="H6" s="23" t="e">
        <v>#DIV/0!</v>
      </c>
      <c r="I6" s="21">
        <v>0</v>
      </c>
      <c r="J6" s="23" t="e">
        <v>#DIV/0!</v>
      </c>
      <c r="K6" s="21">
        <v>0</v>
      </c>
      <c r="L6" s="23" t="e">
        <v>#DIV/0!</v>
      </c>
      <c r="M6" s="21">
        <v>0</v>
      </c>
      <c r="N6" s="23" t="e">
        <v>#DIV/0!</v>
      </c>
      <c r="O6" s="21">
        <v>0</v>
      </c>
      <c r="P6" s="23" t="e">
        <v>#DIV/0!</v>
      </c>
      <c r="Q6" s="21">
        <v>0</v>
      </c>
      <c r="R6" s="23" t="e">
        <v>#DIV/0!</v>
      </c>
      <c r="S6" s="21">
        <v>0</v>
      </c>
      <c r="T6" s="23" t="e">
        <v>#DIV/0!</v>
      </c>
      <c r="U6" s="21">
        <v>0</v>
      </c>
      <c r="V6" s="23" t="e">
        <v>#DIV/0!</v>
      </c>
      <c r="W6" s="21">
        <v>0</v>
      </c>
      <c r="X6" s="23" t="e">
        <v>#DIV/0!</v>
      </c>
      <c r="Y6" s="21">
        <v>0</v>
      </c>
      <c r="Z6" s="23" t="e">
        <v>#DIV/0!</v>
      </c>
      <c r="AA6" s="21">
        <v>0</v>
      </c>
      <c r="AB6" s="23" t="e">
        <v>#DIV/0!</v>
      </c>
      <c r="AC6" s="21">
        <v>0</v>
      </c>
      <c r="AD6" s="23" t="e">
        <v>#DIV/0!</v>
      </c>
      <c r="AE6" s="21">
        <v>0</v>
      </c>
      <c r="AF6" s="23" t="e">
        <v>#DIV/0!</v>
      </c>
      <c r="AG6" s="21">
        <v>0</v>
      </c>
      <c r="AH6" s="23" t="e">
        <v>#DIV/0!</v>
      </c>
      <c r="AI6" s="21">
        <v>0</v>
      </c>
      <c r="AJ6" s="23" t="e">
        <v>#DIV/0!</v>
      </c>
      <c r="AK6" s="21">
        <v>0</v>
      </c>
      <c r="AL6" s="23" t="e">
        <v>#DIV/0!</v>
      </c>
      <c r="AM6" s="21">
        <v>0</v>
      </c>
      <c r="AN6" s="23" t="e">
        <v>#DIV/0!</v>
      </c>
      <c r="AO6" s="21">
        <v>0</v>
      </c>
      <c r="AP6" s="23" t="e">
        <v>#DIV/0!</v>
      </c>
      <c r="AQ6" s="21">
        <v>0</v>
      </c>
      <c r="AR6" s="23" t="e">
        <v>#DIV/0!</v>
      </c>
      <c r="AS6" s="21">
        <v>0</v>
      </c>
      <c r="AT6" s="23" t="e">
        <v>#DIV/0!</v>
      </c>
      <c r="AU6" s="21">
        <v>0</v>
      </c>
      <c r="AV6" s="23" t="e">
        <v>#DIV/0!</v>
      </c>
      <c r="AW6" s="21">
        <v>0</v>
      </c>
      <c r="AX6" s="23" t="e">
        <v>#DIV/0!</v>
      </c>
      <c r="AY6" s="21">
        <v>0</v>
      </c>
      <c r="AZ6" s="23" t="e">
        <v>#DIV/0!</v>
      </c>
      <c r="BA6" s="21">
        <v>0</v>
      </c>
      <c r="BB6" s="23" t="e">
        <v>#DIV/0!</v>
      </c>
      <c r="BC6" s="21">
        <v>0</v>
      </c>
      <c r="BD6" s="23" t="e">
        <v>#DIV/0!</v>
      </c>
      <c r="BE6" s="21">
        <v>0</v>
      </c>
      <c r="BF6" s="23" t="e">
        <v>#DIV/0!</v>
      </c>
      <c r="BG6" s="21">
        <v>0</v>
      </c>
      <c r="BH6" s="23" t="e">
        <v>#DIV/0!</v>
      </c>
      <c r="BI6" s="21">
        <v>0</v>
      </c>
      <c r="BJ6" s="23" t="e">
        <v>#DIV/0!</v>
      </c>
      <c r="BK6" s="21">
        <v>0</v>
      </c>
      <c r="BL6" s="23" t="e">
        <v>#DIV/0!</v>
      </c>
      <c r="BM6" s="21">
        <v>0</v>
      </c>
      <c r="BN6" s="23" t="e">
        <v>#DIV/0!</v>
      </c>
      <c r="BO6" s="21">
        <v>0</v>
      </c>
      <c r="BP6" s="23" t="e">
        <v>#DIV/0!</v>
      </c>
      <c r="BQ6" s="21">
        <v>0</v>
      </c>
      <c r="BR6" s="23" t="e">
        <v>#DIV/0!</v>
      </c>
      <c r="BS6" s="21">
        <v>0</v>
      </c>
      <c r="BT6" s="23" t="e">
        <v>#DIV/0!</v>
      </c>
      <c r="BU6" s="21">
        <v>0</v>
      </c>
      <c r="BV6" s="23" t="e">
        <v>#DIV/0!</v>
      </c>
      <c r="BW6" s="21">
        <v>0</v>
      </c>
      <c r="BX6" s="23" t="e">
        <v>#DIV/0!</v>
      </c>
      <c r="BY6" s="21">
        <v>0</v>
      </c>
      <c r="BZ6" s="23" t="e">
        <v>#DIV/0!</v>
      </c>
      <c r="CA6" s="21">
        <v>0</v>
      </c>
      <c r="CB6" s="23" t="e">
        <v>#DIV/0!</v>
      </c>
      <c r="CC6" s="21">
        <v>0</v>
      </c>
      <c r="CD6" s="23" t="e">
        <v>#DIV/0!</v>
      </c>
      <c r="CE6" s="21">
        <v>0</v>
      </c>
      <c r="CF6" s="23" t="e">
        <v>#DIV/0!</v>
      </c>
      <c r="CG6" s="21">
        <v>0</v>
      </c>
      <c r="CH6" s="23" t="e">
        <v>#DIV/0!</v>
      </c>
      <c r="CI6" s="21">
        <v>0</v>
      </c>
      <c r="CJ6" s="23" t="e">
        <v>#DIV/0!</v>
      </c>
      <c r="CK6" s="21">
        <v>0</v>
      </c>
      <c r="CL6" s="23" t="e">
        <v>#DIV/0!</v>
      </c>
      <c r="CM6" s="21">
        <v>0</v>
      </c>
      <c r="CN6" s="23" t="e">
        <v>#DIV/0!</v>
      </c>
      <c r="CO6" s="21">
        <v>0</v>
      </c>
      <c r="CP6" s="23" t="e">
        <v>#DIV/0!</v>
      </c>
      <c r="CQ6" s="21">
        <v>0</v>
      </c>
      <c r="CR6" s="23" t="e">
        <v>#DIV/0!</v>
      </c>
      <c r="CS6" s="21">
        <v>0</v>
      </c>
      <c r="CT6" s="23" t="e">
        <v>#DIV/0!</v>
      </c>
      <c r="CU6" s="21">
        <v>0</v>
      </c>
      <c r="CV6" s="23" t="e">
        <v>#DIV/0!</v>
      </c>
      <c r="CW6" s="21">
        <v>0</v>
      </c>
      <c r="CX6" s="23" t="e">
        <v>#DIV/0!</v>
      </c>
      <c r="CY6" s="21">
        <v>0</v>
      </c>
      <c r="CZ6" s="23" t="e">
        <v>#DIV/0!</v>
      </c>
      <c r="DA6" s="21">
        <v>0</v>
      </c>
      <c r="DB6" s="23" t="e">
        <v>#DIV/0!</v>
      </c>
      <c r="DC6" s="21">
        <v>0</v>
      </c>
      <c r="DD6" s="23" t="e">
        <v>#DIV/0!</v>
      </c>
      <c r="DE6" s="21">
        <v>0</v>
      </c>
      <c r="DF6" s="23" t="e">
        <v>#DIV/0!</v>
      </c>
      <c r="DG6" s="21">
        <v>0</v>
      </c>
      <c r="DH6" s="23" t="e">
        <v>#DIV/0!</v>
      </c>
      <c r="DI6" s="21">
        <v>0</v>
      </c>
      <c r="DJ6" s="23" t="e">
        <v>#DIV/0!</v>
      </c>
      <c r="DK6" s="21">
        <v>0</v>
      </c>
      <c r="DL6" s="23" t="e">
        <v>#DIV/0!</v>
      </c>
      <c r="DM6" s="21">
        <v>0</v>
      </c>
      <c r="DN6" s="23" t="e">
        <v>#DIV/0!</v>
      </c>
      <c r="DO6" s="21">
        <v>0</v>
      </c>
      <c r="DP6" s="23" t="e">
        <v>#DIV/0!</v>
      </c>
      <c r="DQ6" s="21">
        <v>0</v>
      </c>
      <c r="DR6" s="23" t="e">
        <v>#DIV/0!</v>
      </c>
      <c r="DS6" s="21">
        <v>0</v>
      </c>
      <c r="DT6" s="23" t="e">
        <v>#DIV/0!</v>
      </c>
      <c r="DU6" s="21">
        <v>0</v>
      </c>
      <c r="DV6" s="23" t="e">
        <v>#DIV/0!</v>
      </c>
      <c r="DW6" s="21">
        <v>0</v>
      </c>
      <c r="DX6" s="23" t="e">
        <v>#DIV/0!</v>
      </c>
      <c r="DY6" s="21">
        <v>0</v>
      </c>
      <c r="DZ6" s="23" t="e">
        <v>#DIV/0!</v>
      </c>
      <c r="EA6" s="21">
        <v>0</v>
      </c>
      <c r="EB6" s="23" t="e">
        <v>#DIV/0!</v>
      </c>
      <c r="EC6" s="21">
        <v>0</v>
      </c>
      <c r="ED6" s="23" t="e">
        <v>#DIV/0!</v>
      </c>
      <c r="EE6" s="21">
        <v>0</v>
      </c>
      <c r="EF6" s="23" t="e">
        <v>#DIV/0!</v>
      </c>
      <c r="EG6" s="21">
        <v>0</v>
      </c>
      <c r="EH6" s="23" t="e">
        <v>#DIV/0!</v>
      </c>
      <c r="EI6" s="21">
        <v>0</v>
      </c>
      <c r="EJ6" s="23" t="e">
        <v>#DIV/0!</v>
      </c>
      <c r="EK6" s="21">
        <v>0</v>
      </c>
      <c r="EL6" s="23" t="e">
        <v>#DIV/0!</v>
      </c>
      <c r="EM6" s="21">
        <v>0</v>
      </c>
      <c r="EN6" s="23" t="e">
        <v>#DIV/0!</v>
      </c>
      <c r="EO6" s="21">
        <v>0</v>
      </c>
      <c r="EP6" s="23" t="e">
        <v>#DIV/0!</v>
      </c>
      <c r="EQ6" s="21">
        <v>0</v>
      </c>
      <c r="ER6" s="23" t="e">
        <v>#DIV/0!</v>
      </c>
      <c r="ES6" s="21">
        <f t="shared" ref="ES6:ES12" si="0">+$EY6</f>
        <v>0</v>
      </c>
      <c r="ET6" s="23" t="e">
        <f>ES6/ES13</f>
        <v>#DIV/0!</v>
      </c>
      <c r="EU6" s="221" t="e">
        <f>IF( SUM($EQ6:ES6)&lt;0, "n/a", SUM($EQ6:ES6)/EU$74)</f>
        <v>#DIV/0!</v>
      </c>
      <c r="EV6" s="222" t="e">
        <f>EU6/EU13</f>
        <v>#DIV/0!</v>
      </c>
      <c r="EW6" s="22"/>
      <c r="EX6" s="96" t="s">
        <v>30</v>
      </c>
      <c r="EY6" s="35">
        <f>IF(ISERROR(VLOOKUP(EX6,IQSH01E!$A$1:$M$400,2,0)),0,VLOOKUP(EX6,IQSH01E!$A$1:$M$400,2,0))</f>
        <v>0</v>
      </c>
      <c r="EZ6" s="204"/>
      <c r="FA6" s="182" t="s">
        <v>123</v>
      </c>
    </row>
    <row r="7" spans="1:157" ht="16.5" customHeight="1" thickBot="1" x14ac:dyDescent="0.35">
      <c r="A7" s="10"/>
      <c r="B7" s="14" t="s">
        <v>79</v>
      </c>
      <c r="C7" s="18">
        <v>0</v>
      </c>
      <c r="D7" s="24" t="e">
        <v>#DIV/0!</v>
      </c>
      <c r="E7" s="18">
        <v>0</v>
      </c>
      <c r="F7" s="24" t="e">
        <v>#DIV/0!</v>
      </c>
      <c r="G7" s="18">
        <v>0</v>
      </c>
      <c r="H7" s="24" t="e">
        <v>#DIV/0!</v>
      </c>
      <c r="I7" s="18">
        <v>0</v>
      </c>
      <c r="J7" s="24" t="e">
        <v>#DIV/0!</v>
      </c>
      <c r="K7" s="18">
        <v>0</v>
      </c>
      <c r="L7" s="24" t="e">
        <v>#DIV/0!</v>
      </c>
      <c r="M7" s="18">
        <v>0</v>
      </c>
      <c r="N7" s="24" t="e">
        <v>#DIV/0!</v>
      </c>
      <c r="O7" s="18">
        <v>0</v>
      </c>
      <c r="P7" s="24" t="e">
        <v>#DIV/0!</v>
      </c>
      <c r="Q7" s="18">
        <v>0</v>
      </c>
      <c r="R7" s="24" t="e">
        <v>#DIV/0!</v>
      </c>
      <c r="S7" s="18">
        <v>0</v>
      </c>
      <c r="T7" s="24" t="e">
        <v>#DIV/0!</v>
      </c>
      <c r="U7" s="18">
        <v>0</v>
      </c>
      <c r="V7" s="24" t="e">
        <v>#DIV/0!</v>
      </c>
      <c r="W7" s="18">
        <v>0</v>
      </c>
      <c r="X7" s="24" t="e">
        <v>#DIV/0!</v>
      </c>
      <c r="Y7" s="18">
        <v>0</v>
      </c>
      <c r="Z7" s="24" t="e">
        <v>#DIV/0!</v>
      </c>
      <c r="AA7" s="18">
        <v>0</v>
      </c>
      <c r="AB7" s="24" t="e">
        <v>#DIV/0!</v>
      </c>
      <c r="AC7" s="18">
        <v>0</v>
      </c>
      <c r="AD7" s="24" t="e">
        <v>#DIV/0!</v>
      </c>
      <c r="AE7" s="18">
        <v>0</v>
      </c>
      <c r="AF7" s="24" t="e">
        <v>#DIV/0!</v>
      </c>
      <c r="AG7" s="18">
        <v>0</v>
      </c>
      <c r="AH7" s="24" t="e">
        <v>#DIV/0!</v>
      </c>
      <c r="AI7" s="18">
        <v>0</v>
      </c>
      <c r="AJ7" s="24" t="e">
        <v>#DIV/0!</v>
      </c>
      <c r="AK7" s="18">
        <v>0</v>
      </c>
      <c r="AL7" s="24" t="e">
        <v>#DIV/0!</v>
      </c>
      <c r="AM7" s="18">
        <v>0</v>
      </c>
      <c r="AN7" s="24" t="e">
        <v>#DIV/0!</v>
      </c>
      <c r="AO7" s="18">
        <v>0</v>
      </c>
      <c r="AP7" s="24" t="e">
        <v>#DIV/0!</v>
      </c>
      <c r="AQ7" s="18">
        <v>0</v>
      </c>
      <c r="AR7" s="24" t="e">
        <v>#DIV/0!</v>
      </c>
      <c r="AS7" s="18">
        <v>0</v>
      </c>
      <c r="AT7" s="24" t="e">
        <v>#DIV/0!</v>
      </c>
      <c r="AU7" s="18">
        <v>0</v>
      </c>
      <c r="AV7" s="24" t="e">
        <v>#DIV/0!</v>
      </c>
      <c r="AW7" s="18">
        <v>0</v>
      </c>
      <c r="AX7" s="24" t="e">
        <v>#DIV/0!</v>
      </c>
      <c r="AY7" s="18">
        <v>0</v>
      </c>
      <c r="AZ7" s="24" t="e">
        <v>#DIV/0!</v>
      </c>
      <c r="BA7" s="18">
        <v>0</v>
      </c>
      <c r="BB7" s="24" t="e">
        <v>#DIV/0!</v>
      </c>
      <c r="BC7" s="18">
        <v>0</v>
      </c>
      <c r="BD7" s="24" t="e">
        <v>#DIV/0!</v>
      </c>
      <c r="BE7" s="18">
        <v>0</v>
      </c>
      <c r="BF7" s="24" t="e">
        <v>#DIV/0!</v>
      </c>
      <c r="BG7" s="18">
        <v>0</v>
      </c>
      <c r="BH7" s="24" t="e">
        <v>#DIV/0!</v>
      </c>
      <c r="BI7" s="18">
        <v>0</v>
      </c>
      <c r="BJ7" s="24" t="e">
        <v>#DIV/0!</v>
      </c>
      <c r="BK7" s="18">
        <v>0</v>
      </c>
      <c r="BL7" s="24" t="e">
        <v>#DIV/0!</v>
      </c>
      <c r="BM7" s="18">
        <v>0</v>
      </c>
      <c r="BN7" s="24" t="e">
        <v>#DIV/0!</v>
      </c>
      <c r="BO7" s="18">
        <v>0</v>
      </c>
      <c r="BP7" s="24" t="e">
        <v>#DIV/0!</v>
      </c>
      <c r="BQ7" s="18">
        <v>0</v>
      </c>
      <c r="BR7" s="24" t="e">
        <v>#DIV/0!</v>
      </c>
      <c r="BS7" s="18">
        <v>0</v>
      </c>
      <c r="BT7" s="24" t="e">
        <v>#DIV/0!</v>
      </c>
      <c r="BU7" s="18">
        <v>0</v>
      </c>
      <c r="BV7" s="24" t="e">
        <v>#DIV/0!</v>
      </c>
      <c r="BW7" s="18">
        <v>0</v>
      </c>
      <c r="BX7" s="24" t="e">
        <v>#DIV/0!</v>
      </c>
      <c r="BY7" s="18">
        <v>0</v>
      </c>
      <c r="BZ7" s="24" t="e">
        <v>#DIV/0!</v>
      </c>
      <c r="CA7" s="18">
        <v>0</v>
      </c>
      <c r="CB7" s="24" t="e">
        <v>#DIV/0!</v>
      </c>
      <c r="CC7" s="18">
        <v>0</v>
      </c>
      <c r="CD7" s="24" t="e">
        <v>#DIV/0!</v>
      </c>
      <c r="CE7" s="18">
        <v>0</v>
      </c>
      <c r="CF7" s="24" t="e">
        <v>#DIV/0!</v>
      </c>
      <c r="CG7" s="18">
        <v>0</v>
      </c>
      <c r="CH7" s="24" t="e">
        <v>#DIV/0!</v>
      </c>
      <c r="CI7" s="18">
        <v>0</v>
      </c>
      <c r="CJ7" s="24" t="e">
        <v>#DIV/0!</v>
      </c>
      <c r="CK7" s="18">
        <v>0</v>
      </c>
      <c r="CL7" s="24" t="e">
        <v>#DIV/0!</v>
      </c>
      <c r="CM7" s="18">
        <v>0</v>
      </c>
      <c r="CN7" s="24" t="e">
        <v>#DIV/0!</v>
      </c>
      <c r="CO7" s="18">
        <v>0</v>
      </c>
      <c r="CP7" s="24" t="e">
        <v>#DIV/0!</v>
      </c>
      <c r="CQ7" s="18">
        <v>0</v>
      </c>
      <c r="CR7" s="24" t="e">
        <v>#DIV/0!</v>
      </c>
      <c r="CS7" s="18">
        <v>0</v>
      </c>
      <c r="CT7" s="24" t="e">
        <v>#DIV/0!</v>
      </c>
      <c r="CU7" s="18">
        <v>0</v>
      </c>
      <c r="CV7" s="24" t="e">
        <v>#DIV/0!</v>
      </c>
      <c r="CW7" s="18">
        <v>0</v>
      </c>
      <c r="CX7" s="24" t="e">
        <v>#DIV/0!</v>
      </c>
      <c r="CY7" s="18">
        <v>0</v>
      </c>
      <c r="CZ7" s="24" t="e">
        <v>#DIV/0!</v>
      </c>
      <c r="DA7" s="18">
        <v>0</v>
      </c>
      <c r="DB7" s="24" t="e">
        <v>#DIV/0!</v>
      </c>
      <c r="DC7" s="18">
        <v>0</v>
      </c>
      <c r="DD7" s="24" t="e">
        <v>#DIV/0!</v>
      </c>
      <c r="DE7" s="18">
        <v>0</v>
      </c>
      <c r="DF7" s="24" t="e">
        <v>#DIV/0!</v>
      </c>
      <c r="DG7" s="18">
        <v>0</v>
      </c>
      <c r="DH7" s="24" t="e">
        <v>#DIV/0!</v>
      </c>
      <c r="DI7" s="18">
        <v>0</v>
      </c>
      <c r="DJ7" s="24" t="e">
        <v>#DIV/0!</v>
      </c>
      <c r="DK7" s="18">
        <v>0</v>
      </c>
      <c r="DL7" s="24" t="e">
        <v>#DIV/0!</v>
      </c>
      <c r="DM7" s="18">
        <v>0</v>
      </c>
      <c r="DN7" s="24" t="e">
        <v>#DIV/0!</v>
      </c>
      <c r="DO7" s="18">
        <v>0</v>
      </c>
      <c r="DP7" s="24" t="e">
        <v>#DIV/0!</v>
      </c>
      <c r="DQ7" s="18">
        <v>0</v>
      </c>
      <c r="DR7" s="24" t="e">
        <v>#DIV/0!</v>
      </c>
      <c r="DS7" s="18">
        <v>0</v>
      </c>
      <c r="DT7" s="24" t="e">
        <v>#DIV/0!</v>
      </c>
      <c r="DU7" s="18">
        <v>0</v>
      </c>
      <c r="DV7" s="24" t="e">
        <v>#DIV/0!</v>
      </c>
      <c r="DW7" s="18">
        <v>0</v>
      </c>
      <c r="DX7" s="24" t="e">
        <v>#DIV/0!</v>
      </c>
      <c r="DY7" s="18">
        <v>0</v>
      </c>
      <c r="DZ7" s="24" t="e">
        <v>#DIV/0!</v>
      </c>
      <c r="EA7" s="18">
        <v>0</v>
      </c>
      <c r="EB7" s="24" t="e">
        <v>#DIV/0!</v>
      </c>
      <c r="EC7" s="18">
        <v>0</v>
      </c>
      <c r="ED7" s="24" t="e">
        <v>#DIV/0!</v>
      </c>
      <c r="EE7" s="18">
        <v>0</v>
      </c>
      <c r="EF7" s="24" t="e">
        <v>#DIV/0!</v>
      </c>
      <c r="EG7" s="18">
        <v>0</v>
      </c>
      <c r="EH7" s="24" t="e">
        <v>#DIV/0!</v>
      </c>
      <c r="EI7" s="18">
        <v>0</v>
      </c>
      <c r="EJ7" s="24" t="e">
        <v>#DIV/0!</v>
      </c>
      <c r="EK7" s="18">
        <v>0</v>
      </c>
      <c r="EL7" s="24" t="e">
        <v>#DIV/0!</v>
      </c>
      <c r="EM7" s="18">
        <v>0</v>
      </c>
      <c r="EN7" s="24" t="e">
        <v>#DIV/0!</v>
      </c>
      <c r="EO7" s="18">
        <v>0</v>
      </c>
      <c r="EP7" s="24" t="e">
        <v>#DIV/0!</v>
      </c>
      <c r="EQ7" s="18">
        <v>0</v>
      </c>
      <c r="ER7" s="24" t="e">
        <v>#DIV/0!</v>
      </c>
      <c r="ES7" s="18">
        <f t="shared" si="0"/>
        <v>0</v>
      </c>
      <c r="ET7" s="24" t="e">
        <f>ES7/ES13</f>
        <v>#DIV/0!</v>
      </c>
      <c r="EU7" s="221" t="e">
        <f>IF( SUM($EQ7:ES7)&lt;0, "n/a", SUM($EQ7:ES7)/EU$74)</f>
        <v>#DIV/0!</v>
      </c>
      <c r="EV7" s="223" t="e">
        <f>EU7/EU13</f>
        <v>#DIV/0!</v>
      </c>
      <c r="EW7" s="22"/>
      <c r="EX7" s="100" t="s">
        <v>113</v>
      </c>
      <c r="EY7" s="101">
        <f>+EY16-EY15-EY14-EY6-EY9-EY10-EY11-EY12-EY8</f>
        <v>0</v>
      </c>
      <c r="EZ7" s="205"/>
      <c r="FA7" s="186"/>
    </row>
    <row r="8" spans="1:157" ht="16.5" customHeight="1" x14ac:dyDescent="0.3">
      <c r="A8" s="10"/>
      <c r="B8" s="14" t="s">
        <v>107</v>
      </c>
      <c r="C8" s="18">
        <v>0</v>
      </c>
      <c r="D8" s="24" t="e">
        <v>#DIV/0!</v>
      </c>
      <c r="E8" s="18">
        <v>0</v>
      </c>
      <c r="F8" s="24" t="e">
        <v>#DIV/0!</v>
      </c>
      <c r="G8" s="18">
        <v>0</v>
      </c>
      <c r="H8" s="24" t="e">
        <v>#DIV/0!</v>
      </c>
      <c r="I8" s="18">
        <v>0</v>
      </c>
      <c r="J8" s="24" t="e">
        <v>#DIV/0!</v>
      </c>
      <c r="K8" s="18">
        <v>0</v>
      </c>
      <c r="L8" s="24" t="e">
        <v>#DIV/0!</v>
      </c>
      <c r="M8" s="18">
        <v>0</v>
      </c>
      <c r="N8" s="24" t="e">
        <v>#DIV/0!</v>
      </c>
      <c r="O8" s="18">
        <v>0</v>
      </c>
      <c r="P8" s="24" t="e">
        <v>#DIV/0!</v>
      </c>
      <c r="Q8" s="18">
        <v>0</v>
      </c>
      <c r="R8" s="24" t="e">
        <v>#DIV/0!</v>
      </c>
      <c r="S8" s="18">
        <v>0</v>
      </c>
      <c r="T8" s="24" t="e">
        <v>#DIV/0!</v>
      </c>
      <c r="U8" s="18">
        <v>0</v>
      </c>
      <c r="V8" s="24" t="e">
        <v>#DIV/0!</v>
      </c>
      <c r="W8" s="18">
        <v>0</v>
      </c>
      <c r="X8" s="24" t="e">
        <v>#DIV/0!</v>
      </c>
      <c r="Y8" s="18">
        <v>0</v>
      </c>
      <c r="Z8" s="24" t="e">
        <v>#DIV/0!</v>
      </c>
      <c r="AA8" s="18">
        <v>0</v>
      </c>
      <c r="AB8" s="24" t="e">
        <v>#DIV/0!</v>
      </c>
      <c r="AC8" s="18">
        <v>0</v>
      </c>
      <c r="AD8" s="24" t="e">
        <v>#DIV/0!</v>
      </c>
      <c r="AE8" s="18">
        <v>0</v>
      </c>
      <c r="AF8" s="24" t="e">
        <v>#DIV/0!</v>
      </c>
      <c r="AG8" s="18">
        <v>0</v>
      </c>
      <c r="AH8" s="24" t="e">
        <v>#DIV/0!</v>
      </c>
      <c r="AI8" s="18">
        <v>0</v>
      </c>
      <c r="AJ8" s="24" t="e">
        <v>#DIV/0!</v>
      </c>
      <c r="AK8" s="18">
        <v>0</v>
      </c>
      <c r="AL8" s="24" t="e">
        <v>#DIV/0!</v>
      </c>
      <c r="AM8" s="18">
        <v>0</v>
      </c>
      <c r="AN8" s="24" t="e">
        <v>#DIV/0!</v>
      </c>
      <c r="AO8" s="18">
        <v>0</v>
      </c>
      <c r="AP8" s="24" t="e">
        <v>#DIV/0!</v>
      </c>
      <c r="AQ8" s="18">
        <v>0</v>
      </c>
      <c r="AR8" s="24" t="e">
        <v>#DIV/0!</v>
      </c>
      <c r="AS8" s="18">
        <v>0</v>
      </c>
      <c r="AT8" s="24" t="e">
        <v>#DIV/0!</v>
      </c>
      <c r="AU8" s="18">
        <v>0</v>
      </c>
      <c r="AV8" s="24" t="e">
        <v>#DIV/0!</v>
      </c>
      <c r="AW8" s="18">
        <v>0</v>
      </c>
      <c r="AX8" s="24" t="e">
        <v>#DIV/0!</v>
      </c>
      <c r="AY8" s="18">
        <v>0</v>
      </c>
      <c r="AZ8" s="24" t="e">
        <v>#DIV/0!</v>
      </c>
      <c r="BA8" s="18">
        <v>0</v>
      </c>
      <c r="BB8" s="24" t="e">
        <v>#DIV/0!</v>
      </c>
      <c r="BC8" s="18">
        <v>0</v>
      </c>
      <c r="BD8" s="24" t="e">
        <v>#DIV/0!</v>
      </c>
      <c r="BE8" s="18">
        <v>0</v>
      </c>
      <c r="BF8" s="24" t="e">
        <v>#DIV/0!</v>
      </c>
      <c r="BG8" s="18">
        <v>0</v>
      </c>
      <c r="BH8" s="24" t="e">
        <v>#DIV/0!</v>
      </c>
      <c r="BI8" s="18">
        <v>0</v>
      </c>
      <c r="BJ8" s="24" t="e">
        <v>#DIV/0!</v>
      </c>
      <c r="BK8" s="18">
        <v>0</v>
      </c>
      <c r="BL8" s="24" t="e">
        <v>#DIV/0!</v>
      </c>
      <c r="BM8" s="18">
        <v>0</v>
      </c>
      <c r="BN8" s="24" t="e">
        <v>#DIV/0!</v>
      </c>
      <c r="BO8" s="18">
        <v>0</v>
      </c>
      <c r="BP8" s="24" t="e">
        <v>#DIV/0!</v>
      </c>
      <c r="BQ8" s="18">
        <v>0</v>
      </c>
      <c r="BR8" s="24" t="e">
        <v>#DIV/0!</v>
      </c>
      <c r="BS8" s="18">
        <v>0</v>
      </c>
      <c r="BT8" s="24" t="e">
        <v>#DIV/0!</v>
      </c>
      <c r="BU8" s="18">
        <v>0</v>
      </c>
      <c r="BV8" s="24" t="e">
        <v>#DIV/0!</v>
      </c>
      <c r="BW8" s="18">
        <v>0</v>
      </c>
      <c r="BX8" s="24" t="e">
        <v>#DIV/0!</v>
      </c>
      <c r="BY8" s="18">
        <v>0</v>
      </c>
      <c r="BZ8" s="24" t="e">
        <v>#DIV/0!</v>
      </c>
      <c r="CA8" s="18">
        <v>0</v>
      </c>
      <c r="CB8" s="24" t="e">
        <v>#DIV/0!</v>
      </c>
      <c r="CC8" s="18">
        <v>0</v>
      </c>
      <c r="CD8" s="24" t="e">
        <v>#DIV/0!</v>
      </c>
      <c r="CE8" s="18">
        <v>0</v>
      </c>
      <c r="CF8" s="24" t="e">
        <v>#DIV/0!</v>
      </c>
      <c r="CG8" s="18">
        <v>0</v>
      </c>
      <c r="CH8" s="24" t="e">
        <v>#DIV/0!</v>
      </c>
      <c r="CI8" s="18">
        <v>0</v>
      </c>
      <c r="CJ8" s="24" t="e">
        <v>#DIV/0!</v>
      </c>
      <c r="CK8" s="18">
        <v>0</v>
      </c>
      <c r="CL8" s="24" t="e">
        <v>#DIV/0!</v>
      </c>
      <c r="CM8" s="18">
        <v>0</v>
      </c>
      <c r="CN8" s="24" t="e">
        <v>#DIV/0!</v>
      </c>
      <c r="CO8" s="18">
        <v>0</v>
      </c>
      <c r="CP8" s="24" t="e">
        <v>#DIV/0!</v>
      </c>
      <c r="CQ8" s="18">
        <v>0</v>
      </c>
      <c r="CR8" s="24" t="e">
        <v>#DIV/0!</v>
      </c>
      <c r="CS8" s="18">
        <v>0</v>
      </c>
      <c r="CT8" s="24" t="e">
        <v>#DIV/0!</v>
      </c>
      <c r="CU8" s="18">
        <v>0</v>
      </c>
      <c r="CV8" s="24" t="e">
        <v>#DIV/0!</v>
      </c>
      <c r="CW8" s="18">
        <v>0</v>
      </c>
      <c r="CX8" s="24" t="e">
        <v>#DIV/0!</v>
      </c>
      <c r="CY8" s="18">
        <v>0</v>
      </c>
      <c r="CZ8" s="24" t="e">
        <v>#DIV/0!</v>
      </c>
      <c r="DA8" s="18">
        <v>0</v>
      </c>
      <c r="DB8" s="24" t="e">
        <v>#DIV/0!</v>
      </c>
      <c r="DC8" s="18">
        <v>0</v>
      </c>
      <c r="DD8" s="24" t="e">
        <v>#DIV/0!</v>
      </c>
      <c r="DE8" s="18">
        <v>0</v>
      </c>
      <c r="DF8" s="24" t="e">
        <v>#DIV/0!</v>
      </c>
      <c r="DG8" s="18">
        <v>0</v>
      </c>
      <c r="DH8" s="24" t="e">
        <v>#DIV/0!</v>
      </c>
      <c r="DI8" s="18">
        <v>0</v>
      </c>
      <c r="DJ8" s="24" t="e">
        <v>#DIV/0!</v>
      </c>
      <c r="DK8" s="18">
        <v>0</v>
      </c>
      <c r="DL8" s="24" t="e">
        <v>#DIV/0!</v>
      </c>
      <c r="DM8" s="18">
        <v>0</v>
      </c>
      <c r="DN8" s="24" t="e">
        <v>#DIV/0!</v>
      </c>
      <c r="DO8" s="18">
        <v>0</v>
      </c>
      <c r="DP8" s="24" t="e">
        <v>#DIV/0!</v>
      </c>
      <c r="DQ8" s="18">
        <v>0</v>
      </c>
      <c r="DR8" s="24" t="e">
        <v>#DIV/0!</v>
      </c>
      <c r="DS8" s="18">
        <v>0</v>
      </c>
      <c r="DT8" s="24" t="e">
        <v>#DIV/0!</v>
      </c>
      <c r="DU8" s="18">
        <v>0</v>
      </c>
      <c r="DV8" s="24" t="e">
        <v>#DIV/0!</v>
      </c>
      <c r="DW8" s="18">
        <v>0</v>
      </c>
      <c r="DX8" s="24" t="e">
        <v>#DIV/0!</v>
      </c>
      <c r="DY8" s="18">
        <v>0</v>
      </c>
      <c r="DZ8" s="24" t="e">
        <v>#DIV/0!</v>
      </c>
      <c r="EA8" s="18">
        <v>0</v>
      </c>
      <c r="EB8" s="24" t="e">
        <v>#DIV/0!</v>
      </c>
      <c r="EC8" s="18">
        <v>0</v>
      </c>
      <c r="ED8" s="24" t="e">
        <v>#DIV/0!</v>
      </c>
      <c r="EE8" s="18">
        <v>0</v>
      </c>
      <c r="EF8" s="24" t="e">
        <v>#DIV/0!</v>
      </c>
      <c r="EG8" s="18">
        <v>0</v>
      </c>
      <c r="EH8" s="24" t="e">
        <v>#DIV/0!</v>
      </c>
      <c r="EI8" s="18">
        <v>0</v>
      </c>
      <c r="EJ8" s="24" t="e">
        <v>#DIV/0!</v>
      </c>
      <c r="EK8" s="18">
        <v>0</v>
      </c>
      <c r="EL8" s="24" t="e">
        <v>#DIV/0!</v>
      </c>
      <c r="EM8" s="18">
        <v>0</v>
      </c>
      <c r="EN8" s="24" t="e">
        <v>#DIV/0!</v>
      </c>
      <c r="EO8" s="18">
        <v>0</v>
      </c>
      <c r="EP8" s="24" t="e">
        <v>#DIV/0!</v>
      </c>
      <c r="EQ8" s="18">
        <v>0</v>
      </c>
      <c r="ER8" s="24" t="e">
        <v>#DIV/0!</v>
      </c>
      <c r="ES8" s="18">
        <f t="shared" si="0"/>
        <v>0</v>
      </c>
      <c r="ET8" s="24" t="e">
        <f>ES8/ES13</f>
        <v>#DIV/0!</v>
      </c>
      <c r="EU8" s="221" t="e">
        <f>IF( SUM($EQ8:ES8)&lt;0, "n/a", SUM($EQ8:ES8)/EU$74)</f>
        <v>#DIV/0!</v>
      </c>
      <c r="EV8" s="224" t="e">
        <f>EU8/EU13</f>
        <v>#DIV/0!</v>
      </c>
      <c r="EW8" s="22"/>
      <c r="EX8" s="154" t="s">
        <v>134</v>
      </c>
      <c r="EY8" s="34">
        <f>IF(ISERROR(VLOOKUP(EX8,IQSH01E!$A$1:$M$400,2,0)),0,VLOOKUP(EX8,IQSH01E!$A$1:$M$400,2,0))</f>
        <v>0</v>
      </c>
      <c r="EZ8" s="206"/>
      <c r="FA8" s="187" t="s">
        <v>117</v>
      </c>
    </row>
    <row r="9" spans="1:157" ht="16.5" customHeight="1" x14ac:dyDescent="0.3">
      <c r="A9" s="11"/>
      <c r="B9" s="14" t="s">
        <v>80</v>
      </c>
      <c r="C9" s="18">
        <v>0</v>
      </c>
      <c r="D9" s="24" t="e">
        <v>#DIV/0!</v>
      </c>
      <c r="E9" s="18">
        <v>0</v>
      </c>
      <c r="F9" s="24" t="e">
        <v>#DIV/0!</v>
      </c>
      <c r="G9" s="18">
        <v>0</v>
      </c>
      <c r="H9" s="24" t="e">
        <v>#DIV/0!</v>
      </c>
      <c r="I9" s="18">
        <v>0</v>
      </c>
      <c r="J9" s="24" t="e">
        <v>#DIV/0!</v>
      </c>
      <c r="K9" s="18">
        <v>0</v>
      </c>
      <c r="L9" s="24" t="e">
        <v>#DIV/0!</v>
      </c>
      <c r="M9" s="18">
        <v>0</v>
      </c>
      <c r="N9" s="24" t="e">
        <v>#DIV/0!</v>
      </c>
      <c r="O9" s="18">
        <v>0</v>
      </c>
      <c r="P9" s="24" t="e">
        <v>#DIV/0!</v>
      </c>
      <c r="Q9" s="18">
        <v>0</v>
      </c>
      <c r="R9" s="24" t="e">
        <v>#DIV/0!</v>
      </c>
      <c r="S9" s="18">
        <v>0</v>
      </c>
      <c r="T9" s="24" t="e">
        <v>#DIV/0!</v>
      </c>
      <c r="U9" s="18">
        <v>0</v>
      </c>
      <c r="V9" s="24" t="e">
        <v>#DIV/0!</v>
      </c>
      <c r="W9" s="18">
        <v>0</v>
      </c>
      <c r="X9" s="24" t="e">
        <v>#DIV/0!</v>
      </c>
      <c r="Y9" s="18">
        <v>0</v>
      </c>
      <c r="Z9" s="24" t="e">
        <v>#DIV/0!</v>
      </c>
      <c r="AA9" s="18">
        <v>0</v>
      </c>
      <c r="AB9" s="24" t="e">
        <v>#DIV/0!</v>
      </c>
      <c r="AC9" s="18">
        <v>0</v>
      </c>
      <c r="AD9" s="24" t="e">
        <v>#DIV/0!</v>
      </c>
      <c r="AE9" s="18">
        <v>0</v>
      </c>
      <c r="AF9" s="24" t="e">
        <v>#DIV/0!</v>
      </c>
      <c r="AG9" s="18">
        <v>0</v>
      </c>
      <c r="AH9" s="24" t="e">
        <v>#DIV/0!</v>
      </c>
      <c r="AI9" s="18">
        <v>0</v>
      </c>
      <c r="AJ9" s="24" t="e">
        <v>#DIV/0!</v>
      </c>
      <c r="AK9" s="18">
        <v>0</v>
      </c>
      <c r="AL9" s="24" t="e">
        <v>#DIV/0!</v>
      </c>
      <c r="AM9" s="18">
        <v>0</v>
      </c>
      <c r="AN9" s="24" t="e">
        <v>#DIV/0!</v>
      </c>
      <c r="AO9" s="18">
        <v>0</v>
      </c>
      <c r="AP9" s="24" t="e">
        <v>#DIV/0!</v>
      </c>
      <c r="AQ9" s="18">
        <v>0</v>
      </c>
      <c r="AR9" s="24" t="e">
        <v>#DIV/0!</v>
      </c>
      <c r="AS9" s="18">
        <v>0</v>
      </c>
      <c r="AT9" s="24" t="e">
        <v>#DIV/0!</v>
      </c>
      <c r="AU9" s="18">
        <v>0</v>
      </c>
      <c r="AV9" s="24" t="e">
        <v>#DIV/0!</v>
      </c>
      <c r="AW9" s="18">
        <v>0</v>
      </c>
      <c r="AX9" s="24" t="e">
        <v>#DIV/0!</v>
      </c>
      <c r="AY9" s="18">
        <v>0</v>
      </c>
      <c r="AZ9" s="24" t="e">
        <v>#DIV/0!</v>
      </c>
      <c r="BA9" s="18">
        <v>0</v>
      </c>
      <c r="BB9" s="24" t="e">
        <v>#DIV/0!</v>
      </c>
      <c r="BC9" s="18">
        <v>0</v>
      </c>
      <c r="BD9" s="24" t="e">
        <v>#DIV/0!</v>
      </c>
      <c r="BE9" s="18">
        <v>0</v>
      </c>
      <c r="BF9" s="24" t="e">
        <v>#DIV/0!</v>
      </c>
      <c r="BG9" s="18">
        <v>0</v>
      </c>
      <c r="BH9" s="24" t="e">
        <v>#DIV/0!</v>
      </c>
      <c r="BI9" s="18">
        <v>0</v>
      </c>
      <c r="BJ9" s="24" t="e">
        <v>#DIV/0!</v>
      </c>
      <c r="BK9" s="18">
        <v>0</v>
      </c>
      <c r="BL9" s="24" t="e">
        <v>#DIV/0!</v>
      </c>
      <c r="BM9" s="18">
        <v>0</v>
      </c>
      <c r="BN9" s="24" t="e">
        <v>#DIV/0!</v>
      </c>
      <c r="BO9" s="18">
        <v>0</v>
      </c>
      <c r="BP9" s="24" t="e">
        <v>#DIV/0!</v>
      </c>
      <c r="BQ9" s="18">
        <v>0</v>
      </c>
      <c r="BR9" s="24" t="e">
        <v>#DIV/0!</v>
      </c>
      <c r="BS9" s="18">
        <v>0</v>
      </c>
      <c r="BT9" s="24" t="e">
        <v>#DIV/0!</v>
      </c>
      <c r="BU9" s="18">
        <v>0</v>
      </c>
      <c r="BV9" s="24" t="e">
        <v>#DIV/0!</v>
      </c>
      <c r="BW9" s="18">
        <v>0</v>
      </c>
      <c r="BX9" s="24" t="e">
        <v>#DIV/0!</v>
      </c>
      <c r="BY9" s="18">
        <v>0</v>
      </c>
      <c r="BZ9" s="24" t="e">
        <v>#DIV/0!</v>
      </c>
      <c r="CA9" s="18">
        <v>0</v>
      </c>
      <c r="CB9" s="24" t="e">
        <v>#DIV/0!</v>
      </c>
      <c r="CC9" s="18">
        <v>0</v>
      </c>
      <c r="CD9" s="24" t="e">
        <v>#DIV/0!</v>
      </c>
      <c r="CE9" s="18">
        <v>0</v>
      </c>
      <c r="CF9" s="24" t="e">
        <v>#DIV/0!</v>
      </c>
      <c r="CG9" s="18">
        <v>0</v>
      </c>
      <c r="CH9" s="24" t="e">
        <v>#DIV/0!</v>
      </c>
      <c r="CI9" s="18">
        <v>0</v>
      </c>
      <c r="CJ9" s="24" t="e">
        <v>#DIV/0!</v>
      </c>
      <c r="CK9" s="18">
        <v>0</v>
      </c>
      <c r="CL9" s="24" t="e">
        <v>#DIV/0!</v>
      </c>
      <c r="CM9" s="18">
        <v>0</v>
      </c>
      <c r="CN9" s="24" t="e">
        <v>#DIV/0!</v>
      </c>
      <c r="CO9" s="18">
        <v>0</v>
      </c>
      <c r="CP9" s="24" t="e">
        <v>#DIV/0!</v>
      </c>
      <c r="CQ9" s="18">
        <v>0</v>
      </c>
      <c r="CR9" s="24" t="e">
        <v>#DIV/0!</v>
      </c>
      <c r="CS9" s="18">
        <v>0</v>
      </c>
      <c r="CT9" s="24" t="e">
        <v>#DIV/0!</v>
      </c>
      <c r="CU9" s="18">
        <v>0</v>
      </c>
      <c r="CV9" s="24" t="e">
        <v>#DIV/0!</v>
      </c>
      <c r="CW9" s="18">
        <v>0</v>
      </c>
      <c r="CX9" s="24" t="e">
        <v>#DIV/0!</v>
      </c>
      <c r="CY9" s="18">
        <v>0</v>
      </c>
      <c r="CZ9" s="24" t="e">
        <v>#DIV/0!</v>
      </c>
      <c r="DA9" s="18">
        <v>0</v>
      </c>
      <c r="DB9" s="24" t="e">
        <v>#DIV/0!</v>
      </c>
      <c r="DC9" s="18">
        <v>0</v>
      </c>
      <c r="DD9" s="24" t="e">
        <v>#DIV/0!</v>
      </c>
      <c r="DE9" s="18">
        <v>0</v>
      </c>
      <c r="DF9" s="24" t="e">
        <v>#DIV/0!</v>
      </c>
      <c r="DG9" s="18">
        <v>0</v>
      </c>
      <c r="DH9" s="24" t="e">
        <v>#DIV/0!</v>
      </c>
      <c r="DI9" s="18">
        <v>0</v>
      </c>
      <c r="DJ9" s="24" t="e">
        <v>#DIV/0!</v>
      </c>
      <c r="DK9" s="18">
        <v>0</v>
      </c>
      <c r="DL9" s="24" t="e">
        <v>#DIV/0!</v>
      </c>
      <c r="DM9" s="18">
        <v>0</v>
      </c>
      <c r="DN9" s="24" t="e">
        <v>#DIV/0!</v>
      </c>
      <c r="DO9" s="18">
        <v>0</v>
      </c>
      <c r="DP9" s="24" t="e">
        <v>#DIV/0!</v>
      </c>
      <c r="DQ9" s="18">
        <v>0</v>
      </c>
      <c r="DR9" s="24" t="e">
        <v>#DIV/0!</v>
      </c>
      <c r="DS9" s="18">
        <v>0</v>
      </c>
      <c r="DT9" s="24" t="e">
        <v>#DIV/0!</v>
      </c>
      <c r="DU9" s="18">
        <v>0</v>
      </c>
      <c r="DV9" s="24" t="e">
        <v>#DIV/0!</v>
      </c>
      <c r="DW9" s="18">
        <v>0</v>
      </c>
      <c r="DX9" s="24" t="e">
        <v>#DIV/0!</v>
      </c>
      <c r="DY9" s="18">
        <v>0</v>
      </c>
      <c r="DZ9" s="24" t="e">
        <v>#DIV/0!</v>
      </c>
      <c r="EA9" s="18">
        <v>0</v>
      </c>
      <c r="EB9" s="24" t="e">
        <v>#DIV/0!</v>
      </c>
      <c r="EC9" s="18">
        <v>0</v>
      </c>
      <c r="ED9" s="24" t="e">
        <v>#DIV/0!</v>
      </c>
      <c r="EE9" s="18">
        <v>0</v>
      </c>
      <c r="EF9" s="24" t="e">
        <v>#DIV/0!</v>
      </c>
      <c r="EG9" s="18">
        <v>0</v>
      </c>
      <c r="EH9" s="24" t="e">
        <v>#DIV/0!</v>
      </c>
      <c r="EI9" s="18">
        <v>0</v>
      </c>
      <c r="EJ9" s="24" t="e">
        <v>#DIV/0!</v>
      </c>
      <c r="EK9" s="18">
        <v>0</v>
      </c>
      <c r="EL9" s="24" t="e">
        <v>#DIV/0!</v>
      </c>
      <c r="EM9" s="18">
        <v>0</v>
      </c>
      <c r="EN9" s="24" t="e">
        <v>#DIV/0!</v>
      </c>
      <c r="EO9" s="18">
        <v>0</v>
      </c>
      <c r="EP9" s="24" t="e">
        <v>#DIV/0!</v>
      </c>
      <c r="EQ9" s="18">
        <v>0</v>
      </c>
      <c r="ER9" s="24" t="e">
        <v>#DIV/0!</v>
      </c>
      <c r="ES9" s="18">
        <f t="shared" si="0"/>
        <v>0</v>
      </c>
      <c r="ET9" s="24" t="e">
        <f>ES9/ES13</f>
        <v>#DIV/0!</v>
      </c>
      <c r="EU9" s="221" t="e">
        <f>IF( SUM($EQ9:ES9)&lt;0, "n/a", SUM($EQ9:ES9)/EU$74)</f>
        <v>#DIV/0!</v>
      </c>
      <c r="EV9" s="224" t="e">
        <f>EU9/EU13</f>
        <v>#DIV/0!</v>
      </c>
      <c r="EW9" s="22"/>
      <c r="EX9" s="96" t="s">
        <v>39</v>
      </c>
      <c r="EY9" s="35">
        <f>IF(ISERROR(VLOOKUP(EX9,IQSH01E!$A$1:$M$400,2,0)),0,VLOOKUP(EX9,IQSH01E!$A$1:$M$400,2,0))</f>
        <v>0</v>
      </c>
      <c r="EZ9" s="204"/>
      <c r="FA9" s="182" t="s">
        <v>118</v>
      </c>
    </row>
    <row r="10" spans="1:157" ht="16.5" customHeight="1" x14ac:dyDescent="0.3">
      <c r="A10" s="11"/>
      <c r="B10" s="14" t="s">
        <v>81</v>
      </c>
      <c r="C10" s="18">
        <v>0</v>
      </c>
      <c r="D10" s="24" t="e">
        <v>#DIV/0!</v>
      </c>
      <c r="E10" s="18">
        <v>0</v>
      </c>
      <c r="F10" s="24" t="e">
        <v>#DIV/0!</v>
      </c>
      <c r="G10" s="18">
        <v>0</v>
      </c>
      <c r="H10" s="24" t="e">
        <v>#DIV/0!</v>
      </c>
      <c r="I10" s="18">
        <v>0</v>
      </c>
      <c r="J10" s="24" t="e">
        <v>#DIV/0!</v>
      </c>
      <c r="K10" s="18">
        <v>0</v>
      </c>
      <c r="L10" s="24" t="e">
        <v>#DIV/0!</v>
      </c>
      <c r="M10" s="18">
        <v>0</v>
      </c>
      <c r="N10" s="24" t="e">
        <v>#DIV/0!</v>
      </c>
      <c r="O10" s="18">
        <v>0</v>
      </c>
      <c r="P10" s="24" t="e">
        <v>#DIV/0!</v>
      </c>
      <c r="Q10" s="18">
        <v>0</v>
      </c>
      <c r="R10" s="24" t="e">
        <v>#DIV/0!</v>
      </c>
      <c r="S10" s="18">
        <v>0</v>
      </c>
      <c r="T10" s="24" t="e">
        <v>#DIV/0!</v>
      </c>
      <c r="U10" s="18">
        <v>0</v>
      </c>
      <c r="V10" s="24" t="e">
        <v>#DIV/0!</v>
      </c>
      <c r="W10" s="18">
        <v>0</v>
      </c>
      <c r="X10" s="24" t="e">
        <v>#DIV/0!</v>
      </c>
      <c r="Y10" s="18">
        <v>0</v>
      </c>
      <c r="Z10" s="24" t="e">
        <v>#DIV/0!</v>
      </c>
      <c r="AA10" s="18">
        <v>0</v>
      </c>
      <c r="AB10" s="24" t="e">
        <v>#DIV/0!</v>
      </c>
      <c r="AC10" s="18">
        <v>0</v>
      </c>
      <c r="AD10" s="24" t="e">
        <v>#DIV/0!</v>
      </c>
      <c r="AE10" s="18">
        <v>0</v>
      </c>
      <c r="AF10" s="24" t="e">
        <v>#DIV/0!</v>
      </c>
      <c r="AG10" s="18">
        <v>0</v>
      </c>
      <c r="AH10" s="24" t="e">
        <v>#DIV/0!</v>
      </c>
      <c r="AI10" s="18">
        <v>0</v>
      </c>
      <c r="AJ10" s="24" t="e">
        <v>#DIV/0!</v>
      </c>
      <c r="AK10" s="18">
        <v>0</v>
      </c>
      <c r="AL10" s="24" t="e">
        <v>#DIV/0!</v>
      </c>
      <c r="AM10" s="18">
        <v>0</v>
      </c>
      <c r="AN10" s="24" t="e">
        <v>#DIV/0!</v>
      </c>
      <c r="AO10" s="18">
        <v>0</v>
      </c>
      <c r="AP10" s="24" t="e">
        <v>#DIV/0!</v>
      </c>
      <c r="AQ10" s="18">
        <v>0</v>
      </c>
      <c r="AR10" s="24" t="e">
        <v>#DIV/0!</v>
      </c>
      <c r="AS10" s="18">
        <v>0</v>
      </c>
      <c r="AT10" s="24" t="e">
        <v>#DIV/0!</v>
      </c>
      <c r="AU10" s="18">
        <v>0</v>
      </c>
      <c r="AV10" s="24" t="e">
        <v>#DIV/0!</v>
      </c>
      <c r="AW10" s="18">
        <v>0</v>
      </c>
      <c r="AX10" s="24" t="e">
        <v>#DIV/0!</v>
      </c>
      <c r="AY10" s="18">
        <v>0</v>
      </c>
      <c r="AZ10" s="24" t="e">
        <v>#DIV/0!</v>
      </c>
      <c r="BA10" s="18">
        <v>0</v>
      </c>
      <c r="BB10" s="24" t="e">
        <v>#DIV/0!</v>
      </c>
      <c r="BC10" s="18">
        <v>0</v>
      </c>
      <c r="BD10" s="24" t="e">
        <v>#DIV/0!</v>
      </c>
      <c r="BE10" s="18">
        <v>0</v>
      </c>
      <c r="BF10" s="24" t="e">
        <v>#DIV/0!</v>
      </c>
      <c r="BG10" s="18">
        <v>0</v>
      </c>
      <c r="BH10" s="24" t="e">
        <v>#DIV/0!</v>
      </c>
      <c r="BI10" s="18">
        <v>0</v>
      </c>
      <c r="BJ10" s="24" t="e">
        <v>#DIV/0!</v>
      </c>
      <c r="BK10" s="18">
        <v>0</v>
      </c>
      <c r="BL10" s="24" t="e">
        <v>#DIV/0!</v>
      </c>
      <c r="BM10" s="18">
        <v>0</v>
      </c>
      <c r="BN10" s="24" t="e">
        <v>#DIV/0!</v>
      </c>
      <c r="BO10" s="18">
        <v>0</v>
      </c>
      <c r="BP10" s="24" t="e">
        <v>#DIV/0!</v>
      </c>
      <c r="BQ10" s="18">
        <v>0</v>
      </c>
      <c r="BR10" s="24" t="e">
        <v>#DIV/0!</v>
      </c>
      <c r="BS10" s="18">
        <v>0</v>
      </c>
      <c r="BT10" s="24" t="e">
        <v>#DIV/0!</v>
      </c>
      <c r="BU10" s="18">
        <v>0</v>
      </c>
      <c r="BV10" s="24" t="e">
        <v>#DIV/0!</v>
      </c>
      <c r="BW10" s="18">
        <v>0</v>
      </c>
      <c r="BX10" s="24" t="e">
        <v>#DIV/0!</v>
      </c>
      <c r="BY10" s="18">
        <v>0</v>
      </c>
      <c r="BZ10" s="24" t="e">
        <v>#DIV/0!</v>
      </c>
      <c r="CA10" s="18">
        <v>0</v>
      </c>
      <c r="CB10" s="24" t="e">
        <v>#DIV/0!</v>
      </c>
      <c r="CC10" s="18">
        <v>0</v>
      </c>
      <c r="CD10" s="24" t="e">
        <v>#DIV/0!</v>
      </c>
      <c r="CE10" s="18">
        <v>0</v>
      </c>
      <c r="CF10" s="24" t="e">
        <v>#DIV/0!</v>
      </c>
      <c r="CG10" s="18">
        <v>0</v>
      </c>
      <c r="CH10" s="24" t="e">
        <v>#DIV/0!</v>
      </c>
      <c r="CI10" s="18">
        <v>0</v>
      </c>
      <c r="CJ10" s="24" t="e">
        <v>#DIV/0!</v>
      </c>
      <c r="CK10" s="18">
        <v>0</v>
      </c>
      <c r="CL10" s="24" t="e">
        <v>#DIV/0!</v>
      </c>
      <c r="CM10" s="18">
        <v>0</v>
      </c>
      <c r="CN10" s="24" t="e">
        <v>#DIV/0!</v>
      </c>
      <c r="CO10" s="18">
        <v>0</v>
      </c>
      <c r="CP10" s="24" t="e">
        <v>#DIV/0!</v>
      </c>
      <c r="CQ10" s="18">
        <v>0</v>
      </c>
      <c r="CR10" s="24" t="e">
        <v>#DIV/0!</v>
      </c>
      <c r="CS10" s="18">
        <v>0</v>
      </c>
      <c r="CT10" s="24" t="e">
        <v>#DIV/0!</v>
      </c>
      <c r="CU10" s="18">
        <v>0</v>
      </c>
      <c r="CV10" s="24" t="e">
        <v>#DIV/0!</v>
      </c>
      <c r="CW10" s="18">
        <v>0</v>
      </c>
      <c r="CX10" s="24" t="e">
        <v>#DIV/0!</v>
      </c>
      <c r="CY10" s="18">
        <v>0</v>
      </c>
      <c r="CZ10" s="24" t="e">
        <v>#DIV/0!</v>
      </c>
      <c r="DA10" s="18">
        <v>0</v>
      </c>
      <c r="DB10" s="24" t="e">
        <v>#DIV/0!</v>
      </c>
      <c r="DC10" s="18">
        <v>0</v>
      </c>
      <c r="DD10" s="24" t="e">
        <v>#DIV/0!</v>
      </c>
      <c r="DE10" s="18">
        <v>0</v>
      </c>
      <c r="DF10" s="24" t="e">
        <v>#DIV/0!</v>
      </c>
      <c r="DG10" s="18">
        <v>0</v>
      </c>
      <c r="DH10" s="24" t="e">
        <v>#DIV/0!</v>
      </c>
      <c r="DI10" s="18">
        <v>0</v>
      </c>
      <c r="DJ10" s="24" t="e">
        <v>#DIV/0!</v>
      </c>
      <c r="DK10" s="18">
        <v>0</v>
      </c>
      <c r="DL10" s="24" t="e">
        <v>#DIV/0!</v>
      </c>
      <c r="DM10" s="18">
        <v>0</v>
      </c>
      <c r="DN10" s="24" t="e">
        <v>#DIV/0!</v>
      </c>
      <c r="DO10" s="18">
        <v>0</v>
      </c>
      <c r="DP10" s="24" t="e">
        <v>#DIV/0!</v>
      </c>
      <c r="DQ10" s="18">
        <v>0</v>
      </c>
      <c r="DR10" s="24" t="e">
        <v>#DIV/0!</v>
      </c>
      <c r="DS10" s="18">
        <v>0</v>
      </c>
      <c r="DT10" s="24" t="e">
        <v>#DIV/0!</v>
      </c>
      <c r="DU10" s="18">
        <v>0</v>
      </c>
      <c r="DV10" s="24" t="e">
        <v>#DIV/0!</v>
      </c>
      <c r="DW10" s="18">
        <v>0</v>
      </c>
      <c r="DX10" s="24" t="e">
        <v>#DIV/0!</v>
      </c>
      <c r="DY10" s="18">
        <v>0</v>
      </c>
      <c r="DZ10" s="24" t="e">
        <v>#DIV/0!</v>
      </c>
      <c r="EA10" s="18">
        <v>0</v>
      </c>
      <c r="EB10" s="24" t="e">
        <v>#DIV/0!</v>
      </c>
      <c r="EC10" s="18">
        <v>0</v>
      </c>
      <c r="ED10" s="24" t="e">
        <v>#DIV/0!</v>
      </c>
      <c r="EE10" s="18">
        <v>0</v>
      </c>
      <c r="EF10" s="24" t="e">
        <v>#DIV/0!</v>
      </c>
      <c r="EG10" s="18">
        <v>0</v>
      </c>
      <c r="EH10" s="24" t="e">
        <v>#DIV/0!</v>
      </c>
      <c r="EI10" s="18">
        <v>0</v>
      </c>
      <c r="EJ10" s="24" t="e">
        <v>#DIV/0!</v>
      </c>
      <c r="EK10" s="18">
        <v>0</v>
      </c>
      <c r="EL10" s="24" t="e">
        <v>#DIV/0!</v>
      </c>
      <c r="EM10" s="18">
        <v>0</v>
      </c>
      <c r="EN10" s="24" t="e">
        <v>#DIV/0!</v>
      </c>
      <c r="EO10" s="18">
        <v>0</v>
      </c>
      <c r="EP10" s="24" t="e">
        <v>#DIV/0!</v>
      </c>
      <c r="EQ10" s="18">
        <v>0</v>
      </c>
      <c r="ER10" s="24" t="e">
        <v>#DIV/0!</v>
      </c>
      <c r="ES10" s="18">
        <f t="shared" si="0"/>
        <v>0</v>
      </c>
      <c r="ET10" s="24" t="e">
        <f>ES10/ES13</f>
        <v>#DIV/0!</v>
      </c>
      <c r="EU10" s="221" t="e">
        <f>IF( SUM($EQ10:ES10)&lt;0, "n/a", SUM($EQ10:ES10)/EU$74)</f>
        <v>#DIV/0!</v>
      </c>
      <c r="EV10" s="224" t="e">
        <f>EU10/EU13</f>
        <v>#DIV/0!</v>
      </c>
      <c r="EW10" s="22"/>
      <c r="EX10" s="96" t="s">
        <v>132</v>
      </c>
      <c r="EY10" s="35">
        <f>IF(ISERROR(VLOOKUP(EX10,IQSH01E!$A$1:$M$400,2,0)),0,VLOOKUP(EX10,IQSH01E!$A$1:$M$400,2,0))</f>
        <v>0</v>
      </c>
      <c r="EZ10" s="204"/>
      <c r="FA10" s="182" t="s">
        <v>123</v>
      </c>
    </row>
    <row r="11" spans="1:157" ht="16.5" customHeight="1" x14ac:dyDescent="0.3">
      <c r="A11" s="11" t="s">
        <v>96</v>
      </c>
      <c r="B11" s="14" t="s">
        <v>82</v>
      </c>
      <c r="C11" s="18">
        <v>0</v>
      </c>
      <c r="D11" s="24" t="e">
        <v>#DIV/0!</v>
      </c>
      <c r="E11" s="18">
        <v>0</v>
      </c>
      <c r="F11" s="24" t="e">
        <v>#DIV/0!</v>
      </c>
      <c r="G11" s="18">
        <v>0</v>
      </c>
      <c r="H11" s="24" t="e">
        <v>#DIV/0!</v>
      </c>
      <c r="I11" s="18">
        <v>0</v>
      </c>
      <c r="J11" s="24" t="e">
        <v>#DIV/0!</v>
      </c>
      <c r="K11" s="18">
        <v>0</v>
      </c>
      <c r="L11" s="24" t="e">
        <v>#DIV/0!</v>
      </c>
      <c r="M11" s="18">
        <v>0</v>
      </c>
      <c r="N11" s="24" t="e">
        <v>#DIV/0!</v>
      </c>
      <c r="O11" s="18">
        <v>0</v>
      </c>
      <c r="P11" s="24" t="e">
        <v>#DIV/0!</v>
      </c>
      <c r="Q11" s="18">
        <v>0</v>
      </c>
      <c r="R11" s="24" t="e">
        <v>#DIV/0!</v>
      </c>
      <c r="S11" s="18">
        <v>0</v>
      </c>
      <c r="T11" s="24" t="e">
        <v>#DIV/0!</v>
      </c>
      <c r="U11" s="18">
        <v>0</v>
      </c>
      <c r="V11" s="24" t="e">
        <v>#DIV/0!</v>
      </c>
      <c r="W11" s="18">
        <v>0</v>
      </c>
      <c r="X11" s="24" t="e">
        <v>#DIV/0!</v>
      </c>
      <c r="Y11" s="18">
        <v>0</v>
      </c>
      <c r="Z11" s="24" t="e">
        <v>#DIV/0!</v>
      </c>
      <c r="AA11" s="18">
        <v>0</v>
      </c>
      <c r="AB11" s="24" t="e">
        <v>#DIV/0!</v>
      </c>
      <c r="AC11" s="18">
        <v>0</v>
      </c>
      <c r="AD11" s="24" t="e">
        <v>#DIV/0!</v>
      </c>
      <c r="AE11" s="18">
        <v>0</v>
      </c>
      <c r="AF11" s="24" t="e">
        <v>#DIV/0!</v>
      </c>
      <c r="AG11" s="18">
        <v>0</v>
      </c>
      <c r="AH11" s="24" t="e">
        <v>#DIV/0!</v>
      </c>
      <c r="AI11" s="18">
        <v>0</v>
      </c>
      <c r="AJ11" s="24" t="e">
        <v>#DIV/0!</v>
      </c>
      <c r="AK11" s="18">
        <v>0</v>
      </c>
      <c r="AL11" s="24" t="e">
        <v>#DIV/0!</v>
      </c>
      <c r="AM11" s="18">
        <v>0</v>
      </c>
      <c r="AN11" s="24" t="e">
        <v>#DIV/0!</v>
      </c>
      <c r="AO11" s="18">
        <v>0</v>
      </c>
      <c r="AP11" s="24" t="e">
        <v>#DIV/0!</v>
      </c>
      <c r="AQ11" s="18">
        <v>0</v>
      </c>
      <c r="AR11" s="24" t="e">
        <v>#DIV/0!</v>
      </c>
      <c r="AS11" s="18">
        <v>0</v>
      </c>
      <c r="AT11" s="24" t="e">
        <v>#DIV/0!</v>
      </c>
      <c r="AU11" s="18">
        <v>0</v>
      </c>
      <c r="AV11" s="24" t="e">
        <v>#DIV/0!</v>
      </c>
      <c r="AW11" s="18">
        <v>0</v>
      </c>
      <c r="AX11" s="24" t="e">
        <v>#DIV/0!</v>
      </c>
      <c r="AY11" s="18">
        <v>0</v>
      </c>
      <c r="AZ11" s="24" t="e">
        <v>#DIV/0!</v>
      </c>
      <c r="BA11" s="18">
        <v>0</v>
      </c>
      <c r="BB11" s="24" t="e">
        <v>#DIV/0!</v>
      </c>
      <c r="BC11" s="18">
        <v>0</v>
      </c>
      <c r="BD11" s="24" t="e">
        <v>#DIV/0!</v>
      </c>
      <c r="BE11" s="18">
        <v>0</v>
      </c>
      <c r="BF11" s="24" t="e">
        <v>#DIV/0!</v>
      </c>
      <c r="BG11" s="18">
        <v>0</v>
      </c>
      <c r="BH11" s="24" t="e">
        <v>#DIV/0!</v>
      </c>
      <c r="BI11" s="18">
        <v>0</v>
      </c>
      <c r="BJ11" s="24" t="e">
        <v>#DIV/0!</v>
      </c>
      <c r="BK11" s="18">
        <v>0</v>
      </c>
      <c r="BL11" s="24" t="e">
        <v>#DIV/0!</v>
      </c>
      <c r="BM11" s="18">
        <v>0</v>
      </c>
      <c r="BN11" s="24" t="e">
        <v>#DIV/0!</v>
      </c>
      <c r="BO11" s="18">
        <v>0</v>
      </c>
      <c r="BP11" s="24" t="e">
        <v>#DIV/0!</v>
      </c>
      <c r="BQ11" s="18">
        <v>0</v>
      </c>
      <c r="BR11" s="24" t="e">
        <v>#DIV/0!</v>
      </c>
      <c r="BS11" s="18">
        <v>0</v>
      </c>
      <c r="BT11" s="24" t="e">
        <v>#DIV/0!</v>
      </c>
      <c r="BU11" s="18">
        <v>0</v>
      </c>
      <c r="BV11" s="24" t="e">
        <v>#DIV/0!</v>
      </c>
      <c r="BW11" s="18">
        <v>0</v>
      </c>
      <c r="BX11" s="24" t="e">
        <v>#DIV/0!</v>
      </c>
      <c r="BY11" s="18">
        <v>0</v>
      </c>
      <c r="BZ11" s="24" t="e">
        <v>#DIV/0!</v>
      </c>
      <c r="CA11" s="18">
        <v>0</v>
      </c>
      <c r="CB11" s="24" t="e">
        <v>#DIV/0!</v>
      </c>
      <c r="CC11" s="18">
        <v>0</v>
      </c>
      <c r="CD11" s="24" t="e">
        <v>#DIV/0!</v>
      </c>
      <c r="CE11" s="18">
        <v>0</v>
      </c>
      <c r="CF11" s="24" t="e">
        <v>#DIV/0!</v>
      </c>
      <c r="CG11" s="18">
        <v>0</v>
      </c>
      <c r="CH11" s="24" t="e">
        <v>#DIV/0!</v>
      </c>
      <c r="CI11" s="18">
        <v>0</v>
      </c>
      <c r="CJ11" s="24" t="e">
        <v>#DIV/0!</v>
      </c>
      <c r="CK11" s="18">
        <v>0</v>
      </c>
      <c r="CL11" s="24" t="e">
        <v>#DIV/0!</v>
      </c>
      <c r="CM11" s="18">
        <v>0</v>
      </c>
      <c r="CN11" s="24" t="e">
        <v>#DIV/0!</v>
      </c>
      <c r="CO11" s="18">
        <v>0</v>
      </c>
      <c r="CP11" s="24" t="e">
        <v>#DIV/0!</v>
      </c>
      <c r="CQ11" s="18">
        <v>0</v>
      </c>
      <c r="CR11" s="24" t="e">
        <v>#DIV/0!</v>
      </c>
      <c r="CS11" s="18">
        <v>0</v>
      </c>
      <c r="CT11" s="24" t="e">
        <v>#DIV/0!</v>
      </c>
      <c r="CU11" s="18">
        <v>0</v>
      </c>
      <c r="CV11" s="24" t="e">
        <v>#DIV/0!</v>
      </c>
      <c r="CW11" s="18">
        <v>0</v>
      </c>
      <c r="CX11" s="24" t="e">
        <v>#DIV/0!</v>
      </c>
      <c r="CY11" s="18">
        <v>0</v>
      </c>
      <c r="CZ11" s="24" t="e">
        <v>#DIV/0!</v>
      </c>
      <c r="DA11" s="18">
        <v>0</v>
      </c>
      <c r="DB11" s="24" t="e">
        <v>#DIV/0!</v>
      </c>
      <c r="DC11" s="18">
        <v>0</v>
      </c>
      <c r="DD11" s="24" t="e">
        <v>#DIV/0!</v>
      </c>
      <c r="DE11" s="18">
        <v>0</v>
      </c>
      <c r="DF11" s="24" t="e">
        <v>#DIV/0!</v>
      </c>
      <c r="DG11" s="18">
        <v>0</v>
      </c>
      <c r="DH11" s="24" t="e">
        <v>#DIV/0!</v>
      </c>
      <c r="DI11" s="18">
        <v>0</v>
      </c>
      <c r="DJ11" s="24" t="e">
        <v>#DIV/0!</v>
      </c>
      <c r="DK11" s="18">
        <v>0</v>
      </c>
      <c r="DL11" s="24" t="e">
        <v>#DIV/0!</v>
      </c>
      <c r="DM11" s="18">
        <v>0</v>
      </c>
      <c r="DN11" s="24" t="e">
        <v>#DIV/0!</v>
      </c>
      <c r="DO11" s="18">
        <v>0</v>
      </c>
      <c r="DP11" s="24" t="e">
        <v>#DIV/0!</v>
      </c>
      <c r="DQ11" s="18">
        <v>0</v>
      </c>
      <c r="DR11" s="24" t="e">
        <v>#DIV/0!</v>
      </c>
      <c r="DS11" s="18">
        <v>0</v>
      </c>
      <c r="DT11" s="24" t="e">
        <v>#DIV/0!</v>
      </c>
      <c r="DU11" s="18">
        <v>0</v>
      </c>
      <c r="DV11" s="24" t="e">
        <v>#DIV/0!</v>
      </c>
      <c r="DW11" s="18">
        <v>0</v>
      </c>
      <c r="DX11" s="24" t="e">
        <v>#DIV/0!</v>
      </c>
      <c r="DY11" s="18">
        <v>0</v>
      </c>
      <c r="DZ11" s="24" t="e">
        <v>#DIV/0!</v>
      </c>
      <c r="EA11" s="18">
        <v>0</v>
      </c>
      <c r="EB11" s="24" t="e">
        <v>#DIV/0!</v>
      </c>
      <c r="EC11" s="18">
        <v>0</v>
      </c>
      <c r="ED11" s="24" t="e">
        <v>#DIV/0!</v>
      </c>
      <c r="EE11" s="18">
        <v>0</v>
      </c>
      <c r="EF11" s="24" t="e">
        <v>#DIV/0!</v>
      </c>
      <c r="EG11" s="18">
        <v>0</v>
      </c>
      <c r="EH11" s="24" t="e">
        <v>#DIV/0!</v>
      </c>
      <c r="EI11" s="18">
        <v>0</v>
      </c>
      <c r="EJ11" s="24" t="e">
        <v>#DIV/0!</v>
      </c>
      <c r="EK11" s="18">
        <v>0</v>
      </c>
      <c r="EL11" s="24" t="e">
        <v>#DIV/0!</v>
      </c>
      <c r="EM11" s="18">
        <v>0</v>
      </c>
      <c r="EN11" s="24" t="e">
        <v>#DIV/0!</v>
      </c>
      <c r="EO11" s="18">
        <v>0</v>
      </c>
      <c r="EP11" s="24" t="e">
        <v>#DIV/0!</v>
      </c>
      <c r="EQ11" s="18">
        <v>0</v>
      </c>
      <c r="ER11" s="24" t="e">
        <v>#DIV/0!</v>
      </c>
      <c r="ES11" s="18">
        <f t="shared" si="0"/>
        <v>0</v>
      </c>
      <c r="ET11" s="24" t="e">
        <f>ES11/ES13</f>
        <v>#DIV/0!</v>
      </c>
      <c r="EU11" s="221" t="e">
        <f>IF( SUM($EQ11:ES11)&lt;0, "n/a", SUM($EQ11:ES11)/EU$74)</f>
        <v>#DIV/0!</v>
      </c>
      <c r="EV11" s="224" t="e">
        <f>EU11/EU13</f>
        <v>#DIV/0!</v>
      </c>
      <c r="EW11" s="22"/>
      <c r="EX11" s="96" t="s">
        <v>20</v>
      </c>
      <c r="EY11" s="35">
        <f>IF(ISERROR(VLOOKUP(EX11,IQSH01E!$A$1:$M$400,2,0)),0,VLOOKUP(EX11,IQSH01E!$A$1:$M$400,2,0))</f>
        <v>0</v>
      </c>
      <c r="EZ11" s="204"/>
      <c r="FA11" s="182" t="s">
        <v>118</v>
      </c>
    </row>
    <row r="12" spans="1:157" ht="16.5" customHeight="1" x14ac:dyDescent="0.3">
      <c r="A12" s="10"/>
      <c r="B12" s="14" t="s">
        <v>102</v>
      </c>
      <c r="C12" s="18">
        <v>0</v>
      </c>
      <c r="D12" s="24" t="e">
        <v>#DIV/0!</v>
      </c>
      <c r="E12" s="18">
        <v>0</v>
      </c>
      <c r="F12" s="24" t="e">
        <v>#DIV/0!</v>
      </c>
      <c r="G12" s="18">
        <v>0</v>
      </c>
      <c r="H12" s="24" t="e">
        <v>#DIV/0!</v>
      </c>
      <c r="I12" s="18">
        <v>0</v>
      </c>
      <c r="J12" s="24" t="e">
        <v>#DIV/0!</v>
      </c>
      <c r="K12" s="18">
        <v>0</v>
      </c>
      <c r="L12" s="24" t="e">
        <v>#DIV/0!</v>
      </c>
      <c r="M12" s="18">
        <v>0</v>
      </c>
      <c r="N12" s="24" t="e">
        <v>#DIV/0!</v>
      </c>
      <c r="O12" s="18">
        <v>0</v>
      </c>
      <c r="P12" s="24" t="e">
        <v>#DIV/0!</v>
      </c>
      <c r="Q12" s="18">
        <v>0</v>
      </c>
      <c r="R12" s="24" t="e">
        <v>#DIV/0!</v>
      </c>
      <c r="S12" s="18">
        <v>0</v>
      </c>
      <c r="T12" s="24" t="e">
        <v>#DIV/0!</v>
      </c>
      <c r="U12" s="18">
        <v>0</v>
      </c>
      <c r="V12" s="24" t="e">
        <v>#DIV/0!</v>
      </c>
      <c r="W12" s="18">
        <v>0</v>
      </c>
      <c r="X12" s="24" t="e">
        <v>#DIV/0!</v>
      </c>
      <c r="Y12" s="18">
        <v>0</v>
      </c>
      <c r="Z12" s="24" t="e">
        <v>#DIV/0!</v>
      </c>
      <c r="AA12" s="18">
        <v>0</v>
      </c>
      <c r="AB12" s="24" t="e">
        <v>#DIV/0!</v>
      </c>
      <c r="AC12" s="18">
        <v>0</v>
      </c>
      <c r="AD12" s="24" t="e">
        <v>#DIV/0!</v>
      </c>
      <c r="AE12" s="18">
        <v>0</v>
      </c>
      <c r="AF12" s="24" t="e">
        <v>#DIV/0!</v>
      </c>
      <c r="AG12" s="18">
        <v>0</v>
      </c>
      <c r="AH12" s="24" t="e">
        <v>#DIV/0!</v>
      </c>
      <c r="AI12" s="18">
        <v>0</v>
      </c>
      <c r="AJ12" s="24" t="e">
        <v>#DIV/0!</v>
      </c>
      <c r="AK12" s="18">
        <v>0</v>
      </c>
      <c r="AL12" s="24" t="e">
        <v>#DIV/0!</v>
      </c>
      <c r="AM12" s="18">
        <v>0</v>
      </c>
      <c r="AN12" s="24" t="e">
        <v>#DIV/0!</v>
      </c>
      <c r="AO12" s="18">
        <v>0</v>
      </c>
      <c r="AP12" s="24" t="e">
        <v>#DIV/0!</v>
      </c>
      <c r="AQ12" s="18">
        <v>0</v>
      </c>
      <c r="AR12" s="24" t="e">
        <v>#DIV/0!</v>
      </c>
      <c r="AS12" s="18">
        <v>0</v>
      </c>
      <c r="AT12" s="24" t="e">
        <v>#DIV/0!</v>
      </c>
      <c r="AU12" s="18">
        <v>0</v>
      </c>
      <c r="AV12" s="24" t="e">
        <v>#DIV/0!</v>
      </c>
      <c r="AW12" s="18">
        <v>0</v>
      </c>
      <c r="AX12" s="24" t="e">
        <v>#DIV/0!</v>
      </c>
      <c r="AY12" s="18">
        <v>0</v>
      </c>
      <c r="AZ12" s="24" t="e">
        <v>#DIV/0!</v>
      </c>
      <c r="BA12" s="18">
        <v>0</v>
      </c>
      <c r="BB12" s="24" t="e">
        <v>#DIV/0!</v>
      </c>
      <c r="BC12" s="18">
        <v>0</v>
      </c>
      <c r="BD12" s="24" t="e">
        <v>#DIV/0!</v>
      </c>
      <c r="BE12" s="18">
        <v>0</v>
      </c>
      <c r="BF12" s="24" t="e">
        <v>#DIV/0!</v>
      </c>
      <c r="BG12" s="18">
        <v>0</v>
      </c>
      <c r="BH12" s="24" t="e">
        <v>#DIV/0!</v>
      </c>
      <c r="BI12" s="18">
        <v>0</v>
      </c>
      <c r="BJ12" s="24" t="e">
        <v>#DIV/0!</v>
      </c>
      <c r="BK12" s="18">
        <v>0</v>
      </c>
      <c r="BL12" s="24" t="e">
        <v>#DIV/0!</v>
      </c>
      <c r="BM12" s="18">
        <v>0</v>
      </c>
      <c r="BN12" s="24" t="e">
        <v>#DIV/0!</v>
      </c>
      <c r="BO12" s="18">
        <v>0</v>
      </c>
      <c r="BP12" s="24" t="e">
        <v>#DIV/0!</v>
      </c>
      <c r="BQ12" s="18">
        <v>0</v>
      </c>
      <c r="BR12" s="24" t="e">
        <v>#DIV/0!</v>
      </c>
      <c r="BS12" s="18">
        <v>0</v>
      </c>
      <c r="BT12" s="24" t="e">
        <v>#DIV/0!</v>
      </c>
      <c r="BU12" s="18">
        <v>0</v>
      </c>
      <c r="BV12" s="24" t="e">
        <v>#DIV/0!</v>
      </c>
      <c r="BW12" s="18">
        <v>0</v>
      </c>
      <c r="BX12" s="24" t="e">
        <v>#DIV/0!</v>
      </c>
      <c r="BY12" s="18">
        <v>0</v>
      </c>
      <c r="BZ12" s="24" t="e">
        <v>#DIV/0!</v>
      </c>
      <c r="CA12" s="18">
        <v>0</v>
      </c>
      <c r="CB12" s="24" t="e">
        <v>#DIV/0!</v>
      </c>
      <c r="CC12" s="18">
        <v>0</v>
      </c>
      <c r="CD12" s="24" t="e">
        <v>#DIV/0!</v>
      </c>
      <c r="CE12" s="18">
        <v>0</v>
      </c>
      <c r="CF12" s="24" t="e">
        <v>#DIV/0!</v>
      </c>
      <c r="CG12" s="18">
        <v>0</v>
      </c>
      <c r="CH12" s="24" t="e">
        <v>#DIV/0!</v>
      </c>
      <c r="CI12" s="18">
        <v>0</v>
      </c>
      <c r="CJ12" s="24" t="e">
        <v>#DIV/0!</v>
      </c>
      <c r="CK12" s="18">
        <v>0</v>
      </c>
      <c r="CL12" s="24" t="e">
        <v>#DIV/0!</v>
      </c>
      <c r="CM12" s="18">
        <v>0</v>
      </c>
      <c r="CN12" s="24" t="e">
        <v>#DIV/0!</v>
      </c>
      <c r="CO12" s="18">
        <v>0</v>
      </c>
      <c r="CP12" s="24" t="e">
        <v>#DIV/0!</v>
      </c>
      <c r="CQ12" s="18">
        <v>0</v>
      </c>
      <c r="CR12" s="24" t="e">
        <v>#DIV/0!</v>
      </c>
      <c r="CS12" s="18">
        <v>0</v>
      </c>
      <c r="CT12" s="24" t="e">
        <v>#DIV/0!</v>
      </c>
      <c r="CU12" s="18">
        <v>0</v>
      </c>
      <c r="CV12" s="24" t="e">
        <v>#DIV/0!</v>
      </c>
      <c r="CW12" s="18">
        <v>0</v>
      </c>
      <c r="CX12" s="24" t="e">
        <v>#DIV/0!</v>
      </c>
      <c r="CY12" s="18">
        <v>0</v>
      </c>
      <c r="CZ12" s="24" t="e">
        <v>#DIV/0!</v>
      </c>
      <c r="DA12" s="18">
        <v>0</v>
      </c>
      <c r="DB12" s="24" t="e">
        <v>#DIV/0!</v>
      </c>
      <c r="DC12" s="18">
        <v>0</v>
      </c>
      <c r="DD12" s="24" t="e">
        <v>#DIV/0!</v>
      </c>
      <c r="DE12" s="18">
        <v>0</v>
      </c>
      <c r="DF12" s="24" t="e">
        <v>#DIV/0!</v>
      </c>
      <c r="DG12" s="18">
        <v>0</v>
      </c>
      <c r="DH12" s="24" t="e">
        <v>#DIV/0!</v>
      </c>
      <c r="DI12" s="18">
        <v>0</v>
      </c>
      <c r="DJ12" s="24" t="e">
        <v>#DIV/0!</v>
      </c>
      <c r="DK12" s="18">
        <v>0</v>
      </c>
      <c r="DL12" s="24" t="e">
        <v>#DIV/0!</v>
      </c>
      <c r="DM12" s="18">
        <v>0</v>
      </c>
      <c r="DN12" s="24" t="e">
        <v>#DIV/0!</v>
      </c>
      <c r="DO12" s="18">
        <v>0</v>
      </c>
      <c r="DP12" s="24" t="e">
        <v>#DIV/0!</v>
      </c>
      <c r="DQ12" s="18">
        <v>0</v>
      </c>
      <c r="DR12" s="24" t="e">
        <v>#DIV/0!</v>
      </c>
      <c r="DS12" s="18">
        <v>0</v>
      </c>
      <c r="DT12" s="24" t="e">
        <v>#DIV/0!</v>
      </c>
      <c r="DU12" s="18">
        <v>0</v>
      </c>
      <c r="DV12" s="24" t="e">
        <v>#DIV/0!</v>
      </c>
      <c r="DW12" s="18">
        <v>0</v>
      </c>
      <c r="DX12" s="24" t="e">
        <v>#DIV/0!</v>
      </c>
      <c r="DY12" s="18">
        <v>0</v>
      </c>
      <c r="DZ12" s="24" t="e">
        <v>#DIV/0!</v>
      </c>
      <c r="EA12" s="18">
        <v>0</v>
      </c>
      <c r="EB12" s="24" t="e">
        <v>#DIV/0!</v>
      </c>
      <c r="EC12" s="18">
        <v>0</v>
      </c>
      <c r="ED12" s="24" t="e">
        <v>#DIV/0!</v>
      </c>
      <c r="EE12" s="18">
        <v>0</v>
      </c>
      <c r="EF12" s="24" t="e">
        <v>#DIV/0!</v>
      </c>
      <c r="EG12" s="18">
        <v>0</v>
      </c>
      <c r="EH12" s="24" t="e">
        <v>#DIV/0!</v>
      </c>
      <c r="EI12" s="18">
        <v>0</v>
      </c>
      <c r="EJ12" s="24" t="e">
        <v>#DIV/0!</v>
      </c>
      <c r="EK12" s="18">
        <v>0</v>
      </c>
      <c r="EL12" s="24" t="e">
        <v>#DIV/0!</v>
      </c>
      <c r="EM12" s="18">
        <v>0</v>
      </c>
      <c r="EN12" s="24" t="e">
        <v>#DIV/0!</v>
      </c>
      <c r="EO12" s="18">
        <v>0</v>
      </c>
      <c r="EP12" s="24" t="e">
        <v>#DIV/0!</v>
      </c>
      <c r="EQ12" s="18">
        <v>0</v>
      </c>
      <c r="ER12" s="24" t="e">
        <v>#DIV/0!</v>
      </c>
      <c r="ES12" s="18">
        <f t="shared" si="0"/>
        <v>0</v>
      </c>
      <c r="ET12" s="24" t="e">
        <f>ES12/ES13</f>
        <v>#DIV/0!</v>
      </c>
      <c r="EU12" s="221" t="e">
        <f>IF( SUM($EQ12:ES12)&lt;0, "n/a", SUM($EQ12:ES12)/EU$74)</f>
        <v>#DIV/0!</v>
      </c>
      <c r="EV12" s="224" t="e">
        <f>EU12/EU13</f>
        <v>#DIV/0!</v>
      </c>
      <c r="EW12" s="22"/>
      <c r="EX12" s="96" t="s">
        <v>133</v>
      </c>
      <c r="EY12" s="35">
        <f>IF(ISERROR(VLOOKUP(EX12,IQSH01E!$A$1:$M$400,2,0)),0,VLOOKUP(EX12,IQSH01E!$A$1:$M$400,2,0))</f>
        <v>0</v>
      </c>
      <c r="EZ12" s="204"/>
      <c r="FA12" s="182" t="s">
        <v>123</v>
      </c>
    </row>
    <row r="13" spans="1:157" ht="16.5" customHeight="1" thickBot="1" x14ac:dyDescent="0.35">
      <c r="A13" s="10"/>
      <c r="B13" s="15" t="s">
        <v>83</v>
      </c>
      <c r="C13" s="19">
        <v>0</v>
      </c>
      <c r="D13" s="25" t="e">
        <v>#DIV/0!</v>
      </c>
      <c r="E13" s="19">
        <v>0</v>
      </c>
      <c r="F13" s="25" t="e">
        <v>#DIV/0!</v>
      </c>
      <c r="G13" s="19">
        <v>0</v>
      </c>
      <c r="H13" s="25" t="e">
        <v>#DIV/0!</v>
      </c>
      <c r="I13" s="19">
        <v>0</v>
      </c>
      <c r="J13" s="25" t="e">
        <v>#DIV/0!</v>
      </c>
      <c r="K13" s="19">
        <v>0</v>
      </c>
      <c r="L13" s="25" t="e">
        <v>#DIV/0!</v>
      </c>
      <c r="M13" s="19">
        <v>0</v>
      </c>
      <c r="N13" s="25" t="e">
        <v>#DIV/0!</v>
      </c>
      <c r="O13" s="19">
        <v>0</v>
      </c>
      <c r="P13" s="25" t="e">
        <v>#DIV/0!</v>
      </c>
      <c r="Q13" s="19">
        <v>0</v>
      </c>
      <c r="R13" s="25" t="e">
        <v>#DIV/0!</v>
      </c>
      <c r="S13" s="19">
        <v>0</v>
      </c>
      <c r="T13" s="25" t="e">
        <v>#DIV/0!</v>
      </c>
      <c r="U13" s="19">
        <v>0</v>
      </c>
      <c r="V13" s="25" t="e">
        <v>#DIV/0!</v>
      </c>
      <c r="W13" s="19">
        <v>0</v>
      </c>
      <c r="X13" s="25" t="e">
        <v>#DIV/0!</v>
      </c>
      <c r="Y13" s="19">
        <v>0</v>
      </c>
      <c r="Z13" s="25" t="e">
        <v>#DIV/0!</v>
      </c>
      <c r="AA13" s="19">
        <v>0</v>
      </c>
      <c r="AB13" s="25" t="e">
        <v>#DIV/0!</v>
      </c>
      <c r="AC13" s="19">
        <v>0</v>
      </c>
      <c r="AD13" s="25" t="e">
        <v>#DIV/0!</v>
      </c>
      <c r="AE13" s="19">
        <v>0</v>
      </c>
      <c r="AF13" s="25" t="e">
        <v>#DIV/0!</v>
      </c>
      <c r="AG13" s="19">
        <v>0</v>
      </c>
      <c r="AH13" s="25" t="e">
        <v>#DIV/0!</v>
      </c>
      <c r="AI13" s="19">
        <v>0</v>
      </c>
      <c r="AJ13" s="25" t="e">
        <v>#DIV/0!</v>
      </c>
      <c r="AK13" s="19">
        <v>0</v>
      </c>
      <c r="AL13" s="25" t="e">
        <v>#DIV/0!</v>
      </c>
      <c r="AM13" s="19">
        <v>0</v>
      </c>
      <c r="AN13" s="25" t="e">
        <v>#DIV/0!</v>
      </c>
      <c r="AO13" s="19">
        <v>0</v>
      </c>
      <c r="AP13" s="25" t="e">
        <v>#DIV/0!</v>
      </c>
      <c r="AQ13" s="19">
        <v>0</v>
      </c>
      <c r="AR13" s="25" t="e">
        <v>#DIV/0!</v>
      </c>
      <c r="AS13" s="19">
        <v>0</v>
      </c>
      <c r="AT13" s="25" t="e">
        <v>#DIV/0!</v>
      </c>
      <c r="AU13" s="19">
        <v>0</v>
      </c>
      <c r="AV13" s="25" t="e">
        <v>#DIV/0!</v>
      </c>
      <c r="AW13" s="19">
        <v>0</v>
      </c>
      <c r="AX13" s="25" t="e">
        <v>#DIV/0!</v>
      </c>
      <c r="AY13" s="19">
        <v>0</v>
      </c>
      <c r="AZ13" s="25" t="e">
        <v>#DIV/0!</v>
      </c>
      <c r="BA13" s="19">
        <v>0</v>
      </c>
      <c r="BB13" s="25" t="e">
        <v>#DIV/0!</v>
      </c>
      <c r="BC13" s="19">
        <v>0</v>
      </c>
      <c r="BD13" s="25" t="e">
        <v>#DIV/0!</v>
      </c>
      <c r="BE13" s="19">
        <v>0</v>
      </c>
      <c r="BF13" s="25" t="e">
        <v>#DIV/0!</v>
      </c>
      <c r="BG13" s="19">
        <v>0</v>
      </c>
      <c r="BH13" s="25" t="e">
        <v>#DIV/0!</v>
      </c>
      <c r="BI13" s="19">
        <v>0</v>
      </c>
      <c r="BJ13" s="25" t="e">
        <v>#DIV/0!</v>
      </c>
      <c r="BK13" s="19">
        <v>0</v>
      </c>
      <c r="BL13" s="25" t="e">
        <v>#DIV/0!</v>
      </c>
      <c r="BM13" s="19">
        <v>0</v>
      </c>
      <c r="BN13" s="25" t="e">
        <v>#DIV/0!</v>
      </c>
      <c r="BO13" s="19">
        <v>0</v>
      </c>
      <c r="BP13" s="25" t="e">
        <v>#DIV/0!</v>
      </c>
      <c r="BQ13" s="19">
        <v>0</v>
      </c>
      <c r="BR13" s="25" t="e">
        <v>#DIV/0!</v>
      </c>
      <c r="BS13" s="19">
        <v>0</v>
      </c>
      <c r="BT13" s="25" t="e">
        <v>#DIV/0!</v>
      </c>
      <c r="BU13" s="19">
        <v>0</v>
      </c>
      <c r="BV13" s="25" t="e">
        <v>#DIV/0!</v>
      </c>
      <c r="BW13" s="19">
        <v>0</v>
      </c>
      <c r="BX13" s="25" t="e">
        <v>#DIV/0!</v>
      </c>
      <c r="BY13" s="19">
        <v>0</v>
      </c>
      <c r="BZ13" s="25" t="e">
        <v>#DIV/0!</v>
      </c>
      <c r="CA13" s="19">
        <v>0</v>
      </c>
      <c r="CB13" s="25" t="e">
        <v>#DIV/0!</v>
      </c>
      <c r="CC13" s="19">
        <v>0</v>
      </c>
      <c r="CD13" s="25" t="e">
        <v>#DIV/0!</v>
      </c>
      <c r="CE13" s="19">
        <v>0</v>
      </c>
      <c r="CF13" s="25" t="e">
        <v>#DIV/0!</v>
      </c>
      <c r="CG13" s="19">
        <v>0</v>
      </c>
      <c r="CH13" s="25" t="e">
        <v>#DIV/0!</v>
      </c>
      <c r="CI13" s="19">
        <v>0</v>
      </c>
      <c r="CJ13" s="25" t="e">
        <v>#DIV/0!</v>
      </c>
      <c r="CK13" s="19">
        <v>0</v>
      </c>
      <c r="CL13" s="25" t="e">
        <v>#DIV/0!</v>
      </c>
      <c r="CM13" s="19">
        <v>0</v>
      </c>
      <c r="CN13" s="25" t="e">
        <v>#DIV/0!</v>
      </c>
      <c r="CO13" s="19">
        <v>0</v>
      </c>
      <c r="CP13" s="25" t="e">
        <v>#DIV/0!</v>
      </c>
      <c r="CQ13" s="19">
        <v>0</v>
      </c>
      <c r="CR13" s="25" t="e">
        <v>#DIV/0!</v>
      </c>
      <c r="CS13" s="19">
        <v>0</v>
      </c>
      <c r="CT13" s="25" t="e">
        <v>#DIV/0!</v>
      </c>
      <c r="CU13" s="19">
        <v>0</v>
      </c>
      <c r="CV13" s="25" t="e">
        <v>#DIV/0!</v>
      </c>
      <c r="CW13" s="19">
        <v>0</v>
      </c>
      <c r="CX13" s="25" t="e">
        <v>#DIV/0!</v>
      </c>
      <c r="CY13" s="19">
        <v>0</v>
      </c>
      <c r="CZ13" s="25" t="e">
        <v>#DIV/0!</v>
      </c>
      <c r="DA13" s="19">
        <v>0</v>
      </c>
      <c r="DB13" s="25" t="e">
        <v>#DIV/0!</v>
      </c>
      <c r="DC13" s="19">
        <v>0</v>
      </c>
      <c r="DD13" s="25" t="e">
        <v>#DIV/0!</v>
      </c>
      <c r="DE13" s="19">
        <v>0</v>
      </c>
      <c r="DF13" s="25" t="e">
        <v>#DIV/0!</v>
      </c>
      <c r="DG13" s="19">
        <v>0</v>
      </c>
      <c r="DH13" s="25" t="e">
        <v>#DIV/0!</v>
      </c>
      <c r="DI13" s="19">
        <v>0</v>
      </c>
      <c r="DJ13" s="25" t="e">
        <v>#DIV/0!</v>
      </c>
      <c r="DK13" s="19">
        <v>0</v>
      </c>
      <c r="DL13" s="25" t="e">
        <v>#DIV/0!</v>
      </c>
      <c r="DM13" s="19">
        <v>0</v>
      </c>
      <c r="DN13" s="25" t="e">
        <v>#DIV/0!</v>
      </c>
      <c r="DO13" s="19">
        <v>0</v>
      </c>
      <c r="DP13" s="25" t="e">
        <v>#DIV/0!</v>
      </c>
      <c r="DQ13" s="19">
        <v>0</v>
      </c>
      <c r="DR13" s="25" t="e">
        <v>#DIV/0!</v>
      </c>
      <c r="DS13" s="19">
        <v>0</v>
      </c>
      <c r="DT13" s="25" t="e">
        <v>#DIV/0!</v>
      </c>
      <c r="DU13" s="19">
        <v>0</v>
      </c>
      <c r="DV13" s="25" t="e">
        <v>#DIV/0!</v>
      </c>
      <c r="DW13" s="19">
        <v>0</v>
      </c>
      <c r="DX13" s="25" t="e">
        <v>#DIV/0!</v>
      </c>
      <c r="DY13" s="19">
        <v>0</v>
      </c>
      <c r="DZ13" s="25" t="e">
        <v>#DIV/0!</v>
      </c>
      <c r="EA13" s="19">
        <v>0</v>
      </c>
      <c r="EB13" s="25" t="e">
        <v>#DIV/0!</v>
      </c>
      <c r="EC13" s="19">
        <v>0</v>
      </c>
      <c r="ED13" s="25" t="e">
        <v>#DIV/0!</v>
      </c>
      <c r="EE13" s="19">
        <v>0</v>
      </c>
      <c r="EF13" s="25" t="e">
        <v>#DIV/0!</v>
      </c>
      <c r="EG13" s="19">
        <v>0</v>
      </c>
      <c r="EH13" s="25" t="e">
        <v>#DIV/0!</v>
      </c>
      <c r="EI13" s="19">
        <v>0</v>
      </c>
      <c r="EJ13" s="25" t="e">
        <v>#DIV/0!</v>
      </c>
      <c r="EK13" s="19">
        <v>0</v>
      </c>
      <c r="EL13" s="25" t="e">
        <v>#DIV/0!</v>
      </c>
      <c r="EM13" s="19">
        <v>0</v>
      </c>
      <c r="EN13" s="25" t="e">
        <v>#DIV/0!</v>
      </c>
      <c r="EO13" s="19">
        <v>0</v>
      </c>
      <c r="EP13" s="25" t="e">
        <v>#DIV/0!</v>
      </c>
      <c r="EQ13" s="19">
        <v>0</v>
      </c>
      <c r="ER13" s="25" t="e">
        <v>#DIV/0!</v>
      </c>
      <c r="ES13" s="19">
        <f>SUM(ES6:ES12)</f>
        <v>0</v>
      </c>
      <c r="ET13" s="25" t="e">
        <f>ES13/ES13</f>
        <v>#DIV/0!</v>
      </c>
      <c r="EU13" s="225" t="e">
        <f>IF( SUM($EQ13:ES13)&lt;0, "n/a", SUM($EQ13:ES13)/EU$74)</f>
        <v>#DIV/0!</v>
      </c>
      <c r="EV13" s="226" t="e">
        <f>EU13/EU13</f>
        <v>#DIV/0!</v>
      </c>
      <c r="EW13" s="22"/>
      <c r="EX13" s="100" t="s">
        <v>148</v>
      </c>
      <c r="EY13" s="103">
        <f>IF(ISERROR(VLOOKUP(EX13,IQSH01E!$A$1:$M$400,2,0)),0,VLOOKUP(EX13,IQSH01E!$A$1:$M$400,2,0))</f>
        <v>0</v>
      </c>
      <c r="EZ13" s="205"/>
      <c r="FA13" s="186"/>
    </row>
    <row r="14" spans="1:157" ht="16.5" customHeight="1" x14ac:dyDescent="0.3">
      <c r="A14" s="10"/>
      <c r="B14" s="14" t="s">
        <v>88</v>
      </c>
      <c r="C14" s="18">
        <v>0</v>
      </c>
      <c r="D14" s="24"/>
      <c r="E14" s="18">
        <v>0</v>
      </c>
      <c r="F14" s="24"/>
      <c r="G14" s="18">
        <v>0</v>
      </c>
      <c r="H14" s="24"/>
      <c r="I14" s="18">
        <v>0</v>
      </c>
      <c r="J14" s="24"/>
      <c r="K14" s="18">
        <v>0</v>
      </c>
      <c r="L14" s="24"/>
      <c r="M14" s="18">
        <v>0</v>
      </c>
      <c r="N14" s="24"/>
      <c r="O14" s="18">
        <v>0</v>
      </c>
      <c r="P14" s="24"/>
      <c r="Q14" s="18">
        <v>0</v>
      </c>
      <c r="R14" s="24"/>
      <c r="S14" s="18">
        <v>0</v>
      </c>
      <c r="T14" s="24"/>
      <c r="U14" s="18">
        <v>0</v>
      </c>
      <c r="V14" s="24"/>
      <c r="W14" s="18">
        <v>0</v>
      </c>
      <c r="X14" s="24"/>
      <c r="Y14" s="18">
        <v>0</v>
      </c>
      <c r="Z14" s="24"/>
      <c r="AA14" s="18">
        <v>0</v>
      </c>
      <c r="AB14" s="24"/>
      <c r="AC14" s="18">
        <v>0</v>
      </c>
      <c r="AD14" s="24"/>
      <c r="AE14" s="18">
        <v>0</v>
      </c>
      <c r="AF14" s="24"/>
      <c r="AG14" s="18">
        <v>0</v>
      </c>
      <c r="AH14" s="24"/>
      <c r="AI14" s="18">
        <v>0</v>
      </c>
      <c r="AJ14" s="24"/>
      <c r="AK14" s="18">
        <v>0</v>
      </c>
      <c r="AL14" s="24"/>
      <c r="AM14" s="18">
        <v>0</v>
      </c>
      <c r="AN14" s="24"/>
      <c r="AO14" s="18">
        <v>0</v>
      </c>
      <c r="AP14" s="24"/>
      <c r="AQ14" s="18">
        <v>0</v>
      </c>
      <c r="AR14" s="24"/>
      <c r="AS14" s="18">
        <v>0</v>
      </c>
      <c r="AT14" s="24"/>
      <c r="AU14" s="18">
        <v>0</v>
      </c>
      <c r="AV14" s="24"/>
      <c r="AW14" s="18">
        <v>0</v>
      </c>
      <c r="AX14" s="24"/>
      <c r="AY14" s="18">
        <v>0</v>
      </c>
      <c r="AZ14" s="24"/>
      <c r="BA14" s="18">
        <v>0</v>
      </c>
      <c r="BB14" s="24"/>
      <c r="BC14" s="18">
        <v>0</v>
      </c>
      <c r="BD14" s="24"/>
      <c r="BE14" s="18">
        <v>0</v>
      </c>
      <c r="BF14" s="24"/>
      <c r="BG14" s="18">
        <v>0</v>
      </c>
      <c r="BH14" s="24"/>
      <c r="BI14" s="18">
        <v>0</v>
      </c>
      <c r="BJ14" s="24"/>
      <c r="BK14" s="18">
        <v>0</v>
      </c>
      <c r="BL14" s="24"/>
      <c r="BM14" s="18">
        <v>0</v>
      </c>
      <c r="BN14" s="24"/>
      <c r="BO14" s="18">
        <v>0</v>
      </c>
      <c r="BP14" s="24"/>
      <c r="BQ14" s="18">
        <v>0</v>
      </c>
      <c r="BR14" s="24"/>
      <c r="BS14" s="18">
        <v>0</v>
      </c>
      <c r="BT14" s="24"/>
      <c r="BU14" s="18">
        <v>0</v>
      </c>
      <c r="BV14" s="24"/>
      <c r="BW14" s="18">
        <v>0</v>
      </c>
      <c r="BX14" s="24"/>
      <c r="BY14" s="18">
        <v>0</v>
      </c>
      <c r="BZ14" s="24"/>
      <c r="CA14" s="18">
        <v>0</v>
      </c>
      <c r="CB14" s="24"/>
      <c r="CC14" s="18">
        <v>0</v>
      </c>
      <c r="CD14" s="24"/>
      <c r="CE14" s="18">
        <v>0</v>
      </c>
      <c r="CF14" s="24"/>
      <c r="CG14" s="18">
        <v>0</v>
      </c>
      <c r="CH14" s="24"/>
      <c r="CI14" s="18">
        <v>0</v>
      </c>
      <c r="CJ14" s="24"/>
      <c r="CK14" s="18">
        <v>0</v>
      </c>
      <c r="CL14" s="24"/>
      <c r="CM14" s="18">
        <v>0</v>
      </c>
      <c r="CN14" s="24"/>
      <c r="CO14" s="18">
        <v>0</v>
      </c>
      <c r="CP14" s="24"/>
      <c r="CQ14" s="18">
        <v>0</v>
      </c>
      <c r="CR14" s="24"/>
      <c r="CS14" s="18">
        <v>0</v>
      </c>
      <c r="CT14" s="24"/>
      <c r="CU14" s="18">
        <v>0</v>
      </c>
      <c r="CV14" s="24"/>
      <c r="CW14" s="18">
        <v>0</v>
      </c>
      <c r="CX14" s="24"/>
      <c r="CY14" s="18">
        <v>0</v>
      </c>
      <c r="CZ14" s="24"/>
      <c r="DA14" s="18">
        <v>0</v>
      </c>
      <c r="DB14" s="24"/>
      <c r="DC14" s="18">
        <v>0</v>
      </c>
      <c r="DD14" s="24"/>
      <c r="DE14" s="18">
        <v>0</v>
      </c>
      <c r="DF14" s="24"/>
      <c r="DG14" s="18">
        <v>0</v>
      </c>
      <c r="DH14" s="24"/>
      <c r="DI14" s="18">
        <v>0</v>
      </c>
      <c r="DJ14" s="24"/>
      <c r="DK14" s="18">
        <v>0</v>
      </c>
      <c r="DL14" s="24"/>
      <c r="DM14" s="18">
        <v>0</v>
      </c>
      <c r="DN14" s="24"/>
      <c r="DO14" s="18">
        <v>0</v>
      </c>
      <c r="DP14" s="24"/>
      <c r="DQ14" s="18">
        <v>0</v>
      </c>
      <c r="DR14" s="24"/>
      <c r="DS14" s="18">
        <v>0</v>
      </c>
      <c r="DT14" s="24"/>
      <c r="DU14" s="18">
        <v>0</v>
      </c>
      <c r="DV14" s="24"/>
      <c r="DW14" s="18">
        <v>0</v>
      </c>
      <c r="DX14" s="24"/>
      <c r="DY14" s="18">
        <v>0</v>
      </c>
      <c r="DZ14" s="24"/>
      <c r="EA14" s="18">
        <v>0</v>
      </c>
      <c r="EB14" s="24"/>
      <c r="EC14" s="18">
        <v>0</v>
      </c>
      <c r="ED14" s="24"/>
      <c r="EE14" s="18">
        <v>0</v>
      </c>
      <c r="EF14" s="24"/>
      <c r="EG14" s="18">
        <v>0</v>
      </c>
      <c r="EH14" s="24"/>
      <c r="EI14" s="18">
        <v>0</v>
      </c>
      <c r="EJ14" s="24"/>
      <c r="EK14" s="18">
        <v>0</v>
      </c>
      <c r="EL14" s="24"/>
      <c r="EM14" s="18">
        <v>0</v>
      </c>
      <c r="EN14" s="24"/>
      <c r="EO14" s="18">
        <v>0</v>
      </c>
      <c r="EP14" s="24"/>
      <c r="EQ14" s="18">
        <v>0</v>
      </c>
      <c r="ER14" s="24"/>
      <c r="ES14" s="18">
        <f>+$EY14</f>
        <v>0</v>
      </c>
      <c r="ET14" s="24"/>
      <c r="EU14" s="221">
        <f>IF( SUM($EQ14:ES14)&lt;0, "n/a", SUM($EQ14:ES14)/EU$74)</f>
        <v>0</v>
      </c>
      <c r="EV14" s="227"/>
      <c r="EW14" s="22"/>
      <c r="EX14" s="96" t="s">
        <v>12</v>
      </c>
      <c r="EY14" s="35">
        <f>IF(ISERROR(VLOOKUP(EX14,IQSH01E!$A$1:$M$400,2,0)),0,VLOOKUP(EX14,IQSH01E!$A$1:$M$400,2,0))</f>
        <v>0</v>
      </c>
      <c r="EZ14" s="204"/>
      <c r="FA14" s="182" t="s">
        <v>118</v>
      </c>
    </row>
    <row r="15" spans="1:157" ht="16.5" customHeight="1" x14ac:dyDescent="0.3">
      <c r="A15" s="10"/>
      <c r="B15" s="14" t="s">
        <v>71</v>
      </c>
      <c r="C15" s="18">
        <v>0</v>
      </c>
      <c r="D15" s="24"/>
      <c r="E15" s="18">
        <v>0</v>
      </c>
      <c r="F15" s="24"/>
      <c r="G15" s="18">
        <v>0</v>
      </c>
      <c r="H15" s="24"/>
      <c r="I15" s="18">
        <v>0</v>
      </c>
      <c r="J15" s="24"/>
      <c r="K15" s="18">
        <v>0</v>
      </c>
      <c r="L15" s="24"/>
      <c r="M15" s="18">
        <v>0</v>
      </c>
      <c r="N15" s="24"/>
      <c r="O15" s="18">
        <v>0</v>
      </c>
      <c r="P15" s="24"/>
      <c r="Q15" s="18">
        <v>0</v>
      </c>
      <c r="R15" s="24"/>
      <c r="S15" s="18">
        <v>0</v>
      </c>
      <c r="T15" s="24"/>
      <c r="U15" s="18">
        <v>0</v>
      </c>
      <c r="V15" s="24"/>
      <c r="W15" s="18">
        <v>0</v>
      </c>
      <c r="X15" s="24"/>
      <c r="Y15" s="18">
        <v>0</v>
      </c>
      <c r="Z15" s="24"/>
      <c r="AA15" s="18">
        <v>0</v>
      </c>
      <c r="AB15" s="24"/>
      <c r="AC15" s="18">
        <v>0</v>
      </c>
      <c r="AD15" s="24"/>
      <c r="AE15" s="18">
        <v>0</v>
      </c>
      <c r="AF15" s="24"/>
      <c r="AG15" s="18">
        <v>0</v>
      </c>
      <c r="AH15" s="24"/>
      <c r="AI15" s="18">
        <v>0</v>
      </c>
      <c r="AJ15" s="24"/>
      <c r="AK15" s="18">
        <v>0</v>
      </c>
      <c r="AL15" s="24"/>
      <c r="AM15" s="18">
        <v>0</v>
      </c>
      <c r="AN15" s="24"/>
      <c r="AO15" s="18">
        <v>0</v>
      </c>
      <c r="AP15" s="24"/>
      <c r="AQ15" s="18">
        <v>0</v>
      </c>
      <c r="AR15" s="24"/>
      <c r="AS15" s="18">
        <v>0</v>
      </c>
      <c r="AT15" s="24"/>
      <c r="AU15" s="18">
        <v>0</v>
      </c>
      <c r="AV15" s="24"/>
      <c r="AW15" s="18">
        <v>0</v>
      </c>
      <c r="AX15" s="24"/>
      <c r="AY15" s="18">
        <v>0</v>
      </c>
      <c r="AZ15" s="24"/>
      <c r="BA15" s="18">
        <v>0</v>
      </c>
      <c r="BB15" s="24"/>
      <c r="BC15" s="18">
        <v>0</v>
      </c>
      <c r="BD15" s="24"/>
      <c r="BE15" s="18">
        <v>0</v>
      </c>
      <c r="BF15" s="24"/>
      <c r="BG15" s="18">
        <v>0</v>
      </c>
      <c r="BH15" s="24"/>
      <c r="BI15" s="18">
        <v>0</v>
      </c>
      <c r="BJ15" s="24"/>
      <c r="BK15" s="18">
        <v>0</v>
      </c>
      <c r="BL15" s="24"/>
      <c r="BM15" s="18">
        <v>0</v>
      </c>
      <c r="BN15" s="24"/>
      <c r="BO15" s="18">
        <v>0</v>
      </c>
      <c r="BP15" s="24"/>
      <c r="BQ15" s="18">
        <v>0</v>
      </c>
      <c r="BR15" s="24"/>
      <c r="BS15" s="18">
        <v>0</v>
      </c>
      <c r="BT15" s="24"/>
      <c r="BU15" s="18">
        <v>0</v>
      </c>
      <c r="BV15" s="24"/>
      <c r="BW15" s="18">
        <v>0</v>
      </c>
      <c r="BX15" s="24"/>
      <c r="BY15" s="18">
        <v>0</v>
      </c>
      <c r="BZ15" s="24"/>
      <c r="CA15" s="18">
        <v>0</v>
      </c>
      <c r="CB15" s="24"/>
      <c r="CC15" s="18">
        <v>0</v>
      </c>
      <c r="CD15" s="24"/>
      <c r="CE15" s="18">
        <v>0</v>
      </c>
      <c r="CF15" s="24"/>
      <c r="CG15" s="18">
        <v>0</v>
      </c>
      <c r="CH15" s="24"/>
      <c r="CI15" s="18">
        <v>0</v>
      </c>
      <c r="CJ15" s="24"/>
      <c r="CK15" s="18">
        <v>0</v>
      </c>
      <c r="CL15" s="24"/>
      <c r="CM15" s="18">
        <v>0</v>
      </c>
      <c r="CN15" s="24"/>
      <c r="CO15" s="18">
        <v>0</v>
      </c>
      <c r="CP15" s="24"/>
      <c r="CQ15" s="18">
        <v>0</v>
      </c>
      <c r="CR15" s="24"/>
      <c r="CS15" s="18">
        <v>0</v>
      </c>
      <c r="CT15" s="24"/>
      <c r="CU15" s="18">
        <v>0</v>
      </c>
      <c r="CV15" s="24"/>
      <c r="CW15" s="18">
        <v>0</v>
      </c>
      <c r="CX15" s="24"/>
      <c r="CY15" s="18">
        <v>0</v>
      </c>
      <c r="CZ15" s="24"/>
      <c r="DA15" s="18">
        <v>0</v>
      </c>
      <c r="DB15" s="24"/>
      <c r="DC15" s="18">
        <v>0</v>
      </c>
      <c r="DD15" s="24"/>
      <c r="DE15" s="18">
        <v>0</v>
      </c>
      <c r="DF15" s="24"/>
      <c r="DG15" s="18">
        <v>0</v>
      </c>
      <c r="DH15" s="24"/>
      <c r="DI15" s="18">
        <v>0</v>
      </c>
      <c r="DJ15" s="24"/>
      <c r="DK15" s="18">
        <v>0</v>
      </c>
      <c r="DL15" s="24"/>
      <c r="DM15" s="18">
        <v>0</v>
      </c>
      <c r="DN15" s="24"/>
      <c r="DO15" s="18">
        <v>0</v>
      </c>
      <c r="DP15" s="24"/>
      <c r="DQ15" s="18">
        <v>0</v>
      </c>
      <c r="DR15" s="24"/>
      <c r="DS15" s="18">
        <v>0</v>
      </c>
      <c r="DT15" s="24"/>
      <c r="DU15" s="18">
        <v>0</v>
      </c>
      <c r="DV15" s="24"/>
      <c r="DW15" s="18">
        <v>0</v>
      </c>
      <c r="DX15" s="24"/>
      <c r="DY15" s="18">
        <v>0</v>
      </c>
      <c r="DZ15" s="24"/>
      <c r="EA15" s="18">
        <v>0</v>
      </c>
      <c r="EB15" s="24"/>
      <c r="EC15" s="18">
        <v>0</v>
      </c>
      <c r="ED15" s="24"/>
      <c r="EE15" s="18">
        <v>0</v>
      </c>
      <c r="EF15" s="24"/>
      <c r="EG15" s="18">
        <v>0</v>
      </c>
      <c r="EH15" s="24"/>
      <c r="EI15" s="18">
        <v>0</v>
      </c>
      <c r="EJ15" s="24"/>
      <c r="EK15" s="18">
        <v>0</v>
      </c>
      <c r="EL15" s="24"/>
      <c r="EM15" s="18">
        <v>0</v>
      </c>
      <c r="EN15" s="24"/>
      <c r="EO15" s="18">
        <v>0</v>
      </c>
      <c r="EP15" s="24"/>
      <c r="EQ15" s="18">
        <v>0</v>
      </c>
      <c r="ER15" s="24"/>
      <c r="ES15" s="18">
        <f>+$EY15</f>
        <v>0</v>
      </c>
      <c r="ET15" s="24"/>
      <c r="EU15" s="221">
        <f>IF( SUM($EQ15:ES15)&lt;0, "n/a", SUM($EQ15:ES15)/EU$74)</f>
        <v>0</v>
      </c>
      <c r="EV15" s="224"/>
      <c r="EW15" s="22"/>
      <c r="EX15" s="154" t="s">
        <v>103</v>
      </c>
      <c r="EY15" s="34">
        <f>IF(ISERROR(VLOOKUP(EX15,IQSH01E!$A$1:$M$400,2,0)),0,VLOOKUP(EX15,IQSH01E!$A$1:$M$400,2,0))</f>
        <v>0</v>
      </c>
      <c r="EZ15" s="206"/>
      <c r="FA15" s="187" t="s">
        <v>117</v>
      </c>
    </row>
    <row r="16" spans="1:157" ht="16.5" customHeight="1" thickBot="1" x14ac:dyDescent="0.35">
      <c r="A16" s="12"/>
      <c r="B16" s="16" t="s">
        <v>84</v>
      </c>
      <c r="C16" s="19">
        <v>0</v>
      </c>
      <c r="D16" s="25"/>
      <c r="E16" s="19">
        <v>0</v>
      </c>
      <c r="F16" s="25"/>
      <c r="G16" s="19">
        <v>0</v>
      </c>
      <c r="H16" s="25"/>
      <c r="I16" s="19">
        <v>0</v>
      </c>
      <c r="J16" s="25"/>
      <c r="K16" s="19">
        <v>0</v>
      </c>
      <c r="L16" s="25"/>
      <c r="M16" s="19">
        <v>0</v>
      </c>
      <c r="N16" s="25"/>
      <c r="O16" s="19">
        <v>0</v>
      </c>
      <c r="P16" s="25"/>
      <c r="Q16" s="19">
        <v>0</v>
      </c>
      <c r="R16" s="25"/>
      <c r="S16" s="19">
        <v>0</v>
      </c>
      <c r="T16" s="25"/>
      <c r="U16" s="19">
        <v>0</v>
      </c>
      <c r="V16" s="25"/>
      <c r="W16" s="19">
        <v>0</v>
      </c>
      <c r="X16" s="25"/>
      <c r="Y16" s="19">
        <v>0</v>
      </c>
      <c r="Z16" s="25"/>
      <c r="AA16" s="19">
        <v>0</v>
      </c>
      <c r="AB16" s="25"/>
      <c r="AC16" s="19">
        <v>0</v>
      </c>
      <c r="AD16" s="25"/>
      <c r="AE16" s="19">
        <v>0</v>
      </c>
      <c r="AF16" s="25"/>
      <c r="AG16" s="19">
        <v>0</v>
      </c>
      <c r="AH16" s="25"/>
      <c r="AI16" s="19">
        <v>0</v>
      </c>
      <c r="AJ16" s="25"/>
      <c r="AK16" s="19">
        <v>0</v>
      </c>
      <c r="AL16" s="25"/>
      <c r="AM16" s="19">
        <v>0</v>
      </c>
      <c r="AN16" s="25"/>
      <c r="AO16" s="19">
        <v>0</v>
      </c>
      <c r="AP16" s="25"/>
      <c r="AQ16" s="19">
        <v>0</v>
      </c>
      <c r="AR16" s="25"/>
      <c r="AS16" s="19">
        <v>0</v>
      </c>
      <c r="AT16" s="25"/>
      <c r="AU16" s="19">
        <v>0</v>
      </c>
      <c r="AV16" s="25"/>
      <c r="AW16" s="19">
        <v>0</v>
      </c>
      <c r="AX16" s="25"/>
      <c r="AY16" s="19">
        <v>0</v>
      </c>
      <c r="AZ16" s="25"/>
      <c r="BA16" s="19">
        <v>0</v>
      </c>
      <c r="BB16" s="25"/>
      <c r="BC16" s="19">
        <v>0</v>
      </c>
      <c r="BD16" s="25"/>
      <c r="BE16" s="19">
        <v>0</v>
      </c>
      <c r="BF16" s="25"/>
      <c r="BG16" s="19">
        <v>0</v>
      </c>
      <c r="BH16" s="25"/>
      <c r="BI16" s="19">
        <v>0</v>
      </c>
      <c r="BJ16" s="25"/>
      <c r="BK16" s="19">
        <v>0</v>
      </c>
      <c r="BL16" s="25"/>
      <c r="BM16" s="19">
        <v>0</v>
      </c>
      <c r="BN16" s="25"/>
      <c r="BO16" s="19">
        <v>0</v>
      </c>
      <c r="BP16" s="25"/>
      <c r="BQ16" s="19">
        <v>0</v>
      </c>
      <c r="BR16" s="25"/>
      <c r="BS16" s="19">
        <v>0</v>
      </c>
      <c r="BT16" s="25"/>
      <c r="BU16" s="19">
        <v>0</v>
      </c>
      <c r="BV16" s="25"/>
      <c r="BW16" s="19">
        <v>0</v>
      </c>
      <c r="BX16" s="25"/>
      <c r="BY16" s="19">
        <v>0</v>
      </c>
      <c r="BZ16" s="25"/>
      <c r="CA16" s="19">
        <v>0</v>
      </c>
      <c r="CB16" s="25"/>
      <c r="CC16" s="19">
        <v>0</v>
      </c>
      <c r="CD16" s="25"/>
      <c r="CE16" s="19">
        <v>0</v>
      </c>
      <c r="CF16" s="25"/>
      <c r="CG16" s="19">
        <v>0</v>
      </c>
      <c r="CH16" s="25"/>
      <c r="CI16" s="19">
        <v>0</v>
      </c>
      <c r="CJ16" s="25"/>
      <c r="CK16" s="19">
        <v>0</v>
      </c>
      <c r="CL16" s="25"/>
      <c r="CM16" s="19">
        <v>0</v>
      </c>
      <c r="CN16" s="25"/>
      <c r="CO16" s="19">
        <v>0</v>
      </c>
      <c r="CP16" s="25"/>
      <c r="CQ16" s="19">
        <v>0</v>
      </c>
      <c r="CR16" s="25"/>
      <c r="CS16" s="19">
        <v>0</v>
      </c>
      <c r="CT16" s="25"/>
      <c r="CU16" s="19">
        <v>0</v>
      </c>
      <c r="CV16" s="25"/>
      <c r="CW16" s="19">
        <v>0</v>
      </c>
      <c r="CX16" s="25"/>
      <c r="CY16" s="19">
        <v>0</v>
      </c>
      <c r="CZ16" s="25"/>
      <c r="DA16" s="19">
        <v>0</v>
      </c>
      <c r="DB16" s="25"/>
      <c r="DC16" s="19">
        <v>0</v>
      </c>
      <c r="DD16" s="25"/>
      <c r="DE16" s="19">
        <v>0</v>
      </c>
      <c r="DF16" s="25"/>
      <c r="DG16" s="19">
        <v>0</v>
      </c>
      <c r="DH16" s="25"/>
      <c r="DI16" s="19">
        <v>0</v>
      </c>
      <c r="DJ16" s="25"/>
      <c r="DK16" s="19">
        <v>0</v>
      </c>
      <c r="DL16" s="25"/>
      <c r="DM16" s="19">
        <v>0</v>
      </c>
      <c r="DN16" s="25"/>
      <c r="DO16" s="19">
        <v>0</v>
      </c>
      <c r="DP16" s="25"/>
      <c r="DQ16" s="19">
        <v>0</v>
      </c>
      <c r="DR16" s="25"/>
      <c r="DS16" s="19">
        <v>0</v>
      </c>
      <c r="DT16" s="25"/>
      <c r="DU16" s="19">
        <v>0</v>
      </c>
      <c r="DV16" s="25"/>
      <c r="DW16" s="19">
        <v>0</v>
      </c>
      <c r="DX16" s="25"/>
      <c r="DY16" s="19">
        <v>0</v>
      </c>
      <c r="DZ16" s="25"/>
      <c r="EA16" s="19">
        <v>0</v>
      </c>
      <c r="EB16" s="25"/>
      <c r="EC16" s="19">
        <v>0</v>
      </c>
      <c r="ED16" s="25"/>
      <c r="EE16" s="19">
        <v>0</v>
      </c>
      <c r="EF16" s="25"/>
      <c r="EG16" s="19">
        <v>0</v>
      </c>
      <c r="EH16" s="25"/>
      <c r="EI16" s="19">
        <v>0</v>
      </c>
      <c r="EJ16" s="25"/>
      <c r="EK16" s="19">
        <v>0</v>
      </c>
      <c r="EL16" s="25"/>
      <c r="EM16" s="19">
        <v>0</v>
      </c>
      <c r="EN16" s="25"/>
      <c r="EO16" s="19">
        <v>0</v>
      </c>
      <c r="EP16" s="25"/>
      <c r="EQ16" s="19">
        <v>0</v>
      </c>
      <c r="ER16" s="25"/>
      <c r="ES16" s="19">
        <f>SUM(ES13:ES15)</f>
        <v>0</v>
      </c>
      <c r="ET16" s="25"/>
      <c r="EU16" s="225">
        <f>IF( SUM($EQ16:ES16)&lt;0, "n/a", SUM($EQ16:ES16)/EU$74)</f>
        <v>0</v>
      </c>
      <c r="EV16" s="228"/>
      <c r="EW16" s="61"/>
      <c r="EX16" s="37" t="s">
        <v>51</v>
      </c>
      <c r="EY16" s="38">
        <f>IF(ISERROR(VLOOKUP(EX16,IQSH01E!$A$1:$M$400,2,0)),0,VLOOKUP(EX16,IQSH01E!$A$1:$M$400,2,0))</f>
        <v>0</v>
      </c>
      <c r="EZ16" s="48">
        <f>SUM(EY6:EY15)</f>
        <v>0</v>
      </c>
      <c r="FA16" s="188" t="s">
        <v>118</v>
      </c>
    </row>
    <row r="17" spans="1:157" ht="16.5" customHeight="1" thickBot="1" x14ac:dyDescent="0.35">
      <c r="A17" s="10"/>
      <c r="B17" s="14" t="s">
        <v>89</v>
      </c>
      <c r="C17" s="18">
        <v>0</v>
      </c>
      <c r="D17" s="24" t="e">
        <v>#DIV/0!</v>
      </c>
      <c r="E17" s="18">
        <v>0</v>
      </c>
      <c r="F17" s="24" t="e">
        <v>#DIV/0!</v>
      </c>
      <c r="G17" s="18">
        <v>0</v>
      </c>
      <c r="H17" s="24" t="e">
        <v>#DIV/0!</v>
      </c>
      <c r="I17" s="18">
        <v>0</v>
      </c>
      <c r="J17" s="24" t="e">
        <v>#DIV/0!</v>
      </c>
      <c r="K17" s="18">
        <v>0</v>
      </c>
      <c r="L17" s="24" t="e">
        <v>#DIV/0!</v>
      </c>
      <c r="M17" s="18">
        <v>0</v>
      </c>
      <c r="N17" s="24" t="e">
        <v>#DIV/0!</v>
      </c>
      <c r="O17" s="18">
        <v>0</v>
      </c>
      <c r="P17" s="24" t="e">
        <v>#DIV/0!</v>
      </c>
      <c r="Q17" s="18">
        <v>0</v>
      </c>
      <c r="R17" s="24" t="e">
        <v>#DIV/0!</v>
      </c>
      <c r="S17" s="18">
        <v>0</v>
      </c>
      <c r="T17" s="24" t="e">
        <v>#DIV/0!</v>
      </c>
      <c r="U17" s="18">
        <v>0</v>
      </c>
      <c r="V17" s="24" t="e">
        <v>#DIV/0!</v>
      </c>
      <c r="W17" s="18">
        <v>0</v>
      </c>
      <c r="X17" s="24" t="e">
        <v>#DIV/0!</v>
      </c>
      <c r="Y17" s="18">
        <v>0</v>
      </c>
      <c r="Z17" s="24" t="e">
        <v>#DIV/0!</v>
      </c>
      <c r="AA17" s="18">
        <v>0</v>
      </c>
      <c r="AB17" s="24" t="e">
        <v>#DIV/0!</v>
      </c>
      <c r="AC17" s="18">
        <v>0</v>
      </c>
      <c r="AD17" s="24" t="e">
        <v>#DIV/0!</v>
      </c>
      <c r="AE17" s="18">
        <v>0</v>
      </c>
      <c r="AF17" s="24" t="e">
        <v>#DIV/0!</v>
      </c>
      <c r="AG17" s="18">
        <v>0</v>
      </c>
      <c r="AH17" s="24" t="e">
        <v>#DIV/0!</v>
      </c>
      <c r="AI17" s="18">
        <v>0</v>
      </c>
      <c r="AJ17" s="24" t="e">
        <v>#DIV/0!</v>
      </c>
      <c r="AK17" s="18">
        <v>0</v>
      </c>
      <c r="AL17" s="24" t="e">
        <v>#DIV/0!</v>
      </c>
      <c r="AM17" s="18">
        <v>0</v>
      </c>
      <c r="AN17" s="24" t="e">
        <v>#DIV/0!</v>
      </c>
      <c r="AO17" s="18">
        <v>0</v>
      </c>
      <c r="AP17" s="24" t="e">
        <v>#DIV/0!</v>
      </c>
      <c r="AQ17" s="18">
        <v>0</v>
      </c>
      <c r="AR17" s="24" t="e">
        <v>#DIV/0!</v>
      </c>
      <c r="AS17" s="18">
        <v>0</v>
      </c>
      <c r="AT17" s="24" t="e">
        <v>#DIV/0!</v>
      </c>
      <c r="AU17" s="18">
        <v>0</v>
      </c>
      <c r="AV17" s="24" t="e">
        <v>#DIV/0!</v>
      </c>
      <c r="AW17" s="18">
        <v>0</v>
      </c>
      <c r="AX17" s="24" t="e">
        <v>#DIV/0!</v>
      </c>
      <c r="AY17" s="18">
        <v>0</v>
      </c>
      <c r="AZ17" s="24" t="e">
        <v>#DIV/0!</v>
      </c>
      <c r="BA17" s="18">
        <v>0</v>
      </c>
      <c r="BB17" s="24" t="e">
        <v>#DIV/0!</v>
      </c>
      <c r="BC17" s="18">
        <v>0</v>
      </c>
      <c r="BD17" s="24" t="e">
        <v>#DIV/0!</v>
      </c>
      <c r="BE17" s="18">
        <v>0</v>
      </c>
      <c r="BF17" s="24" t="e">
        <v>#DIV/0!</v>
      </c>
      <c r="BG17" s="18">
        <v>0</v>
      </c>
      <c r="BH17" s="24" t="e">
        <v>#DIV/0!</v>
      </c>
      <c r="BI17" s="18">
        <v>0</v>
      </c>
      <c r="BJ17" s="24" t="e">
        <v>#DIV/0!</v>
      </c>
      <c r="BK17" s="18">
        <v>0</v>
      </c>
      <c r="BL17" s="24" t="e">
        <v>#DIV/0!</v>
      </c>
      <c r="BM17" s="18">
        <v>0</v>
      </c>
      <c r="BN17" s="24" t="e">
        <v>#DIV/0!</v>
      </c>
      <c r="BO17" s="18">
        <v>0</v>
      </c>
      <c r="BP17" s="24" t="e">
        <v>#DIV/0!</v>
      </c>
      <c r="BQ17" s="18">
        <v>0</v>
      </c>
      <c r="BR17" s="24" t="e">
        <v>#DIV/0!</v>
      </c>
      <c r="BS17" s="18">
        <v>0</v>
      </c>
      <c r="BT17" s="24" t="e">
        <v>#DIV/0!</v>
      </c>
      <c r="BU17" s="18">
        <v>0</v>
      </c>
      <c r="BV17" s="24" t="e">
        <v>#DIV/0!</v>
      </c>
      <c r="BW17" s="18">
        <v>0</v>
      </c>
      <c r="BX17" s="24" t="e">
        <v>#DIV/0!</v>
      </c>
      <c r="BY17" s="18">
        <v>0</v>
      </c>
      <c r="BZ17" s="24" t="e">
        <v>#DIV/0!</v>
      </c>
      <c r="CA17" s="18">
        <v>0</v>
      </c>
      <c r="CB17" s="24" t="e">
        <v>#DIV/0!</v>
      </c>
      <c r="CC17" s="18">
        <v>0</v>
      </c>
      <c r="CD17" s="24" t="e">
        <v>#DIV/0!</v>
      </c>
      <c r="CE17" s="18">
        <v>0</v>
      </c>
      <c r="CF17" s="24" t="e">
        <v>#DIV/0!</v>
      </c>
      <c r="CG17" s="18">
        <v>0</v>
      </c>
      <c r="CH17" s="24" t="e">
        <v>#DIV/0!</v>
      </c>
      <c r="CI17" s="18">
        <v>0</v>
      </c>
      <c r="CJ17" s="24" t="e">
        <v>#DIV/0!</v>
      </c>
      <c r="CK17" s="18">
        <v>0</v>
      </c>
      <c r="CL17" s="24" t="e">
        <v>#DIV/0!</v>
      </c>
      <c r="CM17" s="18">
        <v>0</v>
      </c>
      <c r="CN17" s="24" t="e">
        <v>#DIV/0!</v>
      </c>
      <c r="CO17" s="18">
        <v>0</v>
      </c>
      <c r="CP17" s="24" t="e">
        <v>#DIV/0!</v>
      </c>
      <c r="CQ17" s="18">
        <v>0</v>
      </c>
      <c r="CR17" s="24" t="e">
        <v>#DIV/0!</v>
      </c>
      <c r="CS17" s="18">
        <v>0</v>
      </c>
      <c r="CT17" s="24" t="e">
        <v>#DIV/0!</v>
      </c>
      <c r="CU17" s="18">
        <v>0</v>
      </c>
      <c r="CV17" s="24" t="e">
        <v>#DIV/0!</v>
      </c>
      <c r="CW17" s="18">
        <v>0</v>
      </c>
      <c r="CX17" s="24" t="e">
        <v>#DIV/0!</v>
      </c>
      <c r="CY17" s="18">
        <v>0</v>
      </c>
      <c r="CZ17" s="24" t="e">
        <v>#DIV/0!</v>
      </c>
      <c r="DA17" s="18">
        <v>0</v>
      </c>
      <c r="DB17" s="24" t="e">
        <v>#DIV/0!</v>
      </c>
      <c r="DC17" s="18">
        <v>0</v>
      </c>
      <c r="DD17" s="24" t="e">
        <v>#DIV/0!</v>
      </c>
      <c r="DE17" s="18">
        <v>0</v>
      </c>
      <c r="DF17" s="24" t="e">
        <v>#DIV/0!</v>
      </c>
      <c r="DG17" s="18">
        <v>0</v>
      </c>
      <c r="DH17" s="24" t="e">
        <v>#DIV/0!</v>
      </c>
      <c r="DI17" s="18">
        <v>0</v>
      </c>
      <c r="DJ17" s="24" t="e">
        <v>#DIV/0!</v>
      </c>
      <c r="DK17" s="18">
        <v>0</v>
      </c>
      <c r="DL17" s="24" t="e">
        <v>#DIV/0!</v>
      </c>
      <c r="DM17" s="18">
        <v>0</v>
      </c>
      <c r="DN17" s="24" t="e">
        <v>#DIV/0!</v>
      </c>
      <c r="DO17" s="18">
        <v>0</v>
      </c>
      <c r="DP17" s="24" t="e">
        <v>#DIV/0!</v>
      </c>
      <c r="DQ17" s="18">
        <v>0</v>
      </c>
      <c r="DR17" s="24" t="e">
        <v>#DIV/0!</v>
      </c>
      <c r="DS17" s="18">
        <v>0</v>
      </c>
      <c r="DT17" s="24" t="e">
        <v>#DIV/0!</v>
      </c>
      <c r="DU17" s="18">
        <v>0</v>
      </c>
      <c r="DV17" s="24" t="e">
        <v>#DIV/0!</v>
      </c>
      <c r="DW17" s="18">
        <v>0</v>
      </c>
      <c r="DX17" s="24" t="e">
        <v>#DIV/0!</v>
      </c>
      <c r="DY17" s="18">
        <v>0</v>
      </c>
      <c r="DZ17" s="24" t="e">
        <v>#DIV/0!</v>
      </c>
      <c r="EA17" s="18">
        <v>0</v>
      </c>
      <c r="EB17" s="24" t="e">
        <v>#DIV/0!</v>
      </c>
      <c r="EC17" s="18">
        <v>0</v>
      </c>
      <c r="ED17" s="24" t="e">
        <v>#DIV/0!</v>
      </c>
      <c r="EE17" s="18">
        <v>0</v>
      </c>
      <c r="EF17" s="24" t="e">
        <v>#DIV/0!</v>
      </c>
      <c r="EG17" s="18">
        <v>0</v>
      </c>
      <c r="EH17" s="24" t="e">
        <v>#DIV/0!</v>
      </c>
      <c r="EI17" s="18">
        <v>0</v>
      </c>
      <c r="EJ17" s="24" t="e">
        <v>#DIV/0!</v>
      </c>
      <c r="EK17" s="18">
        <v>0</v>
      </c>
      <c r="EL17" s="24" t="e">
        <v>#DIV/0!</v>
      </c>
      <c r="EM17" s="18">
        <v>0</v>
      </c>
      <c r="EN17" s="24" t="e">
        <v>#DIV/0!</v>
      </c>
      <c r="EO17" s="18">
        <v>0</v>
      </c>
      <c r="EP17" s="24" t="e">
        <v>#DIV/0!</v>
      </c>
      <c r="EQ17" s="18">
        <v>0</v>
      </c>
      <c r="ER17" s="24" t="e">
        <v>#DIV/0!</v>
      </c>
      <c r="ES17" s="18">
        <f t="shared" ref="ES17:ES23" si="1">+$EY17</f>
        <v>0</v>
      </c>
      <c r="ET17" s="24" t="e">
        <f>ES17/ES24</f>
        <v>#DIV/0!</v>
      </c>
      <c r="EU17" s="221" t="e">
        <f>IF( SUM($EQ17:ES17)&lt;0, "n/a", SUM($EQ17:ES17)/EU$74)</f>
        <v>#DIV/0!</v>
      </c>
      <c r="EV17" s="222" t="e">
        <f>EU17/EU24</f>
        <v>#DIV/0!</v>
      </c>
      <c r="EW17" s="22"/>
      <c r="EX17" s="96" t="s">
        <v>66</v>
      </c>
      <c r="EY17" s="35">
        <f>IF(ISERROR(VLOOKUP(EX17,IQSH01E!$A$1:$M$400,2,0)),0,VLOOKUP(EX17,IQSH01E!$A$1:$M$400,2,0))</f>
        <v>0</v>
      </c>
      <c r="EZ17" s="204"/>
      <c r="FA17" s="182" t="s">
        <v>123</v>
      </c>
    </row>
    <row r="18" spans="1:157" ht="16.5" customHeight="1" thickBot="1" x14ac:dyDescent="0.35">
      <c r="A18" s="10"/>
      <c r="B18" s="14" t="s">
        <v>79</v>
      </c>
      <c r="C18" s="18">
        <v>0</v>
      </c>
      <c r="D18" s="24" t="e">
        <v>#DIV/0!</v>
      </c>
      <c r="E18" s="18">
        <v>0</v>
      </c>
      <c r="F18" s="24" t="e">
        <v>#DIV/0!</v>
      </c>
      <c r="G18" s="18">
        <v>0</v>
      </c>
      <c r="H18" s="24" t="e">
        <v>#DIV/0!</v>
      </c>
      <c r="I18" s="18">
        <v>0</v>
      </c>
      <c r="J18" s="24" t="e">
        <v>#DIV/0!</v>
      </c>
      <c r="K18" s="18">
        <v>0</v>
      </c>
      <c r="L18" s="24" t="e">
        <v>#DIV/0!</v>
      </c>
      <c r="M18" s="18">
        <v>0</v>
      </c>
      <c r="N18" s="24" t="e">
        <v>#DIV/0!</v>
      </c>
      <c r="O18" s="18">
        <v>0</v>
      </c>
      <c r="P18" s="24" t="e">
        <v>#DIV/0!</v>
      </c>
      <c r="Q18" s="18">
        <v>0</v>
      </c>
      <c r="R18" s="24" t="e">
        <v>#DIV/0!</v>
      </c>
      <c r="S18" s="18">
        <v>0</v>
      </c>
      <c r="T18" s="24" t="e">
        <v>#DIV/0!</v>
      </c>
      <c r="U18" s="18">
        <v>0</v>
      </c>
      <c r="V18" s="24" t="e">
        <v>#DIV/0!</v>
      </c>
      <c r="W18" s="18">
        <v>0</v>
      </c>
      <c r="X18" s="24" t="e">
        <v>#DIV/0!</v>
      </c>
      <c r="Y18" s="18">
        <v>0</v>
      </c>
      <c r="Z18" s="24" t="e">
        <v>#DIV/0!</v>
      </c>
      <c r="AA18" s="18">
        <v>0</v>
      </c>
      <c r="AB18" s="24" t="e">
        <v>#DIV/0!</v>
      </c>
      <c r="AC18" s="18">
        <v>0</v>
      </c>
      <c r="AD18" s="24" t="e">
        <v>#DIV/0!</v>
      </c>
      <c r="AE18" s="18">
        <v>0</v>
      </c>
      <c r="AF18" s="24" t="e">
        <v>#DIV/0!</v>
      </c>
      <c r="AG18" s="18">
        <v>0</v>
      </c>
      <c r="AH18" s="24" t="e">
        <v>#DIV/0!</v>
      </c>
      <c r="AI18" s="18">
        <v>0</v>
      </c>
      <c r="AJ18" s="24" t="e">
        <v>#DIV/0!</v>
      </c>
      <c r="AK18" s="18">
        <v>0</v>
      </c>
      <c r="AL18" s="24" t="e">
        <v>#DIV/0!</v>
      </c>
      <c r="AM18" s="18">
        <v>0</v>
      </c>
      <c r="AN18" s="24" t="e">
        <v>#DIV/0!</v>
      </c>
      <c r="AO18" s="18">
        <v>0</v>
      </c>
      <c r="AP18" s="24" t="e">
        <v>#DIV/0!</v>
      </c>
      <c r="AQ18" s="18">
        <v>0</v>
      </c>
      <c r="AR18" s="24" t="e">
        <v>#DIV/0!</v>
      </c>
      <c r="AS18" s="18">
        <v>0</v>
      </c>
      <c r="AT18" s="24" t="e">
        <v>#DIV/0!</v>
      </c>
      <c r="AU18" s="18">
        <v>0</v>
      </c>
      <c r="AV18" s="24" t="e">
        <v>#DIV/0!</v>
      </c>
      <c r="AW18" s="18">
        <v>0</v>
      </c>
      <c r="AX18" s="24" t="e">
        <v>#DIV/0!</v>
      </c>
      <c r="AY18" s="18">
        <v>0</v>
      </c>
      <c r="AZ18" s="24" t="e">
        <v>#DIV/0!</v>
      </c>
      <c r="BA18" s="18">
        <v>0</v>
      </c>
      <c r="BB18" s="24" t="e">
        <v>#DIV/0!</v>
      </c>
      <c r="BC18" s="18">
        <v>0</v>
      </c>
      <c r="BD18" s="24" t="e">
        <v>#DIV/0!</v>
      </c>
      <c r="BE18" s="18">
        <v>0</v>
      </c>
      <c r="BF18" s="24" t="e">
        <v>#DIV/0!</v>
      </c>
      <c r="BG18" s="18">
        <v>0</v>
      </c>
      <c r="BH18" s="24" t="e">
        <v>#DIV/0!</v>
      </c>
      <c r="BI18" s="18">
        <v>0</v>
      </c>
      <c r="BJ18" s="24" t="e">
        <v>#DIV/0!</v>
      </c>
      <c r="BK18" s="18">
        <v>0</v>
      </c>
      <c r="BL18" s="24" t="e">
        <v>#DIV/0!</v>
      </c>
      <c r="BM18" s="18">
        <v>0</v>
      </c>
      <c r="BN18" s="24" t="e">
        <v>#DIV/0!</v>
      </c>
      <c r="BO18" s="18">
        <v>0</v>
      </c>
      <c r="BP18" s="24" t="e">
        <v>#DIV/0!</v>
      </c>
      <c r="BQ18" s="18">
        <v>0</v>
      </c>
      <c r="BR18" s="24" t="e">
        <v>#DIV/0!</v>
      </c>
      <c r="BS18" s="18">
        <v>0</v>
      </c>
      <c r="BT18" s="24" t="e">
        <v>#DIV/0!</v>
      </c>
      <c r="BU18" s="18">
        <v>0</v>
      </c>
      <c r="BV18" s="24" t="e">
        <v>#DIV/0!</v>
      </c>
      <c r="BW18" s="18">
        <v>0</v>
      </c>
      <c r="BX18" s="24" t="e">
        <v>#DIV/0!</v>
      </c>
      <c r="BY18" s="18">
        <v>0</v>
      </c>
      <c r="BZ18" s="24" t="e">
        <v>#DIV/0!</v>
      </c>
      <c r="CA18" s="18">
        <v>0</v>
      </c>
      <c r="CB18" s="24" t="e">
        <v>#DIV/0!</v>
      </c>
      <c r="CC18" s="18">
        <v>0</v>
      </c>
      <c r="CD18" s="24" t="e">
        <v>#DIV/0!</v>
      </c>
      <c r="CE18" s="18">
        <v>0</v>
      </c>
      <c r="CF18" s="24" t="e">
        <v>#DIV/0!</v>
      </c>
      <c r="CG18" s="18">
        <v>0</v>
      </c>
      <c r="CH18" s="24" t="e">
        <v>#DIV/0!</v>
      </c>
      <c r="CI18" s="18">
        <v>0</v>
      </c>
      <c r="CJ18" s="24" t="e">
        <v>#DIV/0!</v>
      </c>
      <c r="CK18" s="18">
        <v>0</v>
      </c>
      <c r="CL18" s="24" t="e">
        <v>#DIV/0!</v>
      </c>
      <c r="CM18" s="18">
        <v>0</v>
      </c>
      <c r="CN18" s="24" t="e">
        <v>#DIV/0!</v>
      </c>
      <c r="CO18" s="18">
        <v>0</v>
      </c>
      <c r="CP18" s="24" t="e">
        <v>#DIV/0!</v>
      </c>
      <c r="CQ18" s="18">
        <v>0</v>
      </c>
      <c r="CR18" s="24" t="e">
        <v>#DIV/0!</v>
      </c>
      <c r="CS18" s="18">
        <v>0</v>
      </c>
      <c r="CT18" s="24" t="e">
        <v>#DIV/0!</v>
      </c>
      <c r="CU18" s="18">
        <v>0</v>
      </c>
      <c r="CV18" s="24" t="e">
        <v>#DIV/0!</v>
      </c>
      <c r="CW18" s="18">
        <v>0</v>
      </c>
      <c r="CX18" s="24" t="e">
        <v>#DIV/0!</v>
      </c>
      <c r="CY18" s="18">
        <v>0</v>
      </c>
      <c r="CZ18" s="24" t="e">
        <v>#DIV/0!</v>
      </c>
      <c r="DA18" s="18">
        <v>0</v>
      </c>
      <c r="DB18" s="24" t="e">
        <v>#DIV/0!</v>
      </c>
      <c r="DC18" s="18">
        <v>0</v>
      </c>
      <c r="DD18" s="24" t="e">
        <v>#DIV/0!</v>
      </c>
      <c r="DE18" s="18">
        <v>0</v>
      </c>
      <c r="DF18" s="24" t="e">
        <v>#DIV/0!</v>
      </c>
      <c r="DG18" s="18">
        <v>0</v>
      </c>
      <c r="DH18" s="24" t="e">
        <v>#DIV/0!</v>
      </c>
      <c r="DI18" s="18">
        <v>0</v>
      </c>
      <c r="DJ18" s="24" t="e">
        <v>#DIV/0!</v>
      </c>
      <c r="DK18" s="18">
        <v>0</v>
      </c>
      <c r="DL18" s="24" t="e">
        <v>#DIV/0!</v>
      </c>
      <c r="DM18" s="18">
        <v>0</v>
      </c>
      <c r="DN18" s="24" t="e">
        <v>#DIV/0!</v>
      </c>
      <c r="DO18" s="18">
        <v>0</v>
      </c>
      <c r="DP18" s="24" t="e">
        <v>#DIV/0!</v>
      </c>
      <c r="DQ18" s="18">
        <v>0</v>
      </c>
      <c r="DR18" s="24" t="e">
        <v>#DIV/0!</v>
      </c>
      <c r="DS18" s="18">
        <v>0</v>
      </c>
      <c r="DT18" s="24" t="e">
        <v>#DIV/0!</v>
      </c>
      <c r="DU18" s="18">
        <v>0</v>
      </c>
      <c r="DV18" s="24" t="e">
        <v>#DIV/0!</v>
      </c>
      <c r="DW18" s="18">
        <v>0</v>
      </c>
      <c r="DX18" s="24" t="e">
        <v>#DIV/0!</v>
      </c>
      <c r="DY18" s="18">
        <v>0</v>
      </c>
      <c r="DZ18" s="24" t="e">
        <v>#DIV/0!</v>
      </c>
      <c r="EA18" s="18">
        <v>0</v>
      </c>
      <c r="EB18" s="24" t="e">
        <v>#DIV/0!</v>
      </c>
      <c r="EC18" s="18">
        <v>0</v>
      </c>
      <c r="ED18" s="24" t="e">
        <v>#DIV/0!</v>
      </c>
      <c r="EE18" s="18">
        <v>0</v>
      </c>
      <c r="EF18" s="24" t="e">
        <v>#DIV/0!</v>
      </c>
      <c r="EG18" s="18">
        <v>0</v>
      </c>
      <c r="EH18" s="24" t="e">
        <v>#DIV/0!</v>
      </c>
      <c r="EI18" s="18">
        <v>0</v>
      </c>
      <c r="EJ18" s="24" t="e">
        <v>#DIV/0!</v>
      </c>
      <c r="EK18" s="18">
        <v>0</v>
      </c>
      <c r="EL18" s="24" t="e">
        <v>#DIV/0!</v>
      </c>
      <c r="EM18" s="18">
        <v>0</v>
      </c>
      <c r="EN18" s="24" t="e">
        <v>#DIV/0!</v>
      </c>
      <c r="EO18" s="18">
        <v>0</v>
      </c>
      <c r="EP18" s="24" t="e">
        <v>#DIV/0!</v>
      </c>
      <c r="EQ18" s="18">
        <v>0</v>
      </c>
      <c r="ER18" s="24" t="e">
        <v>#DIV/0!</v>
      </c>
      <c r="ES18" s="18">
        <f t="shared" si="1"/>
        <v>0</v>
      </c>
      <c r="ET18" s="24" t="e">
        <f>ES18/ES24</f>
        <v>#DIV/0!</v>
      </c>
      <c r="EU18" s="221" t="e">
        <f>IF( SUM($EQ18:ES18)&lt;0, "n/a", SUM($EQ18:ES18)/EU$74)</f>
        <v>#DIV/0!</v>
      </c>
      <c r="EV18" s="223" t="e">
        <f>EU18/EU24</f>
        <v>#DIV/0!</v>
      </c>
      <c r="EW18" s="22"/>
      <c r="EX18" s="100" t="s">
        <v>113</v>
      </c>
      <c r="EY18" s="101">
        <f>+EY27-EY26-EY25-EY17-EY20-EY21-EY22-EY23-EY19</f>
        <v>0</v>
      </c>
      <c r="EZ18" s="205"/>
      <c r="FA18" s="186"/>
    </row>
    <row r="19" spans="1:157" ht="16.5" customHeight="1" x14ac:dyDescent="0.3">
      <c r="A19" s="10"/>
      <c r="B19" s="14" t="s">
        <v>107</v>
      </c>
      <c r="C19" s="18">
        <v>0</v>
      </c>
      <c r="D19" s="24" t="e">
        <v>#DIV/0!</v>
      </c>
      <c r="E19" s="18">
        <v>0</v>
      </c>
      <c r="F19" s="24" t="e">
        <v>#DIV/0!</v>
      </c>
      <c r="G19" s="18">
        <v>0</v>
      </c>
      <c r="H19" s="24" t="e">
        <v>#DIV/0!</v>
      </c>
      <c r="I19" s="18">
        <v>0</v>
      </c>
      <c r="J19" s="24" t="e">
        <v>#DIV/0!</v>
      </c>
      <c r="K19" s="18">
        <v>0</v>
      </c>
      <c r="L19" s="24" t="e">
        <v>#DIV/0!</v>
      </c>
      <c r="M19" s="18">
        <v>0</v>
      </c>
      <c r="N19" s="24" t="e">
        <v>#DIV/0!</v>
      </c>
      <c r="O19" s="18">
        <v>0</v>
      </c>
      <c r="P19" s="24" t="e">
        <v>#DIV/0!</v>
      </c>
      <c r="Q19" s="18">
        <v>0</v>
      </c>
      <c r="R19" s="24" t="e">
        <v>#DIV/0!</v>
      </c>
      <c r="S19" s="18">
        <v>0</v>
      </c>
      <c r="T19" s="24" t="e">
        <v>#DIV/0!</v>
      </c>
      <c r="U19" s="18">
        <v>0</v>
      </c>
      <c r="V19" s="24" t="e">
        <v>#DIV/0!</v>
      </c>
      <c r="W19" s="18">
        <v>0</v>
      </c>
      <c r="X19" s="24" t="e">
        <v>#DIV/0!</v>
      </c>
      <c r="Y19" s="18">
        <v>0</v>
      </c>
      <c r="Z19" s="24" t="e">
        <v>#DIV/0!</v>
      </c>
      <c r="AA19" s="18">
        <v>0</v>
      </c>
      <c r="AB19" s="24" t="e">
        <v>#DIV/0!</v>
      </c>
      <c r="AC19" s="18">
        <v>0</v>
      </c>
      <c r="AD19" s="24" t="e">
        <v>#DIV/0!</v>
      </c>
      <c r="AE19" s="18">
        <v>0</v>
      </c>
      <c r="AF19" s="24" t="e">
        <v>#DIV/0!</v>
      </c>
      <c r="AG19" s="18">
        <v>0</v>
      </c>
      <c r="AH19" s="24" t="e">
        <v>#DIV/0!</v>
      </c>
      <c r="AI19" s="18">
        <v>0</v>
      </c>
      <c r="AJ19" s="24" t="e">
        <v>#DIV/0!</v>
      </c>
      <c r="AK19" s="18">
        <v>0</v>
      </c>
      <c r="AL19" s="24" t="e">
        <v>#DIV/0!</v>
      </c>
      <c r="AM19" s="18">
        <v>0</v>
      </c>
      <c r="AN19" s="24" t="e">
        <v>#DIV/0!</v>
      </c>
      <c r="AO19" s="18">
        <v>0</v>
      </c>
      <c r="AP19" s="24" t="e">
        <v>#DIV/0!</v>
      </c>
      <c r="AQ19" s="18">
        <v>0</v>
      </c>
      <c r="AR19" s="24" t="e">
        <v>#DIV/0!</v>
      </c>
      <c r="AS19" s="18">
        <v>0</v>
      </c>
      <c r="AT19" s="24" t="e">
        <v>#DIV/0!</v>
      </c>
      <c r="AU19" s="18">
        <v>0</v>
      </c>
      <c r="AV19" s="24" t="e">
        <v>#DIV/0!</v>
      </c>
      <c r="AW19" s="18">
        <v>0</v>
      </c>
      <c r="AX19" s="24" t="e">
        <v>#DIV/0!</v>
      </c>
      <c r="AY19" s="18">
        <v>0</v>
      </c>
      <c r="AZ19" s="24" t="e">
        <v>#DIV/0!</v>
      </c>
      <c r="BA19" s="18">
        <v>0</v>
      </c>
      <c r="BB19" s="24" t="e">
        <v>#DIV/0!</v>
      </c>
      <c r="BC19" s="18">
        <v>0</v>
      </c>
      <c r="BD19" s="24" t="e">
        <v>#DIV/0!</v>
      </c>
      <c r="BE19" s="18">
        <v>0</v>
      </c>
      <c r="BF19" s="24" t="e">
        <v>#DIV/0!</v>
      </c>
      <c r="BG19" s="18">
        <v>0</v>
      </c>
      <c r="BH19" s="24" t="e">
        <v>#DIV/0!</v>
      </c>
      <c r="BI19" s="18">
        <v>0</v>
      </c>
      <c r="BJ19" s="24" t="e">
        <v>#DIV/0!</v>
      </c>
      <c r="BK19" s="18">
        <v>0</v>
      </c>
      <c r="BL19" s="24" t="e">
        <v>#DIV/0!</v>
      </c>
      <c r="BM19" s="18">
        <v>0</v>
      </c>
      <c r="BN19" s="24" t="e">
        <v>#DIV/0!</v>
      </c>
      <c r="BO19" s="18">
        <v>0</v>
      </c>
      <c r="BP19" s="24" t="e">
        <v>#DIV/0!</v>
      </c>
      <c r="BQ19" s="18">
        <v>0</v>
      </c>
      <c r="BR19" s="24" t="e">
        <v>#DIV/0!</v>
      </c>
      <c r="BS19" s="18">
        <v>0</v>
      </c>
      <c r="BT19" s="24" t="e">
        <v>#DIV/0!</v>
      </c>
      <c r="BU19" s="18">
        <v>0</v>
      </c>
      <c r="BV19" s="24" t="e">
        <v>#DIV/0!</v>
      </c>
      <c r="BW19" s="18">
        <v>0</v>
      </c>
      <c r="BX19" s="24" t="e">
        <v>#DIV/0!</v>
      </c>
      <c r="BY19" s="18">
        <v>0</v>
      </c>
      <c r="BZ19" s="24" t="e">
        <v>#DIV/0!</v>
      </c>
      <c r="CA19" s="18">
        <v>0</v>
      </c>
      <c r="CB19" s="24" t="e">
        <v>#DIV/0!</v>
      </c>
      <c r="CC19" s="18">
        <v>0</v>
      </c>
      <c r="CD19" s="24" t="e">
        <v>#DIV/0!</v>
      </c>
      <c r="CE19" s="18">
        <v>0</v>
      </c>
      <c r="CF19" s="24" t="e">
        <v>#DIV/0!</v>
      </c>
      <c r="CG19" s="18">
        <v>0</v>
      </c>
      <c r="CH19" s="24" t="e">
        <v>#DIV/0!</v>
      </c>
      <c r="CI19" s="18">
        <v>0</v>
      </c>
      <c r="CJ19" s="24" t="e">
        <v>#DIV/0!</v>
      </c>
      <c r="CK19" s="18">
        <v>0</v>
      </c>
      <c r="CL19" s="24" t="e">
        <v>#DIV/0!</v>
      </c>
      <c r="CM19" s="18">
        <v>0</v>
      </c>
      <c r="CN19" s="24" t="e">
        <v>#DIV/0!</v>
      </c>
      <c r="CO19" s="18">
        <v>0</v>
      </c>
      <c r="CP19" s="24" t="e">
        <v>#DIV/0!</v>
      </c>
      <c r="CQ19" s="18">
        <v>0</v>
      </c>
      <c r="CR19" s="24" t="e">
        <v>#DIV/0!</v>
      </c>
      <c r="CS19" s="18">
        <v>0</v>
      </c>
      <c r="CT19" s="24" t="e">
        <v>#DIV/0!</v>
      </c>
      <c r="CU19" s="18">
        <v>0</v>
      </c>
      <c r="CV19" s="24" t="e">
        <v>#DIV/0!</v>
      </c>
      <c r="CW19" s="18">
        <v>0</v>
      </c>
      <c r="CX19" s="24" t="e">
        <v>#DIV/0!</v>
      </c>
      <c r="CY19" s="18">
        <v>0</v>
      </c>
      <c r="CZ19" s="24" t="e">
        <v>#DIV/0!</v>
      </c>
      <c r="DA19" s="18">
        <v>0</v>
      </c>
      <c r="DB19" s="24" t="e">
        <v>#DIV/0!</v>
      </c>
      <c r="DC19" s="18">
        <v>0</v>
      </c>
      <c r="DD19" s="24" t="e">
        <v>#DIV/0!</v>
      </c>
      <c r="DE19" s="18">
        <v>0</v>
      </c>
      <c r="DF19" s="24" t="e">
        <v>#DIV/0!</v>
      </c>
      <c r="DG19" s="18">
        <v>0</v>
      </c>
      <c r="DH19" s="24" t="e">
        <v>#DIV/0!</v>
      </c>
      <c r="DI19" s="18">
        <v>0</v>
      </c>
      <c r="DJ19" s="24" t="e">
        <v>#DIV/0!</v>
      </c>
      <c r="DK19" s="18">
        <v>0</v>
      </c>
      <c r="DL19" s="24" t="e">
        <v>#DIV/0!</v>
      </c>
      <c r="DM19" s="18">
        <v>0</v>
      </c>
      <c r="DN19" s="24" t="e">
        <v>#DIV/0!</v>
      </c>
      <c r="DO19" s="18">
        <v>0</v>
      </c>
      <c r="DP19" s="24" t="e">
        <v>#DIV/0!</v>
      </c>
      <c r="DQ19" s="18">
        <v>0</v>
      </c>
      <c r="DR19" s="24" t="e">
        <v>#DIV/0!</v>
      </c>
      <c r="DS19" s="18">
        <v>0</v>
      </c>
      <c r="DT19" s="24" t="e">
        <v>#DIV/0!</v>
      </c>
      <c r="DU19" s="18">
        <v>0</v>
      </c>
      <c r="DV19" s="24" t="e">
        <v>#DIV/0!</v>
      </c>
      <c r="DW19" s="18">
        <v>0</v>
      </c>
      <c r="DX19" s="24" t="e">
        <v>#DIV/0!</v>
      </c>
      <c r="DY19" s="18">
        <v>0</v>
      </c>
      <c r="DZ19" s="24" t="e">
        <v>#DIV/0!</v>
      </c>
      <c r="EA19" s="18">
        <v>0</v>
      </c>
      <c r="EB19" s="24" t="e">
        <v>#DIV/0!</v>
      </c>
      <c r="EC19" s="18">
        <v>0</v>
      </c>
      <c r="ED19" s="24" t="e">
        <v>#DIV/0!</v>
      </c>
      <c r="EE19" s="18">
        <v>0</v>
      </c>
      <c r="EF19" s="24" t="e">
        <v>#DIV/0!</v>
      </c>
      <c r="EG19" s="18">
        <v>0</v>
      </c>
      <c r="EH19" s="24" t="e">
        <v>#DIV/0!</v>
      </c>
      <c r="EI19" s="18">
        <v>0</v>
      </c>
      <c r="EJ19" s="24" t="e">
        <v>#DIV/0!</v>
      </c>
      <c r="EK19" s="18">
        <v>0</v>
      </c>
      <c r="EL19" s="24" t="e">
        <v>#DIV/0!</v>
      </c>
      <c r="EM19" s="18">
        <v>0</v>
      </c>
      <c r="EN19" s="24" t="e">
        <v>#DIV/0!</v>
      </c>
      <c r="EO19" s="18">
        <v>0</v>
      </c>
      <c r="EP19" s="24" t="e">
        <v>#DIV/0!</v>
      </c>
      <c r="EQ19" s="18">
        <v>0</v>
      </c>
      <c r="ER19" s="24" t="e">
        <v>#DIV/0!</v>
      </c>
      <c r="ES19" s="18">
        <f t="shared" si="1"/>
        <v>0</v>
      </c>
      <c r="ET19" s="24" t="e">
        <f>ES19/ES24</f>
        <v>#DIV/0!</v>
      </c>
      <c r="EU19" s="221" t="e">
        <f>IF( SUM($EQ19:ES19)&lt;0, "n/a", SUM($EQ19:ES19)/EU$74)</f>
        <v>#DIV/0!</v>
      </c>
      <c r="EV19" s="224" t="e">
        <f>EU19/EU24</f>
        <v>#DIV/0!</v>
      </c>
      <c r="EW19" s="22"/>
      <c r="EX19" s="154" t="s">
        <v>135</v>
      </c>
      <c r="EY19" s="34">
        <f>IF(ISERROR(VLOOKUP(EX19,IQSH01E!$A$1:$M$400,2,0)),0,VLOOKUP(EX19,IQSH01E!$A$1:$M$400,2,0))</f>
        <v>0</v>
      </c>
      <c r="EZ19" s="206"/>
      <c r="FA19" s="187" t="s">
        <v>117</v>
      </c>
    </row>
    <row r="20" spans="1:157" ht="16.5" customHeight="1" x14ac:dyDescent="0.3">
      <c r="A20" s="11"/>
      <c r="B20" s="14" t="s">
        <v>80</v>
      </c>
      <c r="C20" s="18">
        <v>0</v>
      </c>
      <c r="D20" s="24" t="e">
        <v>#DIV/0!</v>
      </c>
      <c r="E20" s="18">
        <v>0</v>
      </c>
      <c r="F20" s="24" t="e">
        <v>#DIV/0!</v>
      </c>
      <c r="G20" s="18">
        <v>0</v>
      </c>
      <c r="H20" s="24" t="e">
        <v>#DIV/0!</v>
      </c>
      <c r="I20" s="18">
        <v>0</v>
      </c>
      <c r="J20" s="24" t="e">
        <v>#DIV/0!</v>
      </c>
      <c r="K20" s="18">
        <v>0</v>
      </c>
      <c r="L20" s="24" t="e">
        <v>#DIV/0!</v>
      </c>
      <c r="M20" s="18">
        <v>0</v>
      </c>
      <c r="N20" s="24" t="e">
        <v>#DIV/0!</v>
      </c>
      <c r="O20" s="18">
        <v>0</v>
      </c>
      <c r="P20" s="24" t="e">
        <v>#DIV/0!</v>
      </c>
      <c r="Q20" s="18">
        <v>0</v>
      </c>
      <c r="R20" s="24" t="e">
        <v>#DIV/0!</v>
      </c>
      <c r="S20" s="18">
        <v>0</v>
      </c>
      <c r="T20" s="24" t="e">
        <v>#DIV/0!</v>
      </c>
      <c r="U20" s="18">
        <v>0</v>
      </c>
      <c r="V20" s="24" t="e">
        <v>#DIV/0!</v>
      </c>
      <c r="W20" s="18">
        <v>0</v>
      </c>
      <c r="X20" s="24" t="e">
        <v>#DIV/0!</v>
      </c>
      <c r="Y20" s="18">
        <v>0</v>
      </c>
      <c r="Z20" s="24" t="e">
        <v>#DIV/0!</v>
      </c>
      <c r="AA20" s="18">
        <v>0</v>
      </c>
      <c r="AB20" s="24" t="e">
        <v>#DIV/0!</v>
      </c>
      <c r="AC20" s="18">
        <v>0</v>
      </c>
      <c r="AD20" s="24" t="e">
        <v>#DIV/0!</v>
      </c>
      <c r="AE20" s="18">
        <v>0</v>
      </c>
      <c r="AF20" s="24" t="e">
        <v>#DIV/0!</v>
      </c>
      <c r="AG20" s="18">
        <v>0</v>
      </c>
      <c r="AH20" s="24" t="e">
        <v>#DIV/0!</v>
      </c>
      <c r="AI20" s="18">
        <v>0</v>
      </c>
      <c r="AJ20" s="24" t="e">
        <v>#DIV/0!</v>
      </c>
      <c r="AK20" s="18">
        <v>0</v>
      </c>
      <c r="AL20" s="24" t="e">
        <v>#DIV/0!</v>
      </c>
      <c r="AM20" s="18">
        <v>0</v>
      </c>
      <c r="AN20" s="24" t="e">
        <v>#DIV/0!</v>
      </c>
      <c r="AO20" s="18">
        <v>0</v>
      </c>
      <c r="AP20" s="24" t="e">
        <v>#DIV/0!</v>
      </c>
      <c r="AQ20" s="18">
        <v>0</v>
      </c>
      <c r="AR20" s="24" t="e">
        <v>#DIV/0!</v>
      </c>
      <c r="AS20" s="18">
        <v>0</v>
      </c>
      <c r="AT20" s="24" t="e">
        <v>#DIV/0!</v>
      </c>
      <c r="AU20" s="18">
        <v>0</v>
      </c>
      <c r="AV20" s="24" t="e">
        <v>#DIV/0!</v>
      </c>
      <c r="AW20" s="18">
        <v>0</v>
      </c>
      <c r="AX20" s="24" t="e">
        <v>#DIV/0!</v>
      </c>
      <c r="AY20" s="18">
        <v>0</v>
      </c>
      <c r="AZ20" s="24" t="e">
        <v>#DIV/0!</v>
      </c>
      <c r="BA20" s="18">
        <v>0</v>
      </c>
      <c r="BB20" s="24" t="e">
        <v>#DIV/0!</v>
      </c>
      <c r="BC20" s="18">
        <v>0</v>
      </c>
      <c r="BD20" s="24" t="e">
        <v>#DIV/0!</v>
      </c>
      <c r="BE20" s="18">
        <v>0</v>
      </c>
      <c r="BF20" s="24" t="e">
        <v>#DIV/0!</v>
      </c>
      <c r="BG20" s="18">
        <v>0</v>
      </c>
      <c r="BH20" s="24" t="e">
        <v>#DIV/0!</v>
      </c>
      <c r="BI20" s="18">
        <v>0</v>
      </c>
      <c r="BJ20" s="24" t="e">
        <v>#DIV/0!</v>
      </c>
      <c r="BK20" s="18">
        <v>0</v>
      </c>
      <c r="BL20" s="24" t="e">
        <v>#DIV/0!</v>
      </c>
      <c r="BM20" s="18">
        <v>0</v>
      </c>
      <c r="BN20" s="24" t="e">
        <v>#DIV/0!</v>
      </c>
      <c r="BO20" s="18">
        <v>0</v>
      </c>
      <c r="BP20" s="24" t="e">
        <v>#DIV/0!</v>
      </c>
      <c r="BQ20" s="18">
        <v>0</v>
      </c>
      <c r="BR20" s="24" t="e">
        <v>#DIV/0!</v>
      </c>
      <c r="BS20" s="18">
        <v>0</v>
      </c>
      <c r="BT20" s="24" t="e">
        <v>#DIV/0!</v>
      </c>
      <c r="BU20" s="18">
        <v>0</v>
      </c>
      <c r="BV20" s="24" t="e">
        <v>#DIV/0!</v>
      </c>
      <c r="BW20" s="18">
        <v>0</v>
      </c>
      <c r="BX20" s="24" t="e">
        <v>#DIV/0!</v>
      </c>
      <c r="BY20" s="18">
        <v>0</v>
      </c>
      <c r="BZ20" s="24" t="e">
        <v>#DIV/0!</v>
      </c>
      <c r="CA20" s="18">
        <v>0</v>
      </c>
      <c r="CB20" s="24" t="e">
        <v>#DIV/0!</v>
      </c>
      <c r="CC20" s="18">
        <v>0</v>
      </c>
      <c r="CD20" s="24" t="e">
        <v>#DIV/0!</v>
      </c>
      <c r="CE20" s="18">
        <v>0</v>
      </c>
      <c r="CF20" s="24" t="e">
        <v>#DIV/0!</v>
      </c>
      <c r="CG20" s="18">
        <v>0</v>
      </c>
      <c r="CH20" s="24" t="e">
        <v>#DIV/0!</v>
      </c>
      <c r="CI20" s="18">
        <v>0</v>
      </c>
      <c r="CJ20" s="24" t="e">
        <v>#DIV/0!</v>
      </c>
      <c r="CK20" s="18">
        <v>0</v>
      </c>
      <c r="CL20" s="24" t="e">
        <v>#DIV/0!</v>
      </c>
      <c r="CM20" s="18">
        <v>0</v>
      </c>
      <c r="CN20" s="24" t="e">
        <v>#DIV/0!</v>
      </c>
      <c r="CO20" s="18">
        <v>0</v>
      </c>
      <c r="CP20" s="24" t="e">
        <v>#DIV/0!</v>
      </c>
      <c r="CQ20" s="18">
        <v>0</v>
      </c>
      <c r="CR20" s="24" t="e">
        <v>#DIV/0!</v>
      </c>
      <c r="CS20" s="18">
        <v>0</v>
      </c>
      <c r="CT20" s="24" t="e">
        <v>#DIV/0!</v>
      </c>
      <c r="CU20" s="18">
        <v>0</v>
      </c>
      <c r="CV20" s="24" t="e">
        <v>#DIV/0!</v>
      </c>
      <c r="CW20" s="18">
        <v>0</v>
      </c>
      <c r="CX20" s="24" t="e">
        <v>#DIV/0!</v>
      </c>
      <c r="CY20" s="18">
        <v>0</v>
      </c>
      <c r="CZ20" s="24" t="e">
        <v>#DIV/0!</v>
      </c>
      <c r="DA20" s="18">
        <v>0</v>
      </c>
      <c r="DB20" s="24" t="e">
        <v>#DIV/0!</v>
      </c>
      <c r="DC20" s="18">
        <v>0</v>
      </c>
      <c r="DD20" s="24" t="e">
        <v>#DIV/0!</v>
      </c>
      <c r="DE20" s="18">
        <v>0</v>
      </c>
      <c r="DF20" s="24" t="e">
        <v>#DIV/0!</v>
      </c>
      <c r="DG20" s="18">
        <v>0</v>
      </c>
      <c r="DH20" s="24" t="e">
        <v>#DIV/0!</v>
      </c>
      <c r="DI20" s="18">
        <v>0</v>
      </c>
      <c r="DJ20" s="24" t="e">
        <v>#DIV/0!</v>
      </c>
      <c r="DK20" s="18">
        <v>0</v>
      </c>
      <c r="DL20" s="24" t="e">
        <v>#DIV/0!</v>
      </c>
      <c r="DM20" s="18">
        <v>0</v>
      </c>
      <c r="DN20" s="24" t="e">
        <v>#DIV/0!</v>
      </c>
      <c r="DO20" s="18">
        <v>0</v>
      </c>
      <c r="DP20" s="24" t="e">
        <v>#DIV/0!</v>
      </c>
      <c r="DQ20" s="18">
        <v>0</v>
      </c>
      <c r="DR20" s="24" t="e">
        <v>#DIV/0!</v>
      </c>
      <c r="DS20" s="18">
        <v>0</v>
      </c>
      <c r="DT20" s="24" t="e">
        <v>#DIV/0!</v>
      </c>
      <c r="DU20" s="18">
        <v>0</v>
      </c>
      <c r="DV20" s="24" t="e">
        <v>#DIV/0!</v>
      </c>
      <c r="DW20" s="18">
        <v>0</v>
      </c>
      <c r="DX20" s="24" t="e">
        <v>#DIV/0!</v>
      </c>
      <c r="DY20" s="18">
        <v>0</v>
      </c>
      <c r="DZ20" s="24" t="e">
        <v>#DIV/0!</v>
      </c>
      <c r="EA20" s="18">
        <v>0</v>
      </c>
      <c r="EB20" s="24" t="e">
        <v>#DIV/0!</v>
      </c>
      <c r="EC20" s="18">
        <v>0</v>
      </c>
      <c r="ED20" s="24" t="e">
        <v>#DIV/0!</v>
      </c>
      <c r="EE20" s="18">
        <v>0</v>
      </c>
      <c r="EF20" s="24" t="e">
        <v>#DIV/0!</v>
      </c>
      <c r="EG20" s="18">
        <v>0</v>
      </c>
      <c r="EH20" s="24" t="e">
        <v>#DIV/0!</v>
      </c>
      <c r="EI20" s="18">
        <v>0</v>
      </c>
      <c r="EJ20" s="24" t="e">
        <v>#DIV/0!</v>
      </c>
      <c r="EK20" s="18">
        <v>0</v>
      </c>
      <c r="EL20" s="24" t="e">
        <v>#DIV/0!</v>
      </c>
      <c r="EM20" s="18">
        <v>0</v>
      </c>
      <c r="EN20" s="24" t="e">
        <v>#DIV/0!</v>
      </c>
      <c r="EO20" s="18">
        <v>0</v>
      </c>
      <c r="EP20" s="24" t="e">
        <v>#DIV/0!</v>
      </c>
      <c r="EQ20" s="18">
        <v>0</v>
      </c>
      <c r="ER20" s="24" t="e">
        <v>#DIV/0!</v>
      </c>
      <c r="ES20" s="18">
        <f t="shared" si="1"/>
        <v>0</v>
      </c>
      <c r="ET20" s="24" t="e">
        <f>ES20/ES24</f>
        <v>#DIV/0!</v>
      </c>
      <c r="EU20" s="221" t="e">
        <f>IF( SUM($EQ20:ES20)&lt;0, "n/a", SUM($EQ20:ES20)/EU$74)</f>
        <v>#DIV/0!</v>
      </c>
      <c r="EV20" s="224" t="e">
        <f>EU20/EU24</f>
        <v>#DIV/0!</v>
      </c>
      <c r="EW20" s="22"/>
      <c r="EX20" s="96" t="s">
        <v>37</v>
      </c>
      <c r="EY20" s="35">
        <f>IF(ISERROR(VLOOKUP(EX20,IQSH01E!$A$1:$M$400,2,0)),0,VLOOKUP(EX20,IQSH01E!$A$1:$M$400,2,0))</f>
        <v>0</v>
      </c>
      <c r="EZ20" s="204"/>
      <c r="FA20" s="182" t="s">
        <v>118</v>
      </c>
    </row>
    <row r="21" spans="1:157" ht="16.5" customHeight="1" x14ac:dyDescent="0.3">
      <c r="A21" s="11"/>
      <c r="B21" s="14" t="s">
        <v>81</v>
      </c>
      <c r="C21" s="18">
        <v>0</v>
      </c>
      <c r="D21" s="24" t="e">
        <v>#DIV/0!</v>
      </c>
      <c r="E21" s="18">
        <v>0</v>
      </c>
      <c r="F21" s="24" t="e">
        <v>#DIV/0!</v>
      </c>
      <c r="G21" s="18">
        <v>0</v>
      </c>
      <c r="H21" s="24" t="e">
        <v>#DIV/0!</v>
      </c>
      <c r="I21" s="18">
        <v>0</v>
      </c>
      <c r="J21" s="24" t="e">
        <v>#DIV/0!</v>
      </c>
      <c r="K21" s="18">
        <v>0</v>
      </c>
      <c r="L21" s="24" t="e">
        <v>#DIV/0!</v>
      </c>
      <c r="M21" s="18">
        <v>0</v>
      </c>
      <c r="N21" s="24" t="e">
        <v>#DIV/0!</v>
      </c>
      <c r="O21" s="18">
        <v>0</v>
      </c>
      <c r="P21" s="24" t="e">
        <v>#DIV/0!</v>
      </c>
      <c r="Q21" s="18">
        <v>0</v>
      </c>
      <c r="R21" s="24" t="e">
        <v>#DIV/0!</v>
      </c>
      <c r="S21" s="18">
        <v>0</v>
      </c>
      <c r="T21" s="24" t="e">
        <v>#DIV/0!</v>
      </c>
      <c r="U21" s="18">
        <v>0</v>
      </c>
      <c r="V21" s="24" t="e">
        <v>#DIV/0!</v>
      </c>
      <c r="W21" s="18">
        <v>0</v>
      </c>
      <c r="X21" s="24" t="e">
        <v>#DIV/0!</v>
      </c>
      <c r="Y21" s="18">
        <v>0</v>
      </c>
      <c r="Z21" s="24" t="e">
        <v>#DIV/0!</v>
      </c>
      <c r="AA21" s="18">
        <v>0</v>
      </c>
      <c r="AB21" s="24" t="e">
        <v>#DIV/0!</v>
      </c>
      <c r="AC21" s="18">
        <v>0</v>
      </c>
      <c r="AD21" s="24" t="e">
        <v>#DIV/0!</v>
      </c>
      <c r="AE21" s="18">
        <v>0</v>
      </c>
      <c r="AF21" s="24" t="e">
        <v>#DIV/0!</v>
      </c>
      <c r="AG21" s="18">
        <v>0</v>
      </c>
      <c r="AH21" s="24" t="e">
        <v>#DIV/0!</v>
      </c>
      <c r="AI21" s="18">
        <v>0</v>
      </c>
      <c r="AJ21" s="24" t="e">
        <v>#DIV/0!</v>
      </c>
      <c r="AK21" s="18">
        <v>0</v>
      </c>
      <c r="AL21" s="24" t="e">
        <v>#DIV/0!</v>
      </c>
      <c r="AM21" s="18">
        <v>0</v>
      </c>
      <c r="AN21" s="24" t="e">
        <v>#DIV/0!</v>
      </c>
      <c r="AO21" s="18">
        <v>0</v>
      </c>
      <c r="AP21" s="24" t="e">
        <v>#DIV/0!</v>
      </c>
      <c r="AQ21" s="18">
        <v>0</v>
      </c>
      <c r="AR21" s="24" t="e">
        <v>#DIV/0!</v>
      </c>
      <c r="AS21" s="18">
        <v>0</v>
      </c>
      <c r="AT21" s="24" t="e">
        <v>#DIV/0!</v>
      </c>
      <c r="AU21" s="18">
        <v>0</v>
      </c>
      <c r="AV21" s="24" t="e">
        <v>#DIV/0!</v>
      </c>
      <c r="AW21" s="18">
        <v>0</v>
      </c>
      <c r="AX21" s="24" t="e">
        <v>#DIV/0!</v>
      </c>
      <c r="AY21" s="18">
        <v>0</v>
      </c>
      <c r="AZ21" s="24" t="e">
        <v>#DIV/0!</v>
      </c>
      <c r="BA21" s="18">
        <v>0</v>
      </c>
      <c r="BB21" s="24" t="e">
        <v>#DIV/0!</v>
      </c>
      <c r="BC21" s="18">
        <v>0</v>
      </c>
      <c r="BD21" s="24" t="e">
        <v>#DIV/0!</v>
      </c>
      <c r="BE21" s="18">
        <v>0</v>
      </c>
      <c r="BF21" s="24" t="e">
        <v>#DIV/0!</v>
      </c>
      <c r="BG21" s="18">
        <v>0</v>
      </c>
      <c r="BH21" s="24" t="e">
        <v>#DIV/0!</v>
      </c>
      <c r="BI21" s="18">
        <v>0</v>
      </c>
      <c r="BJ21" s="24" t="e">
        <v>#DIV/0!</v>
      </c>
      <c r="BK21" s="18">
        <v>0</v>
      </c>
      <c r="BL21" s="24" t="e">
        <v>#DIV/0!</v>
      </c>
      <c r="BM21" s="18">
        <v>0</v>
      </c>
      <c r="BN21" s="24" t="e">
        <v>#DIV/0!</v>
      </c>
      <c r="BO21" s="18">
        <v>0</v>
      </c>
      <c r="BP21" s="24" t="e">
        <v>#DIV/0!</v>
      </c>
      <c r="BQ21" s="18">
        <v>0</v>
      </c>
      <c r="BR21" s="24" t="e">
        <v>#DIV/0!</v>
      </c>
      <c r="BS21" s="18">
        <v>0</v>
      </c>
      <c r="BT21" s="24" t="e">
        <v>#DIV/0!</v>
      </c>
      <c r="BU21" s="18">
        <v>0</v>
      </c>
      <c r="BV21" s="24" t="e">
        <v>#DIV/0!</v>
      </c>
      <c r="BW21" s="18">
        <v>0</v>
      </c>
      <c r="BX21" s="24" t="e">
        <v>#DIV/0!</v>
      </c>
      <c r="BY21" s="18">
        <v>0</v>
      </c>
      <c r="BZ21" s="24" t="e">
        <v>#DIV/0!</v>
      </c>
      <c r="CA21" s="18">
        <v>0</v>
      </c>
      <c r="CB21" s="24" t="e">
        <v>#DIV/0!</v>
      </c>
      <c r="CC21" s="18">
        <v>0</v>
      </c>
      <c r="CD21" s="24" t="e">
        <v>#DIV/0!</v>
      </c>
      <c r="CE21" s="18">
        <v>0</v>
      </c>
      <c r="CF21" s="24" t="e">
        <v>#DIV/0!</v>
      </c>
      <c r="CG21" s="18">
        <v>0</v>
      </c>
      <c r="CH21" s="24" t="e">
        <v>#DIV/0!</v>
      </c>
      <c r="CI21" s="18">
        <v>0</v>
      </c>
      <c r="CJ21" s="24" t="e">
        <v>#DIV/0!</v>
      </c>
      <c r="CK21" s="18">
        <v>0</v>
      </c>
      <c r="CL21" s="24" t="e">
        <v>#DIV/0!</v>
      </c>
      <c r="CM21" s="18">
        <v>0</v>
      </c>
      <c r="CN21" s="24" t="e">
        <v>#DIV/0!</v>
      </c>
      <c r="CO21" s="18">
        <v>0</v>
      </c>
      <c r="CP21" s="24" t="e">
        <v>#DIV/0!</v>
      </c>
      <c r="CQ21" s="18">
        <v>0</v>
      </c>
      <c r="CR21" s="24" t="e">
        <v>#DIV/0!</v>
      </c>
      <c r="CS21" s="18">
        <v>0</v>
      </c>
      <c r="CT21" s="24" t="e">
        <v>#DIV/0!</v>
      </c>
      <c r="CU21" s="18">
        <v>0</v>
      </c>
      <c r="CV21" s="24" t="e">
        <v>#DIV/0!</v>
      </c>
      <c r="CW21" s="18">
        <v>0</v>
      </c>
      <c r="CX21" s="24" t="e">
        <v>#DIV/0!</v>
      </c>
      <c r="CY21" s="18">
        <v>0</v>
      </c>
      <c r="CZ21" s="24" t="e">
        <v>#DIV/0!</v>
      </c>
      <c r="DA21" s="18">
        <v>0</v>
      </c>
      <c r="DB21" s="24" t="e">
        <v>#DIV/0!</v>
      </c>
      <c r="DC21" s="18">
        <v>0</v>
      </c>
      <c r="DD21" s="24" t="e">
        <v>#DIV/0!</v>
      </c>
      <c r="DE21" s="18">
        <v>0</v>
      </c>
      <c r="DF21" s="24" t="e">
        <v>#DIV/0!</v>
      </c>
      <c r="DG21" s="18">
        <v>0</v>
      </c>
      <c r="DH21" s="24" t="e">
        <v>#DIV/0!</v>
      </c>
      <c r="DI21" s="18">
        <v>0</v>
      </c>
      <c r="DJ21" s="24" t="e">
        <v>#DIV/0!</v>
      </c>
      <c r="DK21" s="18">
        <v>0</v>
      </c>
      <c r="DL21" s="24" t="e">
        <v>#DIV/0!</v>
      </c>
      <c r="DM21" s="18">
        <v>0</v>
      </c>
      <c r="DN21" s="24" t="e">
        <v>#DIV/0!</v>
      </c>
      <c r="DO21" s="18">
        <v>0</v>
      </c>
      <c r="DP21" s="24" t="e">
        <v>#DIV/0!</v>
      </c>
      <c r="DQ21" s="18">
        <v>0</v>
      </c>
      <c r="DR21" s="24" t="e">
        <v>#DIV/0!</v>
      </c>
      <c r="DS21" s="18">
        <v>0</v>
      </c>
      <c r="DT21" s="24" t="e">
        <v>#DIV/0!</v>
      </c>
      <c r="DU21" s="18">
        <v>0</v>
      </c>
      <c r="DV21" s="24" t="e">
        <v>#DIV/0!</v>
      </c>
      <c r="DW21" s="18">
        <v>0</v>
      </c>
      <c r="DX21" s="24" t="e">
        <v>#DIV/0!</v>
      </c>
      <c r="DY21" s="18">
        <v>0</v>
      </c>
      <c r="DZ21" s="24" t="e">
        <v>#DIV/0!</v>
      </c>
      <c r="EA21" s="18">
        <v>0</v>
      </c>
      <c r="EB21" s="24" t="e">
        <v>#DIV/0!</v>
      </c>
      <c r="EC21" s="18">
        <v>0</v>
      </c>
      <c r="ED21" s="24" t="e">
        <v>#DIV/0!</v>
      </c>
      <c r="EE21" s="18">
        <v>0</v>
      </c>
      <c r="EF21" s="24" t="e">
        <v>#DIV/0!</v>
      </c>
      <c r="EG21" s="18">
        <v>0</v>
      </c>
      <c r="EH21" s="24" t="e">
        <v>#DIV/0!</v>
      </c>
      <c r="EI21" s="18">
        <v>0</v>
      </c>
      <c r="EJ21" s="24" t="e">
        <v>#DIV/0!</v>
      </c>
      <c r="EK21" s="18">
        <v>0</v>
      </c>
      <c r="EL21" s="24" t="e">
        <v>#DIV/0!</v>
      </c>
      <c r="EM21" s="18">
        <v>0</v>
      </c>
      <c r="EN21" s="24" t="e">
        <v>#DIV/0!</v>
      </c>
      <c r="EO21" s="18">
        <v>0</v>
      </c>
      <c r="EP21" s="24" t="e">
        <v>#DIV/0!</v>
      </c>
      <c r="EQ21" s="18">
        <v>0</v>
      </c>
      <c r="ER21" s="24" t="e">
        <v>#DIV/0!</v>
      </c>
      <c r="ES21" s="18">
        <f t="shared" si="1"/>
        <v>0</v>
      </c>
      <c r="ET21" s="24" t="e">
        <f>ES21/ES24</f>
        <v>#DIV/0!</v>
      </c>
      <c r="EU21" s="221" t="e">
        <f>IF( SUM($EQ21:ES21)&lt;0, "n/a", SUM($EQ21:ES21)/EU$74)</f>
        <v>#DIV/0!</v>
      </c>
      <c r="EV21" s="224" t="e">
        <f>EU21/EU24</f>
        <v>#DIV/0!</v>
      </c>
      <c r="EW21" s="22"/>
      <c r="EX21" s="96" t="s">
        <v>136</v>
      </c>
      <c r="EY21" s="35">
        <f>IF(ISERROR(VLOOKUP(EX21,IQSH01E!$A$1:$M$400,2,0)),0,VLOOKUP(EX21,IQSH01E!$A$1:$M$400,2,0))</f>
        <v>0</v>
      </c>
      <c r="EZ21" s="204"/>
      <c r="FA21" s="182" t="s">
        <v>123</v>
      </c>
    </row>
    <row r="22" spans="1:157" ht="16.5" customHeight="1" x14ac:dyDescent="0.3">
      <c r="A22" s="11" t="s">
        <v>97</v>
      </c>
      <c r="B22" s="14" t="s">
        <v>82</v>
      </c>
      <c r="C22" s="18">
        <v>0</v>
      </c>
      <c r="D22" s="24" t="e">
        <v>#DIV/0!</v>
      </c>
      <c r="E22" s="18">
        <v>0</v>
      </c>
      <c r="F22" s="24" t="e">
        <v>#DIV/0!</v>
      </c>
      <c r="G22" s="18">
        <v>0</v>
      </c>
      <c r="H22" s="24" t="e">
        <v>#DIV/0!</v>
      </c>
      <c r="I22" s="18">
        <v>0</v>
      </c>
      <c r="J22" s="24" t="e">
        <v>#DIV/0!</v>
      </c>
      <c r="K22" s="18">
        <v>0</v>
      </c>
      <c r="L22" s="24" t="e">
        <v>#DIV/0!</v>
      </c>
      <c r="M22" s="18">
        <v>0</v>
      </c>
      <c r="N22" s="24" t="e">
        <v>#DIV/0!</v>
      </c>
      <c r="O22" s="18">
        <v>0</v>
      </c>
      <c r="P22" s="24" t="e">
        <v>#DIV/0!</v>
      </c>
      <c r="Q22" s="18">
        <v>0</v>
      </c>
      <c r="R22" s="24" t="e">
        <v>#DIV/0!</v>
      </c>
      <c r="S22" s="18">
        <v>0</v>
      </c>
      <c r="T22" s="24" t="e">
        <v>#DIV/0!</v>
      </c>
      <c r="U22" s="18">
        <v>0</v>
      </c>
      <c r="V22" s="24" t="e">
        <v>#DIV/0!</v>
      </c>
      <c r="W22" s="18">
        <v>0</v>
      </c>
      <c r="X22" s="24" t="e">
        <v>#DIV/0!</v>
      </c>
      <c r="Y22" s="18">
        <v>0</v>
      </c>
      <c r="Z22" s="24" t="e">
        <v>#DIV/0!</v>
      </c>
      <c r="AA22" s="18">
        <v>0</v>
      </c>
      <c r="AB22" s="24" t="e">
        <v>#DIV/0!</v>
      </c>
      <c r="AC22" s="18">
        <v>0</v>
      </c>
      <c r="AD22" s="24" t="e">
        <v>#DIV/0!</v>
      </c>
      <c r="AE22" s="18">
        <v>0</v>
      </c>
      <c r="AF22" s="24" t="e">
        <v>#DIV/0!</v>
      </c>
      <c r="AG22" s="18">
        <v>0</v>
      </c>
      <c r="AH22" s="24" t="e">
        <v>#DIV/0!</v>
      </c>
      <c r="AI22" s="18">
        <v>0</v>
      </c>
      <c r="AJ22" s="24" t="e">
        <v>#DIV/0!</v>
      </c>
      <c r="AK22" s="18">
        <v>0</v>
      </c>
      <c r="AL22" s="24" t="e">
        <v>#DIV/0!</v>
      </c>
      <c r="AM22" s="18">
        <v>0</v>
      </c>
      <c r="AN22" s="24" t="e">
        <v>#DIV/0!</v>
      </c>
      <c r="AO22" s="18">
        <v>0</v>
      </c>
      <c r="AP22" s="24" t="e">
        <v>#DIV/0!</v>
      </c>
      <c r="AQ22" s="18">
        <v>0</v>
      </c>
      <c r="AR22" s="24" t="e">
        <v>#DIV/0!</v>
      </c>
      <c r="AS22" s="18">
        <v>0</v>
      </c>
      <c r="AT22" s="24" t="e">
        <v>#DIV/0!</v>
      </c>
      <c r="AU22" s="18">
        <v>0</v>
      </c>
      <c r="AV22" s="24" t="e">
        <v>#DIV/0!</v>
      </c>
      <c r="AW22" s="18">
        <v>0</v>
      </c>
      <c r="AX22" s="24" t="e">
        <v>#DIV/0!</v>
      </c>
      <c r="AY22" s="18">
        <v>0</v>
      </c>
      <c r="AZ22" s="24" t="e">
        <v>#DIV/0!</v>
      </c>
      <c r="BA22" s="18">
        <v>0</v>
      </c>
      <c r="BB22" s="24" t="e">
        <v>#DIV/0!</v>
      </c>
      <c r="BC22" s="18">
        <v>0</v>
      </c>
      <c r="BD22" s="24" t="e">
        <v>#DIV/0!</v>
      </c>
      <c r="BE22" s="18">
        <v>0</v>
      </c>
      <c r="BF22" s="24" t="e">
        <v>#DIV/0!</v>
      </c>
      <c r="BG22" s="18">
        <v>0</v>
      </c>
      <c r="BH22" s="24" t="e">
        <v>#DIV/0!</v>
      </c>
      <c r="BI22" s="18">
        <v>0</v>
      </c>
      <c r="BJ22" s="24" t="e">
        <v>#DIV/0!</v>
      </c>
      <c r="BK22" s="18">
        <v>0</v>
      </c>
      <c r="BL22" s="24" t="e">
        <v>#DIV/0!</v>
      </c>
      <c r="BM22" s="18">
        <v>0</v>
      </c>
      <c r="BN22" s="24" t="e">
        <v>#DIV/0!</v>
      </c>
      <c r="BO22" s="18">
        <v>0</v>
      </c>
      <c r="BP22" s="24" t="e">
        <v>#DIV/0!</v>
      </c>
      <c r="BQ22" s="18">
        <v>0</v>
      </c>
      <c r="BR22" s="24" t="e">
        <v>#DIV/0!</v>
      </c>
      <c r="BS22" s="18">
        <v>0</v>
      </c>
      <c r="BT22" s="24" t="e">
        <v>#DIV/0!</v>
      </c>
      <c r="BU22" s="18">
        <v>0</v>
      </c>
      <c r="BV22" s="24" t="e">
        <v>#DIV/0!</v>
      </c>
      <c r="BW22" s="18">
        <v>0</v>
      </c>
      <c r="BX22" s="24" t="e">
        <v>#DIV/0!</v>
      </c>
      <c r="BY22" s="18">
        <v>0</v>
      </c>
      <c r="BZ22" s="24" t="e">
        <v>#DIV/0!</v>
      </c>
      <c r="CA22" s="18">
        <v>0</v>
      </c>
      <c r="CB22" s="24" t="e">
        <v>#DIV/0!</v>
      </c>
      <c r="CC22" s="18">
        <v>0</v>
      </c>
      <c r="CD22" s="24" t="e">
        <v>#DIV/0!</v>
      </c>
      <c r="CE22" s="18">
        <v>0</v>
      </c>
      <c r="CF22" s="24" t="e">
        <v>#DIV/0!</v>
      </c>
      <c r="CG22" s="18">
        <v>0</v>
      </c>
      <c r="CH22" s="24" t="e">
        <v>#DIV/0!</v>
      </c>
      <c r="CI22" s="18">
        <v>0</v>
      </c>
      <c r="CJ22" s="24" t="e">
        <v>#DIV/0!</v>
      </c>
      <c r="CK22" s="18">
        <v>0</v>
      </c>
      <c r="CL22" s="24" t="e">
        <v>#DIV/0!</v>
      </c>
      <c r="CM22" s="18">
        <v>0</v>
      </c>
      <c r="CN22" s="24" t="e">
        <v>#DIV/0!</v>
      </c>
      <c r="CO22" s="18">
        <v>0</v>
      </c>
      <c r="CP22" s="24" t="e">
        <v>#DIV/0!</v>
      </c>
      <c r="CQ22" s="18">
        <v>0</v>
      </c>
      <c r="CR22" s="24" t="e">
        <v>#DIV/0!</v>
      </c>
      <c r="CS22" s="18">
        <v>0</v>
      </c>
      <c r="CT22" s="24" t="e">
        <v>#DIV/0!</v>
      </c>
      <c r="CU22" s="18">
        <v>0</v>
      </c>
      <c r="CV22" s="24" t="e">
        <v>#DIV/0!</v>
      </c>
      <c r="CW22" s="18">
        <v>0</v>
      </c>
      <c r="CX22" s="24" t="e">
        <v>#DIV/0!</v>
      </c>
      <c r="CY22" s="18">
        <v>0</v>
      </c>
      <c r="CZ22" s="24" t="e">
        <v>#DIV/0!</v>
      </c>
      <c r="DA22" s="18">
        <v>0</v>
      </c>
      <c r="DB22" s="24" t="e">
        <v>#DIV/0!</v>
      </c>
      <c r="DC22" s="18">
        <v>0</v>
      </c>
      <c r="DD22" s="24" t="e">
        <v>#DIV/0!</v>
      </c>
      <c r="DE22" s="18">
        <v>0</v>
      </c>
      <c r="DF22" s="24" t="e">
        <v>#DIV/0!</v>
      </c>
      <c r="DG22" s="18">
        <v>0</v>
      </c>
      <c r="DH22" s="24" t="e">
        <v>#DIV/0!</v>
      </c>
      <c r="DI22" s="18">
        <v>0</v>
      </c>
      <c r="DJ22" s="24" t="e">
        <v>#DIV/0!</v>
      </c>
      <c r="DK22" s="18">
        <v>0</v>
      </c>
      <c r="DL22" s="24" t="e">
        <v>#DIV/0!</v>
      </c>
      <c r="DM22" s="18">
        <v>0</v>
      </c>
      <c r="DN22" s="24" t="e">
        <v>#DIV/0!</v>
      </c>
      <c r="DO22" s="18">
        <v>0</v>
      </c>
      <c r="DP22" s="24" t="e">
        <v>#DIV/0!</v>
      </c>
      <c r="DQ22" s="18">
        <v>0</v>
      </c>
      <c r="DR22" s="24" t="e">
        <v>#DIV/0!</v>
      </c>
      <c r="DS22" s="18">
        <v>0</v>
      </c>
      <c r="DT22" s="24" t="e">
        <v>#DIV/0!</v>
      </c>
      <c r="DU22" s="18">
        <v>0</v>
      </c>
      <c r="DV22" s="24" t="e">
        <v>#DIV/0!</v>
      </c>
      <c r="DW22" s="18">
        <v>0</v>
      </c>
      <c r="DX22" s="24" t="e">
        <v>#DIV/0!</v>
      </c>
      <c r="DY22" s="18">
        <v>0</v>
      </c>
      <c r="DZ22" s="24" t="e">
        <v>#DIV/0!</v>
      </c>
      <c r="EA22" s="18">
        <v>0</v>
      </c>
      <c r="EB22" s="24" t="e">
        <v>#DIV/0!</v>
      </c>
      <c r="EC22" s="18">
        <v>0</v>
      </c>
      <c r="ED22" s="24" t="e">
        <v>#DIV/0!</v>
      </c>
      <c r="EE22" s="18">
        <v>0</v>
      </c>
      <c r="EF22" s="24" t="e">
        <v>#DIV/0!</v>
      </c>
      <c r="EG22" s="18">
        <v>0</v>
      </c>
      <c r="EH22" s="24" t="e">
        <v>#DIV/0!</v>
      </c>
      <c r="EI22" s="18">
        <v>0</v>
      </c>
      <c r="EJ22" s="24" t="e">
        <v>#DIV/0!</v>
      </c>
      <c r="EK22" s="18">
        <v>0</v>
      </c>
      <c r="EL22" s="24" t="e">
        <v>#DIV/0!</v>
      </c>
      <c r="EM22" s="18">
        <v>0</v>
      </c>
      <c r="EN22" s="24" t="e">
        <v>#DIV/0!</v>
      </c>
      <c r="EO22" s="18">
        <v>0</v>
      </c>
      <c r="EP22" s="24" t="e">
        <v>#DIV/0!</v>
      </c>
      <c r="EQ22" s="18">
        <v>0</v>
      </c>
      <c r="ER22" s="24" t="e">
        <v>#DIV/0!</v>
      </c>
      <c r="ES22" s="18">
        <f t="shared" si="1"/>
        <v>0</v>
      </c>
      <c r="ET22" s="24" t="e">
        <f>ES22/ES24</f>
        <v>#DIV/0!</v>
      </c>
      <c r="EU22" s="221" t="e">
        <f>IF( SUM($EQ22:ES22)&lt;0, "n/a", SUM($EQ22:ES22)/EU$74)</f>
        <v>#DIV/0!</v>
      </c>
      <c r="EV22" s="224" t="e">
        <f>EU22/EU24</f>
        <v>#DIV/0!</v>
      </c>
      <c r="EW22" s="22"/>
      <c r="EX22" s="96" t="s">
        <v>65</v>
      </c>
      <c r="EY22" s="35">
        <f>IF(ISERROR(VLOOKUP(EX22,IQSH01E!$A$1:$M$400,2,0)),0,VLOOKUP(EX22,IQSH01E!$A$1:$M$400,2,0))</f>
        <v>0</v>
      </c>
      <c r="EZ22" s="204"/>
      <c r="FA22" s="182" t="s">
        <v>118</v>
      </c>
    </row>
    <row r="23" spans="1:157" ht="16.5" customHeight="1" x14ac:dyDescent="0.3">
      <c r="A23" s="10"/>
      <c r="B23" s="14" t="s">
        <v>102</v>
      </c>
      <c r="C23" s="18">
        <v>0</v>
      </c>
      <c r="D23" s="24" t="e">
        <v>#DIV/0!</v>
      </c>
      <c r="E23" s="18">
        <v>0</v>
      </c>
      <c r="F23" s="24" t="e">
        <v>#DIV/0!</v>
      </c>
      <c r="G23" s="18">
        <v>0</v>
      </c>
      <c r="H23" s="24" t="e">
        <v>#DIV/0!</v>
      </c>
      <c r="I23" s="18">
        <v>0</v>
      </c>
      <c r="J23" s="24" t="e">
        <v>#DIV/0!</v>
      </c>
      <c r="K23" s="18">
        <v>0</v>
      </c>
      <c r="L23" s="24" t="e">
        <v>#DIV/0!</v>
      </c>
      <c r="M23" s="18">
        <v>0</v>
      </c>
      <c r="N23" s="24" t="e">
        <v>#DIV/0!</v>
      </c>
      <c r="O23" s="18">
        <v>0</v>
      </c>
      <c r="P23" s="24" t="e">
        <v>#DIV/0!</v>
      </c>
      <c r="Q23" s="18">
        <v>0</v>
      </c>
      <c r="R23" s="24" t="e">
        <v>#DIV/0!</v>
      </c>
      <c r="S23" s="18">
        <v>0</v>
      </c>
      <c r="T23" s="24" t="e">
        <v>#DIV/0!</v>
      </c>
      <c r="U23" s="18">
        <v>0</v>
      </c>
      <c r="V23" s="24" t="e">
        <v>#DIV/0!</v>
      </c>
      <c r="W23" s="18">
        <v>0</v>
      </c>
      <c r="X23" s="24" t="e">
        <v>#DIV/0!</v>
      </c>
      <c r="Y23" s="18">
        <v>0</v>
      </c>
      <c r="Z23" s="24" t="e">
        <v>#DIV/0!</v>
      </c>
      <c r="AA23" s="18">
        <v>0</v>
      </c>
      <c r="AB23" s="24" t="e">
        <v>#DIV/0!</v>
      </c>
      <c r="AC23" s="18">
        <v>0</v>
      </c>
      <c r="AD23" s="24" t="e">
        <v>#DIV/0!</v>
      </c>
      <c r="AE23" s="18">
        <v>0</v>
      </c>
      <c r="AF23" s="24" t="e">
        <v>#DIV/0!</v>
      </c>
      <c r="AG23" s="18">
        <v>0</v>
      </c>
      <c r="AH23" s="24" t="e">
        <v>#DIV/0!</v>
      </c>
      <c r="AI23" s="18">
        <v>0</v>
      </c>
      <c r="AJ23" s="24" t="e">
        <v>#DIV/0!</v>
      </c>
      <c r="AK23" s="18">
        <v>0</v>
      </c>
      <c r="AL23" s="24" t="e">
        <v>#DIV/0!</v>
      </c>
      <c r="AM23" s="18">
        <v>0</v>
      </c>
      <c r="AN23" s="24" t="e">
        <v>#DIV/0!</v>
      </c>
      <c r="AO23" s="18">
        <v>0</v>
      </c>
      <c r="AP23" s="24" t="e">
        <v>#DIV/0!</v>
      </c>
      <c r="AQ23" s="18">
        <v>0</v>
      </c>
      <c r="AR23" s="24" t="e">
        <v>#DIV/0!</v>
      </c>
      <c r="AS23" s="18">
        <v>0</v>
      </c>
      <c r="AT23" s="24" t="e">
        <v>#DIV/0!</v>
      </c>
      <c r="AU23" s="18">
        <v>0</v>
      </c>
      <c r="AV23" s="24" t="e">
        <v>#DIV/0!</v>
      </c>
      <c r="AW23" s="18">
        <v>0</v>
      </c>
      <c r="AX23" s="24" t="e">
        <v>#DIV/0!</v>
      </c>
      <c r="AY23" s="18">
        <v>0</v>
      </c>
      <c r="AZ23" s="24" t="e">
        <v>#DIV/0!</v>
      </c>
      <c r="BA23" s="18">
        <v>0</v>
      </c>
      <c r="BB23" s="24" t="e">
        <v>#DIV/0!</v>
      </c>
      <c r="BC23" s="18">
        <v>0</v>
      </c>
      <c r="BD23" s="24" t="e">
        <v>#DIV/0!</v>
      </c>
      <c r="BE23" s="18">
        <v>0</v>
      </c>
      <c r="BF23" s="24" t="e">
        <v>#DIV/0!</v>
      </c>
      <c r="BG23" s="18">
        <v>0</v>
      </c>
      <c r="BH23" s="24" t="e">
        <v>#DIV/0!</v>
      </c>
      <c r="BI23" s="18">
        <v>0</v>
      </c>
      <c r="BJ23" s="24" t="e">
        <v>#DIV/0!</v>
      </c>
      <c r="BK23" s="18">
        <v>0</v>
      </c>
      <c r="BL23" s="24" t="e">
        <v>#DIV/0!</v>
      </c>
      <c r="BM23" s="18">
        <v>0</v>
      </c>
      <c r="BN23" s="24" t="e">
        <v>#DIV/0!</v>
      </c>
      <c r="BO23" s="18">
        <v>0</v>
      </c>
      <c r="BP23" s="24" t="e">
        <v>#DIV/0!</v>
      </c>
      <c r="BQ23" s="18">
        <v>0</v>
      </c>
      <c r="BR23" s="24" t="e">
        <v>#DIV/0!</v>
      </c>
      <c r="BS23" s="18">
        <v>0</v>
      </c>
      <c r="BT23" s="24" t="e">
        <v>#DIV/0!</v>
      </c>
      <c r="BU23" s="18">
        <v>0</v>
      </c>
      <c r="BV23" s="24" t="e">
        <v>#DIV/0!</v>
      </c>
      <c r="BW23" s="18">
        <v>0</v>
      </c>
      <c r="BX23" s="24" t="e">
        <v>#DIV/0!</v>
      </c>
      <c r="BY23" s="18">
        <v>0</v>
      </c>
      <c r="BZ23" s="24" t="e">
        <v>#DIV/0!</v>
      </c>
      <c r="CA23" s="18">
        <v>0</v>
      </c>
      <c r="CB23" s="24" t="e">
        <v>#DIV/0!</v>
      </c>
      <c r="CC23" s="18">
        <v>0</v>
      </c>
      <c r="CD23" s="24" t="e">
        <v>#DIV/0!</v>
      </c>
      <c r="CE23" s="18">
        <v>0</v>
      </c>
      <c r="CF23" s="24" t="e">
        <v>#DIV/0!</v>
      </c>
      <c r="CG23" s="18">
        <v>0</v>
      </c>
      <c r="CH23" s="24" t="e">
        <v>#DIV/0!</v>
      </c>
      <c r="CI23" s="18">
        <v>0</v>
      </c>
      <c r="CJ23" s="24" t="e">
        <v>#DIV/0!</v>
      </c>
      <c r="CK23" s="18">
        <v>0</v>
      </c>
      <c r="CL23" s="24" t="e">
        <v>#DIV/0!</v>
      </c>
      <c r="CM23" s="18">
        <v>0</v>
      </c>
      <c r="CN23" s="24" t="e">
        <v>#DIV/0!</v>
      </c>
      <c r="CO23" s="18">
        <v>0</v>
      </c>
      <c r="CP23" s="24" t="e">
        <v>#DIV/0!</v>
      </c>
      <c r="CQ23" s="18">
        <v>0</v>
      </c>
      <c r="CR23" s="24" t="e">
        <v>#DIV/0!</v>
      </c>
      <c r="CS23" s="18">
        <v>0</v>
      </c>
      <c r="CT23" s="24" t="e">
        <v>#DIV/0!</v>
      </c>
      <c r="CU23" s="18">
        <v>0</v>
      </c>
      <c r="CV23" s="24" t="e">
        <v>#DIV/0!</v>
      </c>
      <c r="CW23" s="18">
        <v>0</v>
      </c>
      <c r="CX23" s="24" t="e">
        <v>#DIV/0!</v>
      </c>
      <c r="CY23" s="18">
        <v>0</v>
      </c>
      <c r="CZ23" s="24" t="e">
        <v>#DIV/0!</v>
      </c>
      <c r="DA23" s="18">
        <v>0</v>
      </c>
      <c r="DB23" s="24" t="e">
        <v>#DIV/0!</v>
      </c>
      <c r="DC23" s="18">
        <v>0</v>
      </c>
      <c r="DD23" s="24" t="e">
        <v>#DIV/0!</v>
      </c>
      <c r="DE23" s="18">
        <v>0</v>
      </c>
      <c r="DF23" s="24" t="e">
        <v>#DIV/0!</v>
      </c>
      <c r="DG23" s="18">
        <v>0</v>
      </c>
      <c r="DH23" s="24" t="e">
        <v>#DIV/0!</v>
      </c>
      <c r="DI23" s="18">
        <v>0</v>
      </c>
      <c r="DJ23" s="24" t="e">
        <v>#DIV/0!</v>
      </c>
      <c r="DK23" s="18">
        <v>0</v>
      </c>
      <c r="DL23" s="24" t="e">
        <v>#DIV/0!</v>
      </c>
      <c r="DM23" s="18">
        <v>0</v>
      </c>
      <c r="DN23" s="24" t="e">
        <v>#DIV/0!</v>
      </c>
      <c r="DO23" s="18">
        <v>0</v>
      </c>
      <c r="DP23" s="24" t="e">
        <v>#DIV/0!</v>
      </c>
      <c r="DQ23" s="18">
        <v>0</v>
      </c>
      <c r="DR23" s="24" t="e">
        <v>#DIV/0!</v>
      </c>
      <c r="DS23" s="18">
        <v>0</v>
      </c>
      <c r="DT23" s="24" t="e">
        <v>#DIV/0!</v>
      </c>
      <c r="DU23" s="18">
        <v>0</v>
      </c>
      <c r="DV23" s="24" t="e">
        <v>#DIV/0!</v>
      </c>
      <c r="DW23" s="18">
        <v>0</v>
      </c>
      <c r="DX23" s="24" t="e">
        <v>#DIV/0!</v>
      </c>
      <c r="DY23" s="18">
        <v>0</v>
      </c>
      <c r="DZ23" s="24" t="e">
        <v>#DIV/0!</v>
      </c>
      <c r="EA23" s="18">
        <v>0</v>
      </c>
      <c r="EB23" s="24" t="e">
        <v>#DIV/0!</v>
      </c>
      <c r="EC23" s="18">
        <v>0</v>
      </c>
      <c r="ED23" s="24" t="e">
        <v>#DIV/0!</v>
      </c>
      <c r="EE23" s="18">
        <v>0</v>
      </c>
      <c r="EF23" s="24" t="e">
        <v>#DIV/0!</v>
      </c>
      <c r="EG23" s="18">
        <v>0</v>
      </c>
      <c r="EH23" s="24" t="e">
        <v>#DIV/0!</v>
      </c>
      <c r="EI23" s="18">
        <v>0</v>
      </c>
      <c r="EJ23" s="24" t="e">
        <v>#DIV/0!</v>
      </c>
      <c r="EK23" s="18">
        <v>0</v>
      </c>
      <c r="EL23" s="24" t="e">
        <v>#DIV/0!</v>
      </c>
      <c r="EM23" s="18">
        <v>0</v>
      </c>
      <c r="EN23" s="24" t="e">
        <v>#DIV/0!</v>
      </c>
      <c r="EO23" s="18">
        <v>0</v>
      </c>
      <c r="EP23" s="24" t="e">
        <v>#DIV/0!</v>
      </c>
      <c r="EQ23" s="18">
        <v>0</v>
      </c>
      <c r="ER23" s="24" t="e">
        <v>#DIV/0!</v>
      </c>
      <c r="ES23" s="18">
        <f t="shared" si="1"/>
        <v>0</v>
      </c>
      <c r="ET23" s="24" t="e">
        <f>ES23/ES24</f>
        <v>#DIV/0!</v>
      </c>
      <c r="EU23" s="221" t="e">
        <f>IF( SUM($EQ23:ES23)&lt;0, "n/a", SUM($EQ23:ES23)/EU$74)</f>
        <v>#DIV/0!</v>
      </c>
      <c r="EV23" s="224" t="e">
        <f>EU23/EU24</f>
        <v>#DIV/0!</v>
      </c>
      <c r="EW23" s="22"/>
      <c r="EX23" s="96" t="s">
        <v>137</v>
      </c>
      <c r="EY23" s="35">
        <f>IF(ISERROR(VLOOKUP(EX23,IQSH01E!$A$1:$M$400,2,0)),0,VLOOKUP(EX23,IQSH01E!$A$1:$M$400,2,0))</f>
        <v>0</v>
      </c>
      <c r="EZ23" s="204"/>
      <c r="FA23" s="182" t="s">
        <v>123</v>
      </c>
    </row>
    <row r="24" spans="1:157" ht="16.5" customHeight="1" thickBot="1" x14ac:dyDescent="0.35">
      <c r="A24" s="10"/>
      <c r="B24" s="15" t="s">
        <v>83</v>
      </c>
      <c r="C24" s="19">
        <v>0</v>
      </c>
      <c r="D24" s="25" t="e">
        <v>#DIV/0!</v>
      </c>
      <c r="E24" s="19">
        <v>0</v>
      </c>
      <c r="F24" s="25" t="e">
        <v>#DIV/0!</v>
      </c>
      <c r="G24" s="19">
        <v>0</v>
      </c>
      <c r="H24" s="25" t="e">
        <v>#DIV/0!</v>
      </c>
      <c r="I24" s="19">
        <v>0</v>
      </c>
      <c r="J24" s="25" t="e">
        <v>#DIV/0!</v>
      </c>
      <c r="K24" s="19">
        <v>0</v>
      </c>
      <c r="L24" s="25" t="e">
        <v>#DIV/0!</v>
      </c>
      <c r="M24" s="19">
        <v>0</v>
      </c>
      <c r="N24" s="25" t="e">
        <v>#DIV/0!</v>
      </c>
      <c r="O24" s="19">
        <v>0</v>
      </c>
      <c r="P24" s="25" t="e">
        <v>#DIV/0!</v>
      </c>
      <c r="Q24" s="19">
        <v>0</v>
      </c>
      <c r="R24" s="25" t="e">
        <v>#DIV/0!</v>
      </c>
      <c r="S24" s="19">
        <v>0</v>
      </c>
      <c r="T24" s="25" t="e">
        <v>#DIV/0!</v>
      </c>
      <c r="U24" s="19">
        <v>0</v>
      </c>
      <c r="V24" s="25" t="e">
        <v>#DIV/0!</v>
      </c>
      <c r="W24" s="19">
        <v>0</v>
      </c>
      <c r="X24" s="25" t="e">
        <v>#DIV/0!</v>
      </c>
      <c r="Y24" s="19">
        <v>0</v>
      </c>
      <c r="Z24" s="25" t="e">
        <v>#DIV/0!</v>
      </c>
      <c r="AA24" s="19">
        <v>0</v>
      </c>
      <c r="AB24" s="25" t="e">
        <v>#DIV/0!</v>
      </c>
      <c r="AC24" s="19">
        <v>0</v>
      </c>
      <c r="AD24" s="25" t="e">
        <v>#DIV/0!</v>
      </c>
      <c r="AE24" s="19">
        <v>0</v>
      </c>
      <c r="AF24" s="25" t="e">
        <v>#DIV/0!</v>
      </c>
      <c r="AG24" s="19">
        <v>0</v>
      </c>
      <c r="AH24" s="25" t="e">
        <v>#DIV/0!</v>
      </c>
      <c r="AI24" s="19">
        <v>0</v>
      </c>
      <c r="AJ24" s="25" t="e">
        <v>#DIV/0!</v>
      </c>
      <c r="AK24" s="19">
        <v>0</v>
      </c>
      <c r="AL24" s="25" t="e">
        <v>#DIV/0!</v>
      </c>
      <c r="AM24" s="19">
        <v>0</v>
      </c>
      <c r="AN24" s="25" t="e">
        <v>#DIV/0!</v>
      </c>
      <c r="AO24" s="19">
        <v>0</v>
      </c>
      <c r="AP24" s="25" t="e">
        <v>#DIV/0!</v>
      </c>
      <c r="AQ24" s="19">
        <v>0</v>
      </c>
      <c r="AR24" s="25" t="e">
        <v>#DIV/0!</v>
      </c>
      <c r="AS24" s="19">
        <v>0</v>
      </c>
      <c r="AT24" s="25" t="e">
        <v>#DIV/0!</v>
      </c>
      <c r="AU24" s="19">
        <v>0</v>
      </c>
      <c r="AV24" s="25" t="e">
        <v>#DIV/0!</v>
      </c>
      <c r="AW24" s="19">
        <v>0</v>
      </c>
      <c r="AX24" s="25" t="e">
        <v>#DIV/0!</v>
      </c>
      <c r="AY24" s="19">
        <v>0</v>
      </c>
      <c r="AZ24" s="25" t="e">
        <v>#DIV/0!</v>
      </c>
      <c r="BA24" s="19">
        <v>0</v>
      </c>
      <c r="BB24" s="25" t="e">
        <v>#DIV/0!</v>
      </c>
      <c r="BC24" s="19">
        <v>0</v>
      </c>
      <c r="BD24" s="25" t="e">
        <v>#DIV/0!</v>
      </c>
      <c r="BE24" s="19">
        <v>0</v>
      </c>
      <c r="BF24" s="25" t="e">
        <v>#DIV/0!</v>
      </c>
      <c r="BG24" s="19">
        <v>0</v>
      </c>
      <c r="BH24" s="25" t="e">
        <v>#DIV/0!</v>
      </c>
      <c r="BI24" s="19">
        <v>0</v>
      </c>
      <c r="BJ24" s="25" t="e">
        <v>#DIV/0!</v>
      </c>
      <c r="BK24" s="19">
        <v>0</v>
      </c>
      <c r="BL24" s="25" t="e">
        <v>#DIV/0!</v>
      </c>
      <c r="BM24" s="19">
        <v>0</v>
      </c>
      <c r="BN24" s="25" t="e">
        <v>#DIV/0!</v>
      </c>
      <c r="BO24" s="19">
        <v>0</v>
      </c>
      <c r="BP24" s="25" t="e">
        <v>#DIV/0!</v>
      </c>
      <c r="BQ24" s="19">
        <v>0</v>
      </c>
      <c r="BR24" s="25" t="e">
        <v>#DIV/0!</v>
      </c>
      <c r="BS24" s="19">
        <v>0</v>
      </c>
      <c r="BT24" s="25" t="e">
        <v>#DIV/0!</v>
      </c>
      <c r="BU24" s="19">
        <v>0</v>
      </c>
      <c r="BV24" s="25" t="e">
        <v>#DIV/0!</v>
      </c>
      <c r="BW24" s="19">
        <v>0</v>
      </c>
      <c r="BX24" s="25" t="e">
        <v>#DIV/0!</v>
      </c>
      <c r="BY24" s="19">
        <v>0</v>
      </c>
      <c r="BZ24" s="25" t="e">
        <v>#DIV/0!</v>
      </c>
      <c r="CA24" s="19">
        <v>0</v>
      </c>
      <c r="CB24" s="25" t="e">
        <v>#DIV/0!</v>
      </c>
      <c r="CC24" s="19">
        <v>0</v>
      </c>
      <c r="CD24" s="25" t="e">
        <v>#DIV/0!</v>
      </c>
      <c r="CE24" s="19">
        <v>0</v>
      </c>
      <c r="CF24" s="25" t="e">
        <v>#DIV/0!</v>
      </c>
      <c r="CG24" s="19">
        <v>0</v>
      </c>
      <c r="CH24" s="25" t="e">
        <v>#DIV/0!</v>
      </c>
      <c r="CI24" s="19">
        <v>0</v>
      </c>
      <c r="CJ24" s="25" t="e">
        <v>#DIV/0!</v>
      </c>
      <c r="CK24" s="19">
        <v>0</v>
      </c>
      <c r="CL24" s="25" t="e">
        <v>#DIV/0!</v>
      </c>
      <c r="CM24" s="19">
        <v>0</v>
      </c>
      <c r="CN24" s="25" t="e">
        <v>#DIV/0!</v>
      </c>
      <c r="CO24" s="19">
        <v>0</v>
      </c>
      <c r="CP24" s="25" t="e">
        <v>#DIV/0!</v>
      </c>
      <c r="CQ24" s="19">
        <v>0</v>
      </c>
      <c r="CR24" s="25" t="e">
        <v>#DIV/0!</v>
      </c>
      <c r="CS24" s="19">
        <v>0</v>
      </c>
      <c r="CT24" s="25" t="e">
        <v>#DIV/0!</v>
      </c>
      <c r="CU24" s="19">
        <v>0</v>
      </c>
      <c r="CV24" s="25" t="e">
        <v>#DIV/0!</v>
      </c>
      <c r="CW24" s="19">
        <v>0</v>
      </c>
      <c r="CX24" s="25" t="e">
        <v>#DIV/0!</v>
      </c>
      <c r="CY24" s="19">
        <v>0</v>
      </c>
      <c r="CZ24" s="25" t="e">
        <v>#DIV/0!</v>
      </c>
      <c r="DA24" s="19">
        <v>0</v>
      </c>
      <c r="DB24" s="25" t="e">
        <v>#DIV/0!</v>
      </c>
      <c r="DC24" s="19">
        <v>0</v>
      </c>
      <c r="DD24" s="25" t="e">
        <v>#DIV/0!</v>
      </c>
      <c r="DE24" s="19">
        <v>0</v>
      </c>
      <c r="DF24" s="25" t="e">
        <v>#DIV/0!</v>
      </c>
      <c r="DG24" s="19">
        <v>0</v>
      </c>
      <c r="DH24" s="25" t="e">
        <v>#DIV/0!</v>
      </c>
      <c r="DI24" s="19">
        <v>0</v>
      </c>
      <c r="DJ24" s="25" t="e">
        <v>#DIV/0!</v>
      </c>
      <c r="DK24" s="19">
        <v>0</v>
      </c>
      <c r="DL24" s="25" t="e">
        <v>#DIV/0!</v>
      </c>
      <c r="DM24" s="19">
        <v>0</v>
      </c>
      <c r="DN24" s="25" t="e">
        <v>#DIV/0!</v>
      </c>
      <c r="DO24" s="19">
        <v>0</v>
      </c>
      <c r="DP24" s="25" t="e">
        <v>#DIV/0!</v>
      </c>
      <c r="DQ24" s="19">
        <v>0</v>
      </c>
      <c r="DR24" s="25" t="e">
        <v>#DIV/0!</v>
      </c>
      <c r="DS24" s="19">
        <v>0</v>
      </c>
      <c r="DT24" s="25" t="e">
        <v>#DIV/0!</v>
      </c>
      <c r="DU24" s="19">
        <v>0</v>
      </c>
      <c r="DV24" s="25" t="e">
        <v>#DIV/0!</v>
      </c>
      <c r="DW24" s="19">
        <v>0</v>
      </c>
      <c r="DX24" s="25" t="e">
        <v>#DIV/0!</v>
      </c>
      <c r="DY24" s="19">
        <v>0</v>
      </c>
      <c r="DZ24" s="25" t="e">
        <v>#DIV/0!</v>
      </c>
      <c r="EA24" s="19">
        <v>0</v>
      </c>
      <c r="EB24" s="25" t="e">
        <v>#DIV/0!</v>
      </c>
      <c r="EC24" s="19">
        <v>0</v>
      </c>
      <c r="ED24" s="25" t="e">
        <v>#DIV/0!</v>
      </c>
      <c r="EE24" s="19">
        <v>0</v>
      </c>
      <c r="EF24" s="25" t="e">
        <v>#DIV/0!</v>
      </c>
      <c r="EG24" s="19">
        <v>0</v>
      </c>
      <c r="EH24" s="25" t="e">
        <v>#DIV/0!</v>
      </c>
      <c r="EI24" s="19">
        <v>0</v>
      </c>
      <c r="EJ24" s="25" t="e">
        <v>#DIV/0!</v>
      </c>
      <c r="EK24" s="19">
        <v>0</v>
      </c>
      <c r="EL24" s="25" t="e">
        <v>#DIV/0!</v>
      </c>
      <c r="EM24" s="19">
        <v>0</v>
      </c>
      <c r="EN24" s="25" t="e">
        <v>#DIV/0!</v>
      </c>
      <c r="EO24" s="19">
        <v>0</v>
      </c>
      <c r="EP24" s="25" t="e">
        <v>#DIV/0!</v>
      </c>
      <c r="EQ24" s="19">
        <v>0</v>
      </c>
      <c r="ER24" s="25" t="e">
        <v>#DIV/0!</v>
      </c>
      <c r="ES24" s="19">
        <f>SUM(ES17:ES23)</f>
        <v>0</v>
      </c>
      <c r="ET24" s="25" t="e">
        <f>ES24/ES24</f>
        <v>#DIV/0!</v>
      </c>
      <c r="EU24" s="225" t="e">
        <f>IF( SUM($EQ24:ES24)&lt;0, "n/a", SUM($EQ24:ES24)/EU$74)</f>
        <v>#DIV/0!</v>
      </c>
      <c r="EV24" s="226" t="e">
        <f>EU24/EU24</f>
        <v>#DIV/0!</v>
      </c>
      <c r="EW24" s="22"/>
      <c r="EX24" s="100" t="s">
        <v>148</v>
      </c>
      <c r="EY24" s="103">
        <f>IF(ISERROR(VLOOKUP(EX24,IQSH01E!$A$1:$M$400,2,0)),0,VLOOKUP(EX24,IQSH01E!$A$1:$M$400,2,0))</f>
        <v>0</v>
      </c>
      <c r="EZ24" s="205"/>
      <c r="FA24" s="186"/>
    </row>
    <row r="25" spans="1:157" ht="16.5" customHeight="1" x14ac:dyDescent="0.3">
      <c r="A25" s="10"/>
      <c r="B25" s="14" t="s">
        <v>88</v>
      </c>
      <c r="C25" s="18">
        <v>0</v>
      </c>
      <c r="D25" s="24"/>
      <c r="E25" s="18">
        <v>0</v>
      </c>
      <c r="F25" s="24"/>
      <c r="G25" s="18">
        <v>0</v>
      </c>
      <c r="H25" s="24"/>
      <c r="I25" s="18">
        <v>0</v>
      </c>
      <c r="J25" s="24"/>
      <c r="K25" s="18">
        <v>0</v>
      </c>
      <c r="L25" s="24"/>
      <c r="M25" s="18">
        <v>0</v>
      </c>
      <c r="N25" s="24"/>
      <c r="O25" s="18">
        <v>0</v>
      </c>
      <c r="P25" s="24"/>
      <c r="Q25" s="18">
        <v>0</v>
      </c>
      <c r="R25" s="24"/>
      <c r="S25" s="18">
        <v>0</v>
      </c>
      <c r="T25" s="24"/>
      <c r="U25" s="18">
        <v>0</v>
      </c>
      <c r="V25" s="24"/>
      <c r="W25" s="18">
        <v>0</v>
      </c>
      <c r="X25" s="24"/>
      <c r="Y25" s="18">
        <v>0</v>
      </c>
      <c r="Z25" s="24"/>
      <c r="AA25" s="18">
        <v>0</v>
      </c>
      <c r="AB25" s="24"/>
      <c r="AC25" s="18">
        <v>0</v>
      </c>
      <c r="AD25" s="24"/>
      <c r="AE25" s="18">
        <v>0</v>
      </c>
      <c r="AF25" s="24"/>
      <c r="AG25" s="18">
        <v>0</v>
      </c>
      <c r="AH25" s="24"/>
      <c r="AI25" s="18">
        <v>0</v>
      </c>
      <c r="AJ25" s="24"/>
      <c r="AK25" s="18">
        <v>0</v>
      </c>
      <c r="AL25" s="24"/>
      <c r="AM25" s="18">
        <v>0</v>
      </c>
      <c r="AN25" s="24"/>
      <c r="AO25" s="18">
        <v>0</v>
      </c>
      <c r="AP25" s="24"/>
      <c r="AQ25" s="18">
        <v>0</v>
      </c>
      <c r="AR25" s="24"/>
      <c r="AS25" s="18">
        <v>0</v>
      </c>
      <c r="AT25" s="24"/>
      <c r="AU25" s="18">
        <v>0</v>
      </c>
      <c r="AV25" s="24"/>
      <c r="AW25" s="18">
        <v>0</v>
      </c>
      <c r="AX25" s="24"/>
      <c r="AY25" s="18">
        <v>0</v>
      </c>
      <c r="AZ25" s="24"/>
      <c r="BA25" s="18">
        <v>0</v>
      </c>
      <c r="BB25" s="24"/>
      <c r="BC25" s="18">
        <v>0</v>
      </c>
      <c r="BD25" s="24"/>
      <c r="BE25" s="18">
        <v>0</v>
      </c>
      <c r="BF25" s="24"/>
      <c r="BG25" s="18">
        <v>0</v>
      </c>
      <c r="BH25" s="24"/>
      <c r="BI25" s="18">
        <v>0</v>
      </c>
      <c r="BJ25" s="24"/>
      <c r="BK25" s="18">
        <v>0</v>
      </c>
      <c r="BL25" s="24"/>
      <c r="BM25" s="18">
        <v>0</v>
      </c>
      <c r="BN25" s="24"/>
      <c r="BO25" s="18">
        <v>0</v>
      </c>
      <c r="BP25" s="24"/>
      <c r="BQ25" s="18">
        <v>0</v>
      </c>
      <c r="BR25" s="24"/>
      <c r="BS25" s="18">
        <v>0</v>
      </c>
      <c r="BT25" s="24"/>
      <c r="BU25" s="18">
        <v>0</v>
      </c>
      <c r="BV25" s="24"/>
      <c r="BW25" s="18">
        <v>0</v>
      </c>
      <c r="BX25" s="24"/>
      <c r="BY25" s="18">
        <v>0</v>
      </c>
      <c r="BZ25" s="24"/>
      <c r="CA25" s="18">
        <v>0</v>
      </c>
      <c r="CB25" s="24"/>
      <c r="CC25" s="18">
        <v>0</v>
      </c>
      <c r="CD25" s="24"/>
      <c r="CE25" s="18">
        <v>0</v>
      </c>
      <c r="CF25" s="24"/>
      <c r="CG25" s="18">
        <v>0</v>
      </c>
      <c r="CH25" s="24"/>
      <c r="CI25" s="18">
        <v>0</v>
      </c>
      <c r="CJ25" s="24"/>
      <c r="CK25" s="18">
        <v>0</v>
      </c>
      <c r="CL25" s="24"/>
      <c r="CM25" s="18">
        <v>0</v>
      </c>
      <c r="CN25" s="24"/>
      <c r="CO25" s="18">
        <v>0</v>
      </c>
      <c r="CP25" s="24"/>
      <c r="CQ25" s="18">
        <v>0</v>
      </c>
      <c r="CR25" s="24"/>
      <c r="CS25" s="18">
        <v>0</v>
      </c>
      <c r="CT25" s="24"/>
      <c r="CU25" s="18">
        <v>0</v>
      </c>
      <c r="CV25" s="24"/>
      <c r="CW25" s="18">
        <v>0</v>
      </c>
      <c r="CX25" s="24"/>
      <c r="CY25" s="18">
        <v>0</v>
      </c>
      <c r="CZ25" s="24"/>
      <c r="DA25" s="18">
        <v>0</v>
      </c>
      <c r="DB25" s="24"/>
      <c r="DC25" s="18">
        <v>0</v>
      </c>
      <c r="DD25" s="24"/>
      <c r="DE25" s="18">
        <v>0</v>
      </c>
      <c r="DF25" s="24"/>
      <c r="DG25" s="18">
        <v>0</v>
      </c>
      <c r="DH25" s="24"/>
      <c r="DI25" s="18">
        <v>0</v>
      </c>
      <c r="DJ25" s="24"/>
      <c r="DK25" s="18">
        <v>0</v>
      </c>
      <c r="DL25" s="24"/>
      <c r="DM25" s="18">
        <v>0</v>
      </c>
      <c r="DN25" s="24"/>
      <c r="DO25" s="18">
        <v>0</v>
      </c>
      <c r="DP25" s="24"/>
      <c r="DQ25" s="18">
        <v>0</v>
      </c>
      <c r="DR25" s="24"/>
      <c r="DS25" s="18">
        <v>0</v>
      </c>
      <c r="DT25" s="24"/>
      <c r="DU25" s="18">
        <v>0</v>
      </c>
      <c r="DV25" s="24"/>
      <c r="DW25" s="18">
        <v>0</v>
      </c>
      <c r="DX25" s="24"/>
      <c r="DY25" s="18">
        <v>0</v>
      </c>
      <c r="DZ25" s="24"/>
      <c r="EA25" s="18">
        <v>0</v>
      </c>
      <c r="EB25" s="24"/>
      <c r="EC25" s="18">
        <v>0</v>
      </c>
      <c r="ED25" s="24"/>
      <c r="EE25" s="18">
        <v>0</v>
      </c>
      <c r="EF25" s="24"/>
      <c r="EG25" s="18">
        <v>0</v>
      </c>
      <c r="EH25" s="24"/>
      <c r="EI25" s="18">
        <v>0</v>
      </c>
      <c r="EJ25" s="24"/>
      <c r="EK25" s="18">
        <v>0</v>
      </c>
      <c r="EL25" s="24"/>
      <c r="EM25" s="18">
        <v>0</v>
      </c>
      <c r="EN25" s="24"/>
      <c r="EO25" s="18">
        <v>0</v>
      </c>
      <c r="EP25" s="24"/>
      <c r="EQ25" s="18">
        <v>0</v>
      </c>
      <c r="ER25" s="24"/>
      <c r="ES25" s="18">
        <f>+$EY25</f>
        <v>0</v>
      </c>
      <c r="ET25" s="24"/>
      <c r="EU25" s="221">
        <f>IF( SUM($EQ25:ES25)&lt;0, "n/a", SUM($EQ25:ES25)/EU$74)</f>
        <v>0</v>
      </c>
      <c r="EV25" s="227"/>
      <c r="EW25" s="22"/>
      <c r="EX25" s="96" t="s">
        <v>10</v>
      </c>
      <c r="EY25" s="35">
        <f>IF(ISERROR(VLOOKUP(EX25,IQSH01E!$A$1:$M$400,2,0)),0,VLOOKUP(EX25,IQSH01E!$A$1:$M$400,2,0))</f>
        <v>0</v>
      </c>
      <c r="EZ25" s="204"/>
      <c r="FA25" s="182" t="s">
        <v>118</v>
      </c>
    </row>
    <row r="26" spans="1:157" ht="16.5" customHeight="1" x14ac:dyDescent="0.3">
      <c r="A26" s="10"/>
      <c r="B26" s="14" t="s">
        <v>71</v>
      </c>
      <c r="C26" s="18">
        <v>0</v>
      </c>
      <c r="D26" s="24"/>
      <c r="E26" s="18">
        <v>0</v>
      </c>
      <c r="F26" s="24"/>
      <c r="G26" s="18">
        <v>0</v>
      </c>
      <c r="H26" s="24"/>
      <c r="I26" s="18">
        <v>0</v>
      </c>
      <c r="J26" s="24"/>
      <c r="K26" s="18">
        <v>0</v>
      </c>
      <c r="L26" s="24"/>
      <c r="M26" s="18">
        <v>0</v>
      </c>
      <c r="N26" s="24"/>
      <c r="O26" s="18">
        <v>0</v>
      </c>
      <c r="P26" s="24"/>
      <c r="Q26" s="18">
        <v>0</v>
      </c>
      <c r="R26" s="24"/>
      <c r="S26" s="18">
        <v>0</v>
      </c>
      <c r="T26" s="24"/>
      <c r="U26" s="18">
        <v>0</v>
      </c>
      <c r="V26" s="24"/>
      <c r="W26" s="18">
        <v>0</v>
      </c>
      <c r="X26" s="24"/>
      <c r="Y26" s="18">
        <v>0</v>
      </c>
      <c r="Z26" s="24"/>
      <c r="AA26" s="18">
        <v>0</v>
      </c>
      <c r="AB26" s="24"/>
      <c r="AC26" s="18">
        <v>0</v>
      </c>
      <c r="AD26" s="24"/>
      <c r="AE26" s="18">
        <v>0</v>
      </c>
      <c r="AF26" s="24"/>
      <c r="AG26" s="18">
        <v>0</v>
      </c>
      <c r="AH26" s="24"/>
      <c r="AI26" s="18">
        <v>0</v>
      </c>
      <c r="AJ26" s="24"/>
      <c r="AK26" s="18">
        <v>0</v>
      </c>
      <c r="AL26" s="24"/>
      <c r="AM26" s="18">
        <v>0</v>
      </c>
      <c r="AN26" s="24"/>
      <c r="AO26" s="18">
        <v>0</v>
      </c>
      <c r="AP26" s="24"/>
      <c r="AQ26" s="18">
        <v>0</v>
      </c>
      <c r="AR26" s="24"/>
      <c r="AS26" s="18">
        <v>0</v>
      </c>
      <c r="AT26" s="24"/>
      <c r="AU26" s="18">
        <v>0</v>
      </c>
      <c r="AV26" s="24"/>
      <c r="AW26" s="18">
        <v>0</v>
      </c>
      <c r="AX26" s="24"/>
      <c r="AY26" s="18">
        <v>0</v>
      </c>
      <c r="AZ26" s="24"/>
      <c r="BA26" s="18">
        <v>0</v>
      </c>
      <c r="BB26" s="24"/>
      <c r="BC26" s="18">
        <v>0</v>
      </c>
      <c r="BD26" s="24"/>
      <c r="BE26" s="18">
        <v>0</v>
      </c>
      <c r="BF26" s="24"/>
      <c r="BG26" s="18">
        <v>0</v>
      </c>
      <c r="BH26" s="24"/>
      <c r="BI26" s="18">
        <v>0</v>
      </c>
      <c r="BJ26" s="24"/>
      <c r="BK26" s="18">
        <v>0</v>
      </c>
      <c r="BL26" s="24"/>
      <c r="BM26" s="18">
        <v>0</v>
      </c>
      <c r="BN26" s="24"/>
      <c r="BO26" s="18">
        <v>0</v>
      </c>
      <c r="BP26" s="24"/>
      <c r="BQ26" s="18">
        <v>0</v>
      </c>
      <c r="BR26" s="24"/>
      <c r="BS26" s="18">
        <v>0</v>
      </c>
      <c r="BT26" s="24"/>
      <c r="BU26" s="18">
        <v>0</v>
      </c>
      <c r="BV26" s="24"/>
      <c r="BW26" s="18">
        <v>0</v>
      </c>
      <c r="BX26" s="24"/>
      <c r="BY26" s="18">
        <v>0</v>
      </c>
      <c r="BZ26" s="24"/>
      <c r="CA26" s="18">
        <v>0</v>
      </c>
      <c r="CB26" s="24"/>
      <c r="CC26" s="18">
        <v>0</v>
      </c>
      <c r="CD26" s="24"/>
      <c r="CE26" s="18">
        <v>0</v>
      </c>
      <c r="CF26" s="24"/>
      <c r="CG26" s="18">
        <v>0</v>
      </c>
      <c r="CH26" s="24"/>
      <c r="CI26" s="18">
        <v>0</v>
      </c>
      <c r="CJ26" s="24"/>
      <c r="CK26" s="18">
        <v>0</v>
      </c>
      <c r="CL26" s="24"/>
      <c r="CM26" s="18">
        <v>0</v>
      </c>
      <c r="CN26" s="24"/>
      <c r="CO26" s="18">
        <v>0</v>
      </c>
      <c r="CP26" s="24"/>
      <c r="CQ26" s="18">
        <v>0</v>
      </c>
      <c r="CR26" s="24"/>
      <c r="CS26" s="18">
        <v>0</v>
      </c>
      <c r="CT26" s="24"/>
      <c r="CU26" s="18">
        <v>0</v>
      </c>
      <c r="CV26" s="24"/>
      <c r="CW26" s="18">
        <v>0</v>
      </c>
      <c r="CX26" s="24"/>
      <c r="CY26" s="18">
        <v>0</v>
      </c>
      <c r="CZ26" s="24"/>
      <c r="DA26" s="18">
        <v>0</v>
      </c>
      <c r="DB26" s="24"/>
      <c r="DC26" s="18">
        <v>0</v>
      </c>
      <c r="DD26" s="24"/>
      <c r="DE26" s="18">
        <v>0</v>
      </c>
      <c r="DF26" s="24"/>
      <c r="DG26" s="18">
        <v>0</v>
      </c>
      <c r="DH26" s="24"/>
      <c r="DI26" s="18">
        <v>0</v>
      </c>
      <c r="DJ26" s="24"/>
      <c r="DK26" s="18">
        <v>0</v>
      </c>
      <c r="DL26" s="24"/>
      <c r="DM26" s="18">
        <v>0</v>
      </c>
      <c r="DN26" s="24"/>
      <c r="DO26" s="18">
        <v>0</v>
      </c>
      <c r="DP26" s="24"/>
      <c r="DQ26" s="18">
        <v>0</v>
      </c>
      <c r="DR26" s="24"/>
      <c r="DS26" s="18">
        <v>0</v>
      </c>
      <c r="DT26" s="24"/>
      <c r="DU26" s="18">
        <v>0</v>
      </c>
      <c r="DV26" s="24"/>
      <c r="DW26" s="18">
        <v>0</v>
      </c>
      <c r="DX26" s="24"/>
      <c r="DY26" s="18">
        <v>0</v>
      </c>
      <c r="DZ26" s="24"/>
      <c r="EA26" s="18">
        <v>0</v>
      </c>
      <c r="EB26" s="24"/>
      <c r="EC26" s="18">
        <v>0</v>
      </c>
      <c r="ED26" s="24"/>
      <c r="EE26" s="18">
        <v>0</v>
      </c>
      <c r="EF26" s="24"/>
      <c r="EG26" s="18">
        <v>0</v>
      </c>
      <c r="EH26" s="24"/>
      <c r="EI26" s="18">
        <v>0</v>
      </c>
      <c r="EJ26" s="24"/>
      <c r="EK26" s="18">
        <v>0</v>
      </c>
      <c r="EL26" s="24"/>
      <c r="EM26" s="18">
        <v>0</v>
      </c>
      <c r="EN26" s="24"/>
      <c r="EO26" s="18">
        <v>0</v>
      </c>
      <c r="EP26" s="24"/>
      <c r="EQ26" s="18">
        <v>0</v>
      </c>
      <c r="ER26" s="24"/>
      <c r="ES26" s="18">
        <f>+$EY26</f>
        <v>0</v>
      </c>
      <c r="ET26" s="24"/>
      <c r="EU26" s="221">
        <f>IF( SUM($EQ26:ES26)&lt;0, "n/a", SUM($EQ26:ES26)/EU$74)</f>
        <v>0</v>
      </c>
      <c r="EV26" s="224"/>
      <c r="EW26" s="22"/>
      <c r="EX26" s="154" t="s">
        <v>138</v>
      </c>
      <c r="EY26" s="34">
        <f>IF(ISERROR(VLOOKUP(EX26,IQSH01E!$A$1:$M$400,2,0)),0,VLOOKUP(EX26,IQSH01E!$A$1:$M$400,2,0))</f>
        <v>0</v>
      </c>
      <c r="EZ26" s="206"/>
      <c r="FA26" s="187" t="s">
        <v>117</v>
      </c>
    </row>
    <row r="27" spans="1:157" ht="16.5" customHeight="1" thickBot="1" x14ac:dyDescent="0.35">
      <c r="A27" s="12"/>
      <c r="B27" s="16" t="s">
        <v>84</v>
      </c>
      <c r="C27" s="19">
        <v>0</v>
      </c>
      <c r="D27" s="25"/>
      <c r="E27" s="19">
        <v>0</v>
      </c>
      <c r="F27" s="25"/>
      <c r="G27" s="19">
        <v>0</v>
      </c>
      <c r="H27" s="25"/>
      <c r="I27" s="19">
        <v>0</v>
      </c>
      <c r="J27" s="25"/>
      <c r="K27" s="19">
        <v>0</v>
      </c>
      <c r="L27" s="25"/>
      <c r="M27" s="19">
        <v>0</v>
      </c>
      <c r="N27" s="25"/>
      <c r="O27" s="19">
        <v>0</v>
      </c>
      <c r="P27" s="25"/>
      <c r="Q27" s="19">
        <v>0</v>
      </c>
      <c r="R27" s="25"/>
      <c r="S27" s="19">
        <v>0</v>
      </c>
      <c r="T27" s="25"/>
      <c r="U27" s="19">
        <v>0</v>
      </c>
      <c r="V27" s="25"/>
      <c r="W27" s="19">
        <v>0</v>
      </c>
      <c r="X27" s="25"/>
      <c r="Y27" s="19">
        <v>0</v>
      </c>
      <c r="Z27" s="25"/>
      <c r="AA27" s="19">
        <v>0</v>
      </c>
      <c r="AB27" s="25"/>
      <c r="AC27" s="19">
        <v>0</v>
      </c>
      <c r="AD27" s="25"/>
      <c r="AE27" s="19">
        <v>0</v>
      </c>
      <c r="AF27" s="25"/>
      <c r="AG27" s="19">
        <v>0</v>
      </c>
      <c r="AH27" s="25"/>
      <c r="AI27" s="19">
        <v>0</v>
      </c>
      <c r="AJ27" s="25"/>
      <c r="AK27" s="19">
        <v>0</v>
      </c>
      <c r="AL27" s="25"/>
      <c r="AM27" s="19">
        <v>0</v>
      </c>
      <c r="AN27" s="25"/>
      <c r="AO27" s="19">
        <v>0</v>
      </c>
      <c r="AP27" s="25"/>
      <c r="AQ27" s="19">
        <v>0</v>
      </c>
      <c r="AR27" s="25"/>
      <c r="AS27" s="19">
        <v>0</v>
      </c>
      <c r="AT27" s="25"/>
      <c r="AU27" s="19">
        <v>0</v>
      </c>
      <c r="AV27" s="25"/>
      <c r="AW27" s="19">
        <v>0</v>
      </c>
      <c r="AX27" s="25"/>
      <c r="AY27" s="19">
        <v>0</v>
      </c>
      <c r="AZ27" s="25"/>
      <c r="BA27" s="19">
        <v>0</v>
      </c>
      <c r="BB27" s="25"/>
      <c r="BC27" s="19">
        <v>0</v>
      </c>
      <c r="BD27" s="25"/>
      <c r="BE27" s="19">
        <v>0</v>
      </c>
      <c r="BF27" s="25"/>
      <c r="BG27" s="19">
        <v>0</v>
      </c>
      <c r="BH27" s="25"/>
      <c r="BI27" s="19">
        <v>0</v>
      </c>
      <c r="BJ27" s="25"/>
      <c r="BK27" s="19">
        <v>0</v>
      </c>
      <c r="BL27" s="25"/>
      <c r="BM27" s="19">
        <v>0</v>
      </c>
      <c r="BN27" s="25"/>
      <c r="BO27" s="19">
        <v>0</v>
      </c>
      <c r="BP27" s="25"/>
      <c r="BQ27" s="19">
        <v>0</v>
      </c>
      <c r="BR27" s="25"/>
      <c r="BS27" s="19">
        <v>0</v>
      </c>
      <c r="BT27" s="25"/>
      <c r="BU27" s="19">
        <v>0</v>
      </c>
      <c r="BV27" s="25"/>
      <c r="BW27" s="19">
        <v>0</v>
      </c>
      <c r="BX27" s="25"/>
      <c r="BY27" s="19">
        <v>0</v>
      </c>
      <c r="BZ27" s="25"/>
      <c r="CA27" s="19">
        <v>0</v>
      </c>
      <c r="CB27" s="25"/>
      <c r="CC27" s="19">
        <v>0</v>
      </c>
      <c r="CD27" s="25"/>
      <c r="CE27" s="19">
        <v>0</v>
      </c>
      <c r="CF27" s="25"/>
      <c r="CG27" s="19">
        <v>0</v>
      </c>
      <c r="CH27" s="25"/>
      <c r="CI27" s="19">
        <v>0</v>
      </c>
      <c r="CJ27" s="25"/>
      <c r="CK27" s="19">
        <v>0</v>
      </c>
      <c r="CL27" s="25"/>
      <c r="CM27" s="19">
        <v>0</v>
      </c>
      <c r="CN27" s="25"/>
      <c r="CO27" s="19">
        <v>0</v>
      </c>
      <c r="CP27" s="25"/>
      <c r="CQ27" s="19">
        <v>0</v>
      </c>
      <c r="CR27" s="25"/>
      <c r="CS27" s="19">
        <v>0</v>
      </c>
      <c r="CT27" s="25"/>
      <c r="CU27" s="19">
        <v>0</v>
      </c>
      <c r="CV27" s="25"/>
      <c r="CW27" s="19">
        <v>0</v>
      </c>
      <c r="CX27" s="25"/>
      <c r="CY27" s="19">
        <v>0</v>
      </c>
      <c r="CZ27" s="25"/>
      <c r="DA27" s="19">
        <v>0</v>
      </c>
      <c r="DB27" s="25"/>
      <c r="DC27" s="19">
        <v>0</v>
      </c>
      <c r="DD27" s="25"/>
      <c r="DE27" s="19">
        <v>0</v>
      </c>
      <c r="DF27" s="25"/>
      <c r="DG27" s="19">
        <v>0</v>
      </c>
      <c r="DH27" s="25"/>
      <c r="DI27" s="19">
        <v>0</v>
      </c>
      <c r="DJ27" s="25"/>
      <c r="DK27" s="19">
        <v>0</v>
      </c>
      <c r="DL27" s="25"/>
      <c r="DM27" s="19">
        <v>0</v>
      </c>
      <c r="DN27" s="25"/>
      <c r="DO27" s="19">
        <v>0</v>
      </c>
      <c r="DP27" s="25"/>
      <c r="DQ27" s="19">
        <v>0</v>
      </c>
      <c r="DR27" s="25"/>
      <c r="DS27" s="19">
        <v>0</v>
      </c>
      <c r="DT27" s="25"/>
      <c r="DU27" s="19">
        <v>0</v>
      </c>
      <c r="DV27" s="25"/>
      <c r="DW27" s="19">
        <v>0</v>
      </c>
      <c r="DX27" s="25"/>
      <c r="DY27" s="19">
        <v>0</v>
      </c>
      <c r="DZ27" s="25"/>
      <c r="EA27" s="19">
        <v>0</v>
      </c>
      <c r="EB27" s="25"/>
      <c r="EC27" s="19">
        <v>0</v>
      </c>
      <c r="ED27" s="25"/>
      <c r="EE27" s="19">
        <v>0</v>
      </c>
      <c r="EF27" s="25"/>
      <c r="EG27" s="19">
        <v>0</v>
      </c>
      <c r="EH27" s="25"/>
      <c r="EI27" s="19">
        <v>0</v>
      </c>
      <c r="EJ27" s="25"/>
      <c r="EK27" s="19">
        <v>0</v>
      </c>
      <c r="EL27" s="25"/>
      <c r="EM27" s="19">
        <v>0</v>
      </c>
      <c r="EN27" s="25"/>
      <c r="EO27" s="19">
        <v>0</v>
      </c>
      <c r="EP27" s="25"/>
      <c r="EQ27" s="19">
        <v>0</v>
      </c>
      <c r="ER27" s="25"/>
      <c r="ES27" s="19">
        <f>SUM(ES24:ES26)</f>
        <v>0</v>
      </c>
      <c r="ET27" s="25"/>
      <c r="EU27" s="225">
        <f>IF( SUM($EQ27:ES27)&lt;0, "n/a", SUM($EQ27:ES27)/EU$74)</f>
        <v>0</v>
      </c>
      <c r="EV27" s="228"/>
      <c r="EW27" s="61"/>
      <c r="EX27" s="37" t="s">
        <v>49</v>
      </c>
      <c r="EY27" s="38">
        <f>IF(ISERROR(VLOOKUP(EX27,IQSH01E!$A$1:$M$400,2,0)),0,VLOOKUP(EX27,IQSH01E!$A$1:$M$400,2,0))</f>
        <v>0</v>
      </c>
      <c r="EZ27" s="48">
        <f>SUM(EY17:EY26)</f>
        <v>0</v>
      </c>
      <c r="FA27" s="188" t="s">
        <v>118</v>
      </c>
    </row>
    <row r="28" spans="1:157" s="142" customFormat="1" ht="16.5" customHeight="1" thickBot="1" x14ac:dyDescent="0.35">
      <c r="A28" s="167"/>
      <c r="B28" s="168" t="s">
        <v>89</v>
      </c>
      <c r="C28" s="60">
        <v>0</v>
      </c>
      <c r="D28" s="99">
        <v>0</v>
      </c>
      <c r="E28" s="60">
        <v>0</v>
      </c>
      <c r="F28" s="99">
        <v>0</v>
      </c>
      <c r="G28" s="60">
        <v>0</v>
      </c>
      <c r="H28" s="99">
        <v>0</v>
      </c>
      <c r="I28" s="60">
        <v>0</v>
      </c>
      <c r="J28" s="99">
        <v>0</v>
      </c>
      <c r="K28" s="60">
        <v>0</v>
      </c>
      <c r="L28" s="99">
        <v>0</v>
      </c>
      <c r="M28" s="60">
        <v>0</v>
      </c>
      <c r="N28" s="99">
        <v>0</v>
      </c>
      <c r="O28" s="60">
        <v>0</v>
      </c>
      <c r="P28" s="99">
        <v>0</v>
      </c>
      <c r="Q28" s="60">
        <v>0</v>
      </c>
      <c r="R28" s="99">
        <v>0</v>
      </c>
      <c r="S28" s="60">
        <v>0</v>
      </c>
      <c r="T28" s="99">
        <v>0</v>
      </c>
      <c r="U28" s="60">
        <v>0</v>
      </c>
      <c r="V28" s="99">
        <v>0</v>
      </c>
      <c r="W28" s="60">
        <v>0</v>
      </c>
      <c r="X28" s="99">
        <v>0</v>
      </c>
      <c r="Y28" s="60">
        <v>0</v>
      </c>
      <c r="Z28" s="99">
        <v>0</v>
      </c>
      <c r="AA28" s="60">
        <v>0</v>
      </c>
      <c r="AB28" s="99">
        <v>0</v>
      </c>
      <c r="AC28" s="60">
        <v>0</v>
      </c>
      <c r="AD28" s="99">
        <v>0</v>
      </c>
      <c r="AE28" s="60">
        <v>0</v>
      </c>
      <c r="AF28" s="99">
        <v>0</v>
      </c>
      <c r="AG28" s="60">
        <v>0</v>
      </c>
      <c r="AH28" s="99">
        <v>0</v>
      </c>
      <c r="AI28" s="60">
        <v>0</v>
      </c>
      <c r="AJ28" s="99">
        <v>0</v>
      </c>
      <c r="AK28" s="60">
        <v>0</v>
      </c>
      <c r="AL28" s="99">
        <v>0</v>
      </c>
      <c r="AM28" s="60">
        <v>0</v>
      </c>
      <c r="AN28" s="99">
        <v>0</v>
      </c>
      <c r="AO28" s="60">
        <v>0</v>
      </c>
      <c r="AP28" s="99">
        <v>0</v>
      </c>
      <c r="AQ28" s="60">
        <v>0</v>
      </c>
      <c r="AR28" s="99">
        <v>0</v>
      </c>
      <c r="AS28" s="60">
        <v>0</v>
      </c>
      <c r="AT28" s="99">
        <v>0</v>
      </c>
      <c r="AU28" s="60">
        <v>0</v>
      </c>
      <c r="AV28" s="99">
        <v>0</v>
      </c>
      <c r="AW28" s="60">
        <v>0</v>
      </c>
      <c r="AX28" s="99">
        <v>0</v>
      </c>
      <c r="AY28" s="60">
        <v>0</v>
      </c>
      <c r="AZ28" s="99">
        <v>0</v>
      </c>
      <c r="BA28" s="60">
        <v>0</v>
      </c>
      <c r="BB28" s="99">
        <v>0</v>
      </c>
      <c r="BC28" s="60">
        <v>0</v>
      </c>
      <c r="BD28" s="99">
        <v>0</v>
      </c>
      <c r="BE28" s="60">
        <v>0</v>
      </c>
      <c r="BF28" s="99">
        <v>0</v>
      </c>
      <c r="BG28" s="60">
        <v>0</v>
      </c>
      <c r="BH28" s="99">
        <v>0</v>
      </c>
      <c r="BI28" s="60">
        <v>0</v>
      </c>
      <c r="BJ28" s="99">
        <v>0</v>
      </c>
      <c r="BK28" s="60">
        <v>0</v>
      </c>
      <c r="BL28" s="99">
        <v>0</v>
      </c>
      <c r="BM28" s="60">
        <v>0</v>
      </c>
      <c r="BN28" s="99">
        <v>0</v>
      </c>
      <c r="BO28" s="60">
        <v>0</v>
      </c>
      <c r="BP28" s="99">
        <v>0</v>
      </c>
      <c r="BQ28" s="60">
        <v>0</v>
      </c>
      <c r="BR28" s="99">
        <v>0</v>
      </c>
      <c r="BS28" s="60">
        <v>0</v>
      </c>
      <c r="BT28" s="99">
        <v>0</v>
      </c>
      <c r="BU28" s="60">
        <v>0</v>
      </c>
      <c r="BV28" s="99">
        <v>0</v>
      </c>
      <c r="BW28" s="60">
        <v>0</v>
      </c>
      <c r="BX28" s="99">
        <v>0</v>
      </c>
      <c r="BY28" s="60">
        <v>0</v>
      </c>
      <c r="BZ28" s="99">
        <v>0</v>
      </c>
      <c r="CA28" s="60">
        <v>0</v>
      </c>
      <c r="CB28" s="99">
        <v>0</v>
      </c>
      <c r="CC28" s="60">
        <v>0</v>
      </c>
      <c r="CD28" s="99">
        <v>0</v>
      </c>
      <c r="CE28" s="60">
        <v>0</v>
      </c>
      <c r="CF28" s="99">
        <v>0</v>
      </c>
      <c r="CG28" s="60">
        <v>0</v>
      </c>
      <c r="CH28" s="99">
        <v>0</v>
      </c>
      <c r="CI28" s="60">
        <v>0</v>
      </c>
      <c r="CJ28" s="99">
        <v>0</v>
      </c>
      <c r="CK28" s="60">
        <v>0</v>
      </c>
      <c r="CL28" s="99">
        <v>0</v>
      </c>
      <c r="CM28" s="60">
        <v>0</v>
      </c>
      <c r="CN28" s="99">
        <v>0</v>
      </c>
      <c r="CO28" s="60">
        <v>0</v>
      </c>
      <c r="CP28" s="99">
        <v>0</v>
      </c>
      <c r="CQ28" s="60">
        <v>0</v>
      </c>
      <c r="CR28" s="99">
        <v>0</v>
      </c>
      <c r="CS28" s="60">
        <v>0</v>
      </c>
      <c r="CT28" s="99">
        <v>0</v>
      </c>
      <c r="CU28" s="60">
        <v>0</v>
      </c>
      <c r="CV28" s="99">
        <v>0</v>
      </c>
      <c r="CW28" s="60">
        <v>0</v>
      </c>
      <c r="CX28" s="99">
        <v>0</v>
      </c>
      <c r="CY28" s="60">
        <v>0</v>
      </c>
      <c r="CZ28" s="99">
        <v>0</v>
      </c>
      <c r="DA28" s="60">
        <v>0</v>
      </c>
      <c r="DB28" s="99">
        <v>0</v>
      </c>
      <c r="DC28" s="60">
        <v>0</v>
      </c>
      <c r="DD28" s="99">
        <v>0</v>
      </c>
      <c r="DE28" s="60">
        <v>0</v>
      </c>
      <c r="DF28" s="99">
        <v>0</v>
      </c>
      <c r="DG28" s="60">
        <v>0</v>
      </c>
      <c r="DH28" s="99">
        <v>0</v>
      </c>
      <c r="DI28" s="60">
        <v>0</v>
      </c>
      <c r="DJ28" s="99">
        <v>0</v>
      </c>
      <c r="DK28" s="60">
        <v>0</v>
      </c>
      <c r="DL28" s="99">
        <v>0</v>
      </c>
      <c r="DM28" s="60">
        <v>0</v>
      </c>
      <c r="DN28" s="99">
        <v>0</v>
      </c>
      <c r="DO28" s="60">
        <v>0</v>
      </c>
      <c r="DP28" s="99">
        <v>0</v>
      </c>
      <c r="DQ28" s="60">
        <v>0</v>
      </c>
      <c r="DR28" s="99">
        <v>0</v>
      </c>
      <c r="DS28" s="60">
        <v>0</v>
      </c>
      <c r="DT28" s="99">
        <v>0</v>
      </c>
      <c r="DU28" s="60">
        <v>0</v>
      </c>
      <c r="DV28" s="99">
        <v>0</v>
      </c>
      <c r="DW28" s="60">
        <v>0</v>
      </c>
      <c r="DX28" s="99">
        <v>0</v>
      </c>
      <c r="DY28" s="60">
        <v>0</v>
      </c>
      <c r="DZ28" s="99">
        <v>0</v>
      </c>
      <c r="EA28" s="60">
        <v>0</v>
      </c>
      <c r="EB28" s="99">
        <v>0</v>
      </c>
      <c r="EC28" s="60">
        <v>0</v>
      </c>
      <c r="ED28" s="99">
        <v>0</v>
      </c>
      <c r="EE28" s="60">
        <v>3385</v>
      </c>
      <c r="EF28" s="99">
        <v>1.1701704713503526E-4</v>
      </c>
      <c r="EG28" s="60">
        <v>0</v>
      </c>
      <c r="EH28" s="99">
        <v>0</v>
      </c>
      <c r="EI28" s="60">
        <v>0</v>
      </c>
      <c r="EJ28" s="99">
        <v>0</v>
      </c>
      <c r="EK28" s="60">
        <v>0</v>
      </c>
      <c r="EL28" s="99">
        <v>0</v>
      </c>
      <c r="EM28" s="60">
        <v>0</v>
      </c>
      <c r="EN28" s="99">
        <v>0</v>
      </c>
      <c r="EO28" s="60">
        <v>0</v>
      </c>
      <c r="EP28" s="99">
        <v>0</v>
      </c>
      <c r="EQ28" s="60">
        <v>0</v>
      </c>
      <c r="ER28" s="99">
        <v>0</v>
      </c>
      <c r="ES28" s="60">
        <f t="shared" ref="ES28:ES34" si="2">+$EY28</f>
        <v>0</v>
      </c>
      <c r="ET28" s="99">
        <f>ES28/ES35</f>
        <v>0</v>
      </c>
      <c r="EU28" s="221">
        <f>IF( SUM($EQ28:ES28)&lt;0, "n/a", SUM($EQ28:ES28)/EU$74)</f>
        <v>0</v>
      </c>
      <c r="EV28" s="222">
        <f>EU28/EU35</f>
        <v>0</v>
      </c>
      <c r="EW28" s="112"/>
      <c r="EX28" s="169" t="s">
        <v>29</v>
      </c>
      <c r="EY28" s="170">
        <f>IF(ISERROR(VLOOKUP(EX28,IQSH01E!$A$1:$M$400,2,0)),0,VLOOKUP(EX28,IQSH01E!$A$1:$M$400,2,0))</f>
        <v>0</v>
      </c>
      <c r="EZ28" s="207"/>
      <c r="FA28" s="208" t="s">
        <v>123</v>
      </c>
    </row>
    <row r="29" spans="1:157" s="142" customFormat="1" ht="16.5" customHeight="1" thickBot="1" x14ac:dyDescent="0.35">
      <c r="A29" s="167"/>
      <c r="B29" s="168" t="s">
        <v>79</v>
      </c>
      <c r="C29" s="60">
        <v>31752365.929999996</v>
      </c>
      <c r="D29" s="99">
        <v>0.89960421692595194</v>
      </c>
      <c r="E29" s="60">
        <v>30258018.789999999</v>
      </c>
      <c r="F29" s="99">
        <v>0.91418207839738697</v>
      </c>
      <c r="G29" s="60">
        <v>38298690.410000004</v>
      </c>
      <c r="H29" s="99">
        <v>0.92133603482658066</v>
      </c>
      <c r="I29" s="60">
        <v>26336569.77999999</v>
      </c>
      <c r="J29" s="99">
        <v>0.93253371010581487</v>
      </c>
      <c r="K29" s="60">
        <v>26586041.73</v>
      </c>
      <c r="L29" s="99">
        <v>0.92488144586377463</v>
      </c>
      <c r="M29" s="60">
        <v>32225080.879999999</v>
      </c>
      <c r="N29" s="99">
        <v>0.92366643935232928</v>
      </c>
      <c r="O29" s="60">
        <v>30478137.149999999</v>
      </c>
      <c r="P29" s="99">
        <v>0.90599226117068765</v>
      </c>
      <c r="Q29" s="60">
        <v>29357365.200000003</v>
      </c>
      <c r="R29" s="99">
        <v>0.91576111731762877</v>
      </c>
      <c r="S29" s="60">
        <v>30713950.48</v>
      </c>
      <c r="T29" s="99">
        <v>0.92009064427464504</v>
      </c>
      <c r="U29" s="60">
        <v>32609338.510000002</v>
      </c>
      <c r="V29" s="99">
        <v>0.92441805226221518</v>
      </c>
      <c r="W29" s="60">
        <v>31354101.549999997</v>
      </c>
      <c r="X29" s="99">
        <v>0.92259198459022962</v>
      </c>
      <c r="Y29" s="60">
        <v>30650777.420000002</v>
      </c>
      <c r="Z29" s="99">
        <v>0.91746985643034928</v>
      </c>
      <c r="AA29" s="60">
        <v>28899593.120000005</v>
      </c>
      <c r="AB29" s="99">
        <v>0.91607085527700094</v>
      </c>
      <c r="AC29" s="60">
        <v>25907499.060000002</v>
      </c>
      <c r="AD29" s="99">
        <v>0.9185605511806274</v>
      </c>
      <c r="AE29" s="60">
        <v>34424851.189999998</v>
      </c>
      <c r="AF29" s="99">
        <v>0.91671019119395947</v>
      </c>
      <c r="AG29" s="60">
        <v>33634108.120000005</v>
      </c>
      <c r="AH29" s="99">
        <v>0.93204877801216157</v>
      </c>
      <c r="AI29" s="60">
        <v>29964092.940000005</v>
      </c>
      <c r="AJ29" s="99">
        <v>0.93806479434183287</v>
      </c>
      <c r="AK29" s="60">
        <v>31725447.329999991</v>
      </c>
      <c r="AL29" s="99">
        <v>0.91889401255131387</v>
      </c>
      <c r="AM29" s="60">
        <v>31571996.189999994</v>
      </c>
      <c r="AN29" s="99">
        <v>0.90683858111982341</v>
      </c>
      <c r="AO29" s="60">
        <v>32173314.039999999</v>
      </c>
      <c r="AP29" s="99">
        <v>0.92527487106366046</v>
      </c>
      <c r="AQ29" s="60">
        <v>32942230.380000006</v>
      </c>
      <c r="AR29" s="99">
        <v>0.92598879798240652</v>
      </c>
      <c r="AS29" s="60">
        <v>32718102.209999997</v>
      </c>
      <c r="AT29" s="99">
        <v>0.91874139940460686</v>
      </c>
      <c r="AU29" s="60">
        <v>32529205.070000004</v>
      </c>
      <c r="AV29" s="99">
        <v>0.92217561422315342</v>
      </c>
      <c r="AW29" s="60">
        <v>29738545.34</v>
      </c>
      <c r="AX29" s="99">
        <v>0.91116371446473166</v>
      </c>
      <c r="AY29" s="60">
        <v>28170462.599999994</v>
      </c>
      <c r="AZ29" s="99">
        <v>0.90768696183825326</v>
      </c>
      <c r="BA29" s="60">
        <v>27663922.829999998</v>
      </c>
      <c r="BB29" s="99">
        <v>0.92004414657110267</v>
      </c>
      <c r="BC29" s="60">
        <v>32493872.419999994</v>
      </c>
      <c r="BD29" s="99">
        <v>0.90694321328418592</v>
      </c>
      <c r="BE29" s="60">
        <v>30885606.739999998</v>
      </c>
      <c r="BF29" s="99">
        <v>0.91813731722525926</v>
      </c>
      <c r="BG29" s="60">
        <v>30961355.979999993</v>
      </c>
      <c r="BH29" s="99">
        <v>0.91138335122410497</v>
      </c>
      <c r="BI29" s="60">
        <v>31474397.769999996</v>
      </c>
      <c r="BJ29" s="99">
        <v>0.90736076241681318</v>
      </c>
      <c r="BK29" s="60">
        <v>31569197.509999998</v>
      </c>
      <c r="BL29" s="99">
        <v>0.91516725180591263</v>
      </c>
      <c r="BM29" s="60">
        <v>35839522.269999996</v>
      </c>
      <c r="BN29" s="99">
        <v>0.9329637531943159</v>
      </c>
      <c r="BO29" s="60">
        <v>34832072.5</v>
      </c>
      <c r="BP29" s="99">
        <v>0.94218457929043353</v>
      </c>
      <c r="BQ29" s="60">
        <v>35582158.589999996</v>
      </c>
      <c r="BR29" s="99">
        <v>0.93618189840916033</v>
      </c>
      <c r="BS29" s="60">
        <v>33764401.880000003</v>
      </c>
      <c r="BT29" s="99">
        <v>0.94291198326720116</v>
      </c>
      <c r="BU29" s="60">
        <v>29193390.519999996</v>
      </c>
      <c r="BV29" s="99">
        <v>0.95094350901334623</v>
      </c>
      <c r="BW29" s="60">
        <v>31735384.359999999</v>
      </c>
      <c r="BX29" s="99">
        <v>0.94975347438260649</v>
      </c>
      <c r="BY29" s="60">
        <v>25926995.060000002</v>
      </c>
      <c r="BZ29" s="99">
        <v>0.93988816099456451</v>
      </c>
      <c r="CA29" s="60">
        <v>33134773.460000001</v>
      </c>
      <c r="CB29" s="99">
        <v>0.95141650909116027</v>
      </c>
      <c r="CC29" s="60">
        <v>29039447.980000004</v>
      </c>
      <c r="CD29" s="99">
        <v>0.95340630666851822</v>
      </c>
      <c r="CE29" s="60">
        <v>32328790.190000001</v>
      </c>
      <c r="CF29" s="99">
        <v>0.94691559394791658</v>
      </c>
      <c r="CG29" s="60">
        <v>32458638.16</v>
      </c>
      <c r="CH29" s="99">
        <v>0.93744392160235801</v>
      </c>
      <c r="CI29" s="60">
        <v>30022534.959999997</v>
      </c>
      <c r="CJ29" s="99">
        <v>0.94805150134632987</v>
      </c>
      <c r="CK29" s="60">
        <v>35061373.390000001</v>
      </c>
      <c r="CL29" s="99">
        <v>0.94896751385152067</v>
      </c>
      <c r="CM29" s="60">
        <v>32579631.189999998</v>
      </c>
      <c r="CN29" s="99">
        <v>0.95412089486723184</v>
      </c>
      <c r="CO29" s="60">
        <v>33412812.639999997</v>
      </c>
      <c r="CP29" s="99">
        <v>0.94516934611364278</v>
      </c>
      <c r="CQ29" s="60">
        <v>30522892.550000001</v>
      </c>
      <c r="CR29" s="99">
        <v>0.94076184139762187</v>
      </c>
      <c r="CS29" s="60">
        <v>29629422.639999993</v>
      </c>
      <c r="CT29" s="99">
        <v>0.96014970575214398</v>
      </c>
      <c r="CU29" s="60">
        <v>29566358.479999997</v>
      </c>
      <c r="CV29" s="99">
        <v>0.94185043247848377</v>
      </c>
      <c r="CW29" s="60">
        <v>26871704.950000003</v>
      </c>
      <c r="CX29" s="99">
        <v>0.94990119197612433</v>
      </c>
      <c r="CY29" s="60">
        <v>27482807.960000005</v>
      </c>
      <c r="CZ29" s="99">
        <v>0.94077705829975788</v>
      </c>
      <c r="DA29" s="60">
        <v>30812445.350000005</v>
      </c>
      <c r="DB29" s="99">
        <v>0.95386035085673249</v>
      </c>
      <c r="DC29" s="60">
        <v>30483350.800000004</v>
      </c>
      <c r="DD29" s="99">
        <v>0.95793178131391188</v>
      </c>
      <c r="DE29" s="60">
        <v>28604597.470000003</v>
      </c>
      <c r="DF29" s="99">
        <v>0.96749589057905494</v>
      </c>
      <c r="DG29" s="60">
        <v>28831952.190000001</v>
      </c>
      <c r="DH29" s="99">
        <v>0.9519445371311398</v>
      </c>
      <c r="DI29" s="60">
        <v>30483367.539999999</v>
      </c>
      <c r="DJ29" s="99">
        <v>0.9634721680556827</v>
      </c>
      <c r="DK29" s="60">
        <v>26666570.319999997</v>
      </c>
      <c r="DL29" s="99">
        <v>0.96058720531467989</v>
      </c>
      <c r="DM29" s="60">
        <v>32483860.640000004</v>
      </c>
      <c r="DN29" s="99">
        <v>0.96381476467941429</v>
      </c>
      <c r="DO29" s="60">
        <v>29587501.649999999</v>
      </c>
      <c r="DP29" s="99">
        <v>0.96701879018281722</v>
      </c>
      <c r="DQ29" s="60">
        <v>27413756.940000001</v>
      </c>
      <c r="DR29" s="99">
        <v>0.95643804134514621</v>
      </c>
      <c r="DS29" s="60">
        <v>29431678.580000002</v>
      </c>
      <c r="DT29" s="99">
        <v>0.95700430701090811</v>
      </c>
      <c r="DU29" s="60">
        <v>25901311.75</v>
      </c>
      <c r="DV29" s="99">
        <v>0.96919881261945573</v>
      </c>
      <c r="DW29" s="60">
        <v>25609261.729999997</v>
      </c>
      <c r="DX29" s="99">
        <v>0.9590285037112789</v>
      </c>
      <c r="DY29" s="60">
        <v>23887896.369999997</v>
      </c>
      <c r="DZ29" s="99">
        <v>0.96226153448062202</v>
      </c>
      <c r="EA29" s="60">
        <v>25381578.520000003</v>
      </c>
      <c r="EB29" s="99">
        <v>0.95777483814701525</v>
      </c>
      <c r="EC29" s="60">
        <v>24263731.430000003</v>
      </c>
      <c r="ED29" s="99">
        <v>0.96111733264057853</v>
      </c>
      <c r="EE29" s="60">
        <v>28042771.640000001</v>
      </c>
      <c r="EF29" s="99">
        <v>0.96941870924517282</v>
      </c>
      <c r="EG29" s="60">
        <v>26855825.100000005</v>
      </c>
      <c r="EH29" s="99">
        <v>0.95810903227571587</v>
      </c>
      <c r="EI29" s="60">
        <v>27073806.149999995</v>
      </c>
      <c r="EJ29" s="99">
        <v>0.95809114081943825</v>
      </c>
      <c r="EK29" s="60">
        <v>28024588.550000001</v>
      </c>
      <c r="EL29" s="99">
        <v>0.95836707068632321</v>
      </c>
      <c r="EM29" s="60">
        <v>20830144.059999991</v>
      </c>
      <c r="EN29" s="99">
        <v>0.95215290668714991</v>
      </c>
      <c r="EO29" s="60">
        <v>22555290.120000001</v>
      </c>
      <c r="EP29" s="99">
        <v>0.95175388879041789</v>
      </c>
      <c r="EQ29" s="60">
        <v>24830017.02</v>
      </c>
      <c r="ER29" s="99">
        <v>0.95809774944185244</v>
      </c>
      <c r="ES29" s="60">
        <f t="shared" si="2"/>
        <v>21747667.100000001</v>
      </c>
      <c r="ET29" s="99">
        <f>ES29/ES35</f>
        <v>0.94802775493038871</v>
      </c>
      <c r="EU29" s="221">
        <f>IF( SUM($EQ29:ES29)&lt;0, "n/a", SUM($EQ29:ES29)/EU$74)</f>
        <v>23288842.539048873</v>
      </c>
      <c r="EV29" s="223">
        <f>EU29/EU35</f>
        <v>0.95336945848639065</v>
      </c>
      <c r="EW29" s="112"/>
      <c r="EX29" s="171" t="s">
        <v>113</v>
      </c>
      <c r="EY29" s="172">
        <f>+EY38-EY37-EY36-EY28-EY31-EY32-EY33-EY34-EY30</f>
        <v>21747667.100000001</v>
      </c>
      <c r="EZ29" s="207"/>
      <c r="FA29" s="208"/>
    </row>
    <row r="30" spans="1:157" ht="16.5" customHeight="1" x14ac:dyDescent="0.3">
      <c r="A30" s="10"/>
      <c r="B30" s="14" t="s">
        <v>107</v>
      </c>
      <c r="C30" s="18">
        <v>0</v>
      </c>
      <c r="D30" s="92">
        <v>0</v>
      </c>
      <c r="E30" s="18">
        <v>0</v>
      </c>
      <c r="F30" s="92">
        <v>0</v>
      </c>
      <c r="G30" s="18">
        <v>0</v>
      </c>
      <c r="H30" s="92">
        <v>0</v>
      </c>
      <c r="I30" s="18">
        <v>0</v>
      </c>
      <c r="J30" s="92">
        <v>0</v>
      </c>
      <c r="K30" s="18">
        <v>0</v>
      </c>
      <c r="L30" s="92">
        <v>0</v>
      </c>
      <c r="M30" s="18">
        <v>0</v>
      </c>
      <c r="N30" s="92">
        <v>0</v>
      </c>
      <c r="O30" s="18">
        <v>0</v>
      </c>
      <c r="P30" s="92">
        <v>0</v>
      </c>
      <c r="Q30" s="18">
        <v>0</v>
      </c>
      <c r="R30" s="92">
        <v>0</v>
      </c>
      <c r="S30" s="18">
        <v>0</v>
      </c>
      <c r="T30" s="92">
        <v>0</v>
      </c>
      <c r="U30" s="18">
        <v>0</v>
      </c>
      <c r="V30" s="92">
        <v>0</v>
      </c>
      <c r="W30" s="18">
        <v>0</v>
      </c>
      <c r="X30" s="92">
        <v>0</v>
      </c>
      <c r="Y30" s="18">
        <v>0</v>
      </c>
      <c r="Z30" s="92">
        <v>0</v>
      </c>
      <c r="AA30" s="18">
        <v>0</v>
      </c>
      <c r="AB30" s="92">
        <v>0</v>
      </c>
      <c r="AC30" s="18">
        <v>0</v>
      </c>
      <c r="AD30" s="92">
        <v>0</v>
      </c>
      <c r="AE30" s="18">
        <v>0</v>
      </c>
      <c r="AF30" s="92">
        <v>0</v>
      </c>
      <c r="AG30" s="18">
        <v>0</v>
      </c>
      <c r="AH30" s="92">
        <v>0</v>
      </c>
      <c r="AI30" s="18">
        <v>0</v>
      </c>
      <c r="AJ30" s="92">
        <v>0</v>
      </c>
      <c r="AK30" s="18">
        <v>0</v>
      </c>
      <c r="AL30" s="92">
        <v>0</v>
      </c>
      <c r="AM30" s="18">
        <v>0</v>
      </c>
      <c r="AN30" s="92">
        <v>0</v>
      </c>
      <c r="AO30" s="18">
        <v>0</v>
      </c>
      <c r="AP30" s="92">
        <v>0</v>
      </c>
      <c r="AQ30" s="18">
        <v>0</v>
      </c>
      <c r="AR30" s="92">
        <v>0</v>
      </c>
      <c r="AS30" s="18">
        <v>0</v>
      </c>
      <c r="AT30" s="92">
        <v>0</v>
      </c>
      <c r="AU30" s="18">
        <v>0</v>
      </c>
      <c r="AV30" s="92">
        <v>0</v>
      </c>
      <c r="AW30" s="18">
        <v>0</v>
      </c>
      <c r="AX30" s="92">
        <v>0</v>
      </c>
      <c r="AY30" s="18">
        <v>0</v>
      </c>
      <c r="AZ30" s="92">
        <v>0</v>
      </c>
      <c r="BA30" s="18">
        <v>0</v>
      </c>
      <c r="BB30" s="92">
        <v>0</v>
      </c>
      <c r="BC30" s="18">
        <v>0</v>
      </c>
      <c r="BD30" s="92">
        <v>0</v>
      </c>
      <c r="BE30" s="18">
        <v>0</v>
      </c>
      <c r="BF30" s="92">
        <v>0</v>
      </c>
      <c r="BG30" s="18">
        <v>0</v>
      </c>
      <c r="BH30" s="92">
        <v>0</v>
      </c>
      <c r="BI30" s="18">
        <v>0</v>
      </c>
      <c r="BJ30" s="92">
        <v>0</v>
      </c>
      <c r="BK30" s="18">
        <v>0</v>
      </c>
      <c r="BL30" s="92">
        <v>0</v>
      </c>
      <c r="BM30" s="18">
        <v>0</v>
      </c>
      <c r="BN30" s="92">
        <v>0</v>
      </c>
      <c r="BO30" s="18">
        <v>0</v>
      </c>
      <c r="BP30" s="92">
        <v>0</v>
      </c>
      <c r="BQ30" s="18">
        <v>0</v>
      </c>
      <c r="BR30" s="92">
        <v>0</v>
      </c>
      <c r="BS30" s="18">
        <v>0</v>
      </c>
      <c r="BT30" s="92">
        <v>0</v>
      </c>
      <c r="BU30" s="18">
        <v>0</v>
      </c>
      <c r="BV30" s="92">
        <v>0</v>
      </c>
      <c r="BW30" s="18">
        <v>0</v>
      </c>
      <c r="BX30" s="92">
        <v>0</v>
      </c>
      <c r="BY30" s="18">
        <v>0</v>
      </c>
      <c r="BZ30" s="92">
        <v>0</v>
      </c>
      <c r="CA30" s="18">
        <v>0</v>
      </c>
      <c r="CB30" s="92">
        <v>0</v>
      </c>
      <c r="CC30" s="18">
        <v>0</v>
      </c>
      <c r="CD30" s="92">
        <v>0</v>
      </c>
      <c r="CE30" s="18">
        <v>0</v>
      </c>
      <c r="CF30" s="92">
        <v>0</v>
      </c>
      <c r="CG30" s="18">
        <v>0</v>
      </c>
      <c r="CH30" s="92">
        <v>0</v>
      </c>
      <c r="CI30" s="18">
        <v>0</v>
      </c>
      <c r="CJ30" s="92">
        <v>0</v>
      </c>
      <c r="CK30" s="18">
        <v>0</v>
      </c>
      <c r="CL30" s="92">
        <v>0</v>
      </c>
      <c r="CM30" s="18">
        <v>0</v>
      </c>
      <c r="CN30" s="92">
        <v>0</v>
      </c>
      <c r="CO30" s="18">
        <v>0</v>
      </c>
      <c r="CP30" s="92">
        <v>0</v>
      </c>
      <c r="CQ30" s="18">
        <v>0</v>
      </c>
      <c r="CR30" s="92">
        <v>0</v>
      </c>
      <c r="CS30" s="18">
        <v>0</v>
      </c>
      <c r="CT30" s="92">
        <v>0</v>
      </c>
      <c r="CU30" s="18">
        <v>0</v>
      </c>
      <c r="CV30" s="92">
        <v>0</v>
      </c>
      <c r="CW30" s="18">
        <v>0</v>
      </c>
      <c r="CX30" s="92">
        <v>0</v>
      </c>
      <c r="CY30" s="18">
        <v>0</v>
      </c>
      <c r="CZ30" s="92">
        <v>0</v>
      </c>
      <c r="DA30" s="18">
        <v>0</v>
      </c>
      <c r="DB30" s="92">
        <v>0</v>
      </c>
      <c r="DC30" s="18">
        <v>0</v>
      </c>
      <c r="DD30" s="92">
        <v>0</v>
      </c>
      <c r="DE30" s="18">
        <v>0</v>
      </c>
      <c r="DF30" s="92">
        <v>0</v>
      </c>
      <c r="DG30" s="18">
        <v>0</v>
      </c>
      <c r="DH30" s="92">
        <v>0</v>
      </c>
      <c r="DI30" s="18">
        <v>0</v>
      </c>
      <c r="DJ30" s="92">
        <v>0</v>
      </c>
      <c r="DK30" s="18">
        <v>0</v>
      </c>
      <c r="DL30" s="92">
        <v>0</v>
      </c>
      <c r="DM30" s="18">
        <v>0</v>
      </c>
      <c r="DN30" s="92">
        <v>0</v>
      </c>
      <c r="DO30" s="18">
        <v>0</v>
      </c>
      <c r="DP30" s="92">
        <v>0</v>
      </c>
      <c r="DQ30" s="18">
        <v>0</v>
      </c>
      <c r="DR30" s="92">
        <v>0</v>
      </c>
      <c r="DS30" s="18">
        <v>0</v>
      </c>
      <c r="DT30" s="92">
        <v>0</v>
      </c>
      <c r="DU30" s="18">
        <v>0</v>
      </c>
      <c r="DV30" s="92">
        <v>0</v>
      </c>
      <c r="DW30" s="18">
        <v>0</v>
      </c>
      <c r="DX30" s="92">
        <v>0</v>
      </c>
      <c r="DY30" s="18">
        <v>0</v>
      </c>
      <c r="DZ30" s="92">
        <v>0</v>
      </c>
      <c r="EA30" s="18">
        <v>0</v>
      </c>
      <c r="EB30" s="92">
        <v>0</v>
      </c>
      <c r="EC30" s="18">
        <v>0</v>
      </c>
      <c r="ED30" s="92">
        <v>0</v>
      </c>
      <c r="EE30" s="18">
        <v>0</v>
      </c>
      <c r="EF30" s="92">
        <v>0</v>
      </c>
      <c r="EG30" s="18">
        <v>0</v>
      </c>
      <c r="EH30" s="92">
        <v>0</v>
      </c>
      <c r="EI30" s="18">
        <v>0</v>
      </c>
      <c r="EJ30" s="92">
        <v>0</v>
      </c>
      <c r="EK30" s="18">
        <v>0</v>
      </c>
      <c r="EL30" s="92">
        <v>0</v>
      </c>
      <c r="EM30" s="18">
        <v>0</v>
      </c>
      <c r="EN30" s="92">
        <v>0</v>
      </c>
      <c r="EO30" s="18">
        <v>0</v>
      </c>
      <c r="EP30" s="92">
        <v>0</v>
      </c>
      <c r="EQ30" s="18">
        <v>0</v>
      </c>
      <c r="ER30" s="92">
        <v>0</v>
      </c>
      <c r="ES30" s="18">
        <f t="shared" si="2"/>
        <v>0</v>
      </c>
      <c r="ET30" s="92">
        <f>ES30/ES35</f>
        <v>0</v>
      </c>
      <c r="EU30" s="221">
        <f>IF( SUM($EQ30:ES30)&lt;0, "n/a", SUM($EQ30:ES30)/EU$74)</f>
        <v>0</v>
      </c>
      <c r="EV30" s="224">
        <f>EU30/EU35</f>
        <v>0</v>
      </c>
      <c r="EW30" s="22"/>
      <c r="EX30" s="154" t="s">
        <v>139</v>
      </c>
      <c r="EY30" s="34">
        <f>IF(ISERROR(VLOOKUP(EX30,IQSH01E!$A$1:$M$400,2,0)),0,VLOOKUP(EX30,IQSH01E!$A$1:$M$400,2,0))</f>
        <v>0</v>
      </c>
      <c r="EZ30" s="206"/>
      <c r="FA30" s="187" t="s">
        <v>117</v>
      </c>
    </row>
    <row r="31" spans="1:157" ht="16.5" customHeight="1" x14ac:dyDescent="0.3">
      <c r="A31" s="11"/>
      <c r="B31" s="14" t="s">
        <v>80</v>
      </c>
      <c r="C31" s="18">
        <v>3538572.6</v>
      </c>
      <c r="D31" s="92">
        <v>0.10025441379317809</v>
      </c>
      <c r="E31" s="18">
        <v>2829419.05</v>
      </c>
      <c r="F31" s="92">
        <v>8.5484915775153436E-2</v>
      </c>
      <c r="G31" s="18">
        <v>3268058.38</v>
      </c>
      <c r="H31" s="92">
        <v>7.8618352668915148E-2</v>
      </c>
      <c r="I31" s="18">
        <v>1865299.32</v>
      </c>
      <c r="J31" s="92">
        <v>6.60471166088758E-2</v>
      </c>
      <c r="K31" s="18">
        <v>2156594.0299999998</v>
      </c>
      <c r="L31" s="92">
        <v>7.5024098166402153E-2</v>
      </c>
      <c r="M31" s="18">
        <v>2660686.27</v>
      </c>
      <c r="N31" s="92">
        <v>7.6263163540104373E-2</v>
      </c>
      <c r="O31" s="18">
        <v>3159630.88</v>
      </c>
      <c r="P31" s="92">
        <v>9.392310006833636E-2</v>
      </c>
      <c r="Q31" s="18">
        <v>2697848.31</v>
      </c>
      <c r="R31" s="92">
        <v>8.415552846408289E-2</v>
      </c>
      <c r="S31" s="18">
        <v>2664319.44</v>
      </c>
      <c r="T31" s="92">
        <v>7.9814395471508925E-2</v>
      </c>
      <c r="U31" s="18">
        <v>2620936.04</v>
      </c>
      <c r="V31" s="92">
        <v>7.4298979982609994E-2</v>
      </c>
      <c r="W31" s="18">
        <v>2629621.3199999998</v>
      </c>
      <c r="X31" s="92">
        <v>7.7376401568093389E-2</v>
      </c>
      <c r="Y31" s="18">
        <v>2755156.96</v>
      </c>
      <c r="Z31" s="92">
        <v>8.2470125501119429E-2</v>
      </c>
      <c r="AA31" s="18">
        <v>2646746.35</v>
      </c>
      <c r="AB31" s="92">
        <v>8.3897623834289475E-2</v>
      </c>
      <c r="AC31" s="18">
        <v>2296516.4900000002</v>
      </c>
      <c r="AD31" s="92">
        <v>8.1423893829518867E-2</v>
      </c>
      <c r="AE31" s="18">
        <v>3125276.89</v>
      </c>
      <c r="AF31" s="92">
        <v>8.3223981406728736E-2</v>
      </c>
      <c r="AG31" s="18">
        <v>2451736.4</v>
      </c>
      <c r="AH31" s="92">
        <v>6.7941088477060402E-2</v>
      </c>
      <c r="AI31" s="18">
        <v>1977084.55</v>
      </c>
      <c r="AJ31" s="92">
        <v>6.1895196210540286E-2</v>
      </c>
      <c r="AK31" s="18">
        <v>2799340.39</v>
      </c>
      <c r="AL31" s="92">
        <v>8.1079932355489992E-2</v>
      </c>
      <c r="AM31" s="18">
        <v>3241865.54</v>
      </c>
      <c r="AN31" s="92">
        <v>9.3115706994985878E-2</v>
      </c>
      <c r="AO31" s="18">
        <v>2597839.37</v>
      </c>
      <c r="AP31" s="92">
        <v>7.471146693599523E-2</v>
      </c>
      <c r="AQ31" s="18">
        <v>2632539.54</v>
      </c>
      <c r="AR31" s="92">
        <v>7.3999304120152806E-2</v>
      </c>
      <c r="AS31" s="18">
        <v>2892670.59</v>
      </c>
      <c r="AT31" s="92">
        <v>8.1227701069436498E-2</v>
      </c>
      <c r="AU31" s="18">
        <v>2744859.25</v>
      </c>
      <c r="AV31" s="92">
        <v>7.7814451947960064E-2</v>
      </c>
      <c r="AW31" s="18">
        <v>2898940.83</v>
      </c>
      <c r="AX31" s="92">
        <v>8.8821079325740557E-2</v>
      </c>
      <c r="AY31" s="18">
        <v>2864071.92</v>
      </c>
      <c r="AZ31" s="92">
        <v>9.2283920802601699E-2</v>
      </c>
      <c r="BA31" s="18">
        <v>2403068.36</v>
      </c>
      <c r="BB31" s="92">
        <v>7.9921021758728616E-2</v>
      </c>
      <c r="BC31" s="18">
        <v>3333273.96</v>
      </c>
      <c r="BD31" s="92">
        <v>9.3035700915049743E-2</v>
      </c>
      <c r="BE31" s="18">
        <v>2753299.64</v>
      </c>
      <c r="BF31" s="92">
        <v>8.1847417350975199E-2</v>
      </c>
      <c r="BG31" s="18">
        <v>3010105.15</v>
      </c>
      <c r="BH31" s="92">
        <v>8.8605929304777745E-2</v>
      </c>
      <c r="BI31" s="18">
        <v>3213226.48</v>
      </c>
      <c r="BJ31" s="92">
        <v>9.2632610479672833E-2</v>
      </c>
      <c r="BK31" s="18">
        <v>2925956.31</v>
      </c>
      <c r="BL31" s="92">
        <v>8.4821269032215874E-2</v>
      </c>
      <c r="BM31" s="18">
        <v>2574769.85</v>
      </c>
      <c r="BN31" s="92">
        <v>6.7025640709455978E-2</v>
      </c>
      <c r="BO31" s="18">
        <v>2137112.36</v>
      </c>
      <c r="BP31" s="92">
        <v>5.7807479293774014E-2</v>
      </c>
      <c r="BQ31" s="18">
        <v>2425551.02</v>
      </c>
      <c r="BR31" s="92">
        <v>6.3817290703382129E-2</v>
      </c>
      <c r="BS31" s="18">
        <v>2044175.76</v>
      </c>
      <c r="BT31" s="92">
        <v>5.7086094012820644E-2</v>
      </c>
      <c r="BU31" s="18">
        <v>1505814.67</v>
      </c>
      <c r="BV31" s="92">
        <v>4.9050304219805101E-2</v>
      </c>
      <c r="BW31" s="18">
        <v>1678094.82</v>
      </c>
      <c r="BX31" s="92">
        <v>5.0220799835255403E-2</v>
      </c>
      <c r="BY31" s="18">
        <v>1657629.85</v>
      </c>
      <c r="BZ31" s="92">
        <v>6.0091293561815327E-2</v>
      </c>
      <c r="CA31" s="18">
        <v>1690532.72</v>
      </c>
      <c r="CB31" s="92">
        <v>4.8541172038143877E-2</v>
      </c>
      <c r="CC31" s="18">
        <v>1418804.98</v>
      </c>
      <c r="CD31" s="92">
        <v>4.6581381877380326E-2</v>
      </c>
      <c r="CE31" s="18">
        <v>1811286.53</v>
      </c>
      <c r="CF31" s="92">
        <v>5.3052881047659484E-2</v>
      </c>
      <c r="CG31" s="18">
        <v>2164039.86</v>
      </c>
      <c r="CH31" s="92">
        <v>6.2500034747675251E-2</v>
      </c>
      <c r="CI31" s="18">
        <v>1644032.78</v>
      </c>
      <c r="CJ31" s="92">
        <v>5.1915261233543106E-2</v>
      </c>
      <c r="CK31" s="18">
        <v>1884824.93</v>
      </c>
      <c r="CL31" s="92">
        <v>5.1014477042066221E-2</v>
      </c>
      <c r="CM31" s="18">
        <v>1565970.41</v>
      </c>
      <c r="CN31" s="92">
        <v>4.586071217968278E-2</v>
      </c>
      <c r="CO31" s="18">
        <v>1937893.1</v>
      </c>
      <c r="CP31" s="92">
        <v>5.4818406756107808E-2</v>
      </c>
      <c r="CQ31" s="18">
        <v>1921623.02</v>
      </c>
      <c r="CR31" s="92">
        <v>5.922733593501639E-2</v>
      </c>
      <c r="CS31" s="18">
        <v>1229308.44</v>
      </c>
      <c r="CT31" s="92">
        <v>3.9836082912772797E-2</v>
      </c>
      <c r="CU31" s="18">
        <v>1824030.26</v>
      </c>
      <c r="CV31" s="92">
        <v>5.8105352757491201E-2</v>
      </c>
      <c r="CW31" s="18">
        <v>1416695.47</v>
      </c>
      <c r="CX31" s="92">
        <v>5.0079469022309864E-2</v>
      </c>
      <c r="CY31" s="18">
        <v>1691746.27</v>
      </c>
      <c r="CZ31" s="92">
        <v>5.7910970436377038E-2</v>
      </c>
      <c r="DA31" s="18">
        <v>1489397.87</v>
      </c>
      <c r="DB31" s="92">
        <v>4.6107264733646659E-2</v>
      </c>
      <c r="DC31" s="18">
        <v>1338028.1499999999</v>
      </c>
      <c r="DD31" s="92">
        <v>4.2047204639250414E-2</v>
      </c>
      <c r="DE31" s="18">
        <v>960791.66</v>
      </c>
      <c r="DF31" s="92">
        <v>3.249694332274862E-2</v>
      </c>
      <c r="DG31" s="18">
        <v>1455476.4</v>
      </c>
      <c r="DH31" s="92">
        <v>4.8055462868860199E-2</v>
      </c>
      <c r="DI31" s="18">
        <v>1154870.53</v>
      </c>
      <c r="DJ31" s="92">
        <v>3.6501400703273984E-2</v>
      </c>
      <c r="DK31" s="18">
        <v>993283.41</v>
      </c>
      <c r="DL31" s="92">
        <v>3.5780204332528334E-2</v>
      </c>
      <c r="DM31" s="18">
        <v>1218811.8400000001</v>
      </c>
      <c r="DN31" s="92">
        <v>3.6162845906054959E-2</v>
      </c>
      <c r="DO31" s="18">
        <v>1007922</v>
      </c>
      <c r="DP31" s="92">
        <v>3.2942271522903167E-2</v>
      </c>
      <c r="DQ31" s="18">
        <v>1247931.3500000001</v>
      </c>
      <c r="DR31" s="92">
        <v>4.3539052992245732E-2</v>
      </c>
      <c r="DS31" s="18">
        <v>1321790.75</v>
      </c>
      <c r="DT31" s="92">
        <v>4.2979520766334024E-2</v>
      </c>
      <c r="DU31" s="18">
        <v>785105.13</v>
      </c>
      <c r="DV31" s="92">
        <v>2.937777696828206E-2</v>
      </c>
      <c r="DW31" s="18">
        <v>1060490.58</v>
      </c>
      <c r="DX31" s="92">
        <v>3.971378421057304E-2</v>
      </c>
      <c r="DY31" s="18">
        <v>936213.5</v>
      </c>
      <c r="DZ31" s="92">
        <v>3.7712916414141075E-2</v>
      </c>
      <c r="EA31" s="18">
        <v>1117992.83</v>
      </c>
      <c r="EB31" s="92">
        <v>4.2187502284738651E-2</v>
      </c>
      <c r="EC31" s="18">
        <v>980623.69</v>
      </c>
      <c r="ED31" s="92">
        <v>3.8843754431424703E-2</v>
      </c>
      <c r="EE31" s="18">
        <v>880504.13</v>
      </c>
      <c r="EF31" s="92">
        <v>3.0438402742334773E-2</v>
      </c>
      <c r="EG31" s="18">
        <v>1172880.1399999999</v>
      </c>
      <c r="EH31" s="92">
        <v>4.1843698777692957E-2</v>
      </c>
      <c r="EI31" s="18">
        <v>1184056</v>
      </c>
      <c r="EJ31" s="92">
        <v>4.1901517560880557E-2</v>
      </c>
      <c r="EK31" s="18">
        <v>1215019.8700000001</v>
      </c>
      <c r="EL31" s="92">
        <v>4.1550477415932562E-2</v>
      </c>
      <c r="EM31" s="18">
        <v>1046259.89</v>
      </c>
      <c r="EN31" s="92">
        <v>4.7824892259227043E-2</v>
      </c>
      <c r="EO31" s="18">
        <v>1142630.8600000001</v>
      </c>
      <c r="EP31" s="92">
        <v>4.8215002275348237E-2</v>
      </c>
      <c r="EQ31" s="18">
        <v>1084608.68</v>
      </c>
      <c r="ER31" s="92">
        <v>4.1851003746637715E-2</v>
      </c>
      <c r="ES31" s="18">
        <f t="shared" si="2"/>
        <v>1191397.3500000001</v>
      </c>
      <c r="ET31" s="92">
        <f>ES31/ES35</f>
        <v>5.1935582320483224E-2</v>
      </c>
      <c r="EU31" s="221">
        <f>IF( SUM($EQ31:ES31)&lt;0, "n/a", SUM($EQ31:ES31)/EU$74)</f>
        <v>1138003.035925502</v>
      </c>
      <c r="EV31" s="224">
        <f>EU31/EU35</f>
        <v>4.6586142540017951E-2</v>
      </c>
      <c r="EW31" s="22"/>
      <c r="EX31" s="96" t="s">
        <v>38</v>
      </c>
      <c r="EY31" s="35">
        <f>IF(ISERROR(VLOOKUP(EX31,IQSH01E!$A$1:$M$400,2,0)),0,VLOOKUP(EX31,IQSH01E!$A$1:$M$400,2,0))</f>
        <v>1191397.3500000001</v>
      </c>
      <c r="EZ31" s="204"/>
      <c r="FA31" s="182" t="s">
        <v>118</v>
      </c>
    </row>
    <row r="32" spans="1:157" ht="16.5" customHeight="1" x14ac:dyDescent="0.3">
      <c r="A32" s="11"/>
      <c r="B32" s="14" t="s">
        <v>81</v>
      </c>
      <c r="C32" s="18">
        <v>0</v>
      </c>
      <c r="D32" s="92">
        <v>0</v>
      </c>
      <c r="E32" s="18">
        <v>0</v>
      </c>
      <c r="F32" s="92">
        <v>0</v>
      </c>
      <c r="G32" s="18">
        <v>0</v>
      </c>
      <c r="H32" s="92">
        <v>0</v>
      </c>
      <c r="I32" s="18">
        <v>0</v>
      </c>
      <c r="J32" s="92">
        <v>0</v>
      </c>
      <c r="K32" s="18">
        <v>0</v>
      </c>
      <c r="L32" s="92">
        <v>0</v>
      </c>
      <c r="M32" s="18">
        <v>0</v>
      </c>
      <c r="N32" s="92">
        <v>0</v>
      </c>
      <c r="O32" s="18">
        <v>0</v>
      </c>
      <c r="P32" s="92">
        <v>0</v>
      </c>
      <c r="Q32" s="18">
        <v>0</v>
      </c>
      <c r="R32" s="92">
        <v>0</v>
      </c>
      <c r="S32" s="18">
        <v>0</v>
      </c>
      <c r="T32" s="92">
        <v>0</v>
      </c>
      <c r="U32" s="18">
        <v>0</v>
      </c>
      <c r="V32" s="92">
        <v>0</v>
      </c>
      <c r="W32" s="18">
        <v>0</v>
      </c>
      <c r="X32" s="92">
        <v>0</v>
      </c>
      <c r="Y32" s="18">
        <v>0</v>
      </c>
      <c r="Z32" s="92">
        <v>0</v>
      </c>
      <c r="AA32" s="18">
        <v>0</v>
      </c>
      <c r="AB32" s="92">
        <v>0</v>
      </c>
      <c r="AC32" s="18">
        <v>0</v>
      </c>
      <c r="AD32" s="92">
        <v>0</v>
      </c>
      <c r="AE32" s="18">
        <v>0</v>
      </c>
      <c r="AF32" s="92">
        <v>0</v>
      </c>
      <c r="AG32" s="18">
        <v>0</v>
      </c>
      <c r="AH32" s="92">
        <v>0</v>
      </c>
      <c r="AI32" s="18">
        <v>0</v>
      </c>
      <c r="AJ32" s="92">
        <v>0</v>
      </c>
      <c r="AK32" s="18">
        <v>0</v>
      </c>
      <c r="AL32" s="92">
        <v>0</v>
      </c>
      <c r="AM32" s="18">
        <v>0</v>
      </c>
      <c r="AN32" s="92">
        <v>0</v>
      </c>
      <c r="AO32" s="18">
        <v>0</v>
      </c>
      <c r="AP32" s="92">
        <v>0</v>
      </c>
      <c r="AQ32" s="18">
        <v>0</v>
      </c>
      <c r="AR32" s="92">
        <v>0</v>
      </c>
      <c r="AS32" s="18">
        <v>0</v>
      </c>
      <c r="AT32" s="92">
        <v>0</v>
      </c>
      <c r="AU32" s="18">
        <v>0</v>
      </c>
      <c r="AV32" s="92">
        <v>0</v>
      </c>
      <c r="AW32" s="18">
        <v>0</v>
      </c>
      <c r="AX32" s="92">
        <v>0</v>
      </c>
      <c r="AY32" s="18">
        <v>0</v>
      </c>
      <c r="AZ32" s="92">
        <v>0</v>
      </c>
      <c r="BA32" s="18">
        <v>0</v>
      </c>
      <c r="BB32" s="92">
        <v>0</v>
      </c>
      <c r="BC32" s="18">
        <v>0</v>
      </c>
      <c r="BD32" s="92">
        <v>0</v>
      </c>
      <c r="BE32" s="18">
        <v>0</v>
      </c>
      <c r="BF32" s="92">
        <v>0</v>
      </c>
      <c r="BG32" s="18">
        <v>0</v>
      </c>
      <c r="BH32" s="92">
        <v>0</v>
      </c>
      <c r="BI32" s="18">
        <v>0</v>
      </c>
      <c r="BJ32" s="92">
        <v>0</v>
      </c>
      <c r="BK32" s="18">
        <v>0</v>
      </c>
      <c r="BL32" s="92">
        <v>0</v>
      </c>
      <c r="BM32" s="18">
        <v>0</v>
      </c>
      <c r="BN32" s="92">
        <v>0</v>
      </c>
      <c r="BO32" s="18">
        <v>0</v>
      </c>
      <c r="BP32" s="92">
        <v>0</v>
      </c>
      <c r="BQ32" s="18">
        <v>0</v>
      </c>
      <c r="BR32" s="92">
        <v>0</v>
      </c>
      <c r="BS32" s="18">
        <v>0</v>
      </c>
      <c r="BT32" s="92">
        <v>0</v>
      </c>
      <c r="BU32" s="18">
        <v>0</v>
      </c>
      <c r="BV32" s="92">
        <v>0</v>
      </c>
      <c r="BW32" s="18">
        <v>0</v>
      </c>
      <c r="BX32" s="92">
        <v>0</v>
      </c>
      <c r="BY32" s="18">
        <v>0</v>
      </c>
      <c r="BZ32" s="92">
        <v>0</v>
      </c>
      <c r="CA32" s="18">
        <v>0</v>
      </c>
      <c r="CB32" s="92">
        <v>0</v>
      </c>
      <c r="CC32" s="18">
        <v>0</v>
      </c>
      <c r="CD32" s="92">
        <v>0</v>
      </c>
      <c r="CE32" s="18">
        <v>0</v>
      </c>
      <c r="CF32" s="92">
        <v>0</v>
      </c>
      <c r="CG32" s="18">
        <v>0</v>
      </c>
      <c r="CH32" s="92">
        <v>0</v>
      </c>
      <c r="CI32" s="18">
        <v>0</v>
      </c>
      <c r="CJ32" s="92">
        <v>0</v>
      </c>
      <c r="CK32" s="18">
        <v>0</v>
      </c>
      <c r="CL32" s="92">
        <v>0</v>
      </c>
      <c r="CM32" s="18">
        <v>0</v>
      </c>
      <c r="CN32" s="92">
        <v>0</v>
      </c>
      <c r="CO32" s="18">
        <v>0</v>
      </c>
      <c r="CP32" s="92">
        <v>0</v>
      </c>
      <c r="CQ32" s="18">
        <v>0</v>
      </c>
      <c r="CR32" s="92">
        <v>0</v>
      </c>
      <c r="CS32" s="18">
        <v>0</v>
      </c>
      <c r="CT32" s="92">
        <v>0</v>
      </c>
      <c r="CU32" s="18">
        <v>0</v>
      </c>
      <c r="CV32" s="92">
        <v>0</v>
      </c>
      <c r="CW32" s="18">
        <v>0</v>
      </c>
      <c r="CX32" s="92">
        <v>0</v>
      </c>
      <c r="CY32" s="18">
        <v>0</v>
      </c>
      <c r="CZ32" s="92">
        <v>0</v>
      </c>
      <c r="DA32" s="18">
        <v>0</v>
      </c>
      <c r="DB32" s="92">
        <v>0</v>
      </c>
      <c r="DC32" s="18">
        <v>0</v>
      </c>
      <c r="DD32" s="92">
        <v>0</v>
      </c>
      <c r="DE32" s="18">
        <v>0</v>
      </c>
      <c r="DF32" s="92">
        <v>0</v>
      </c>
      <c r="DG32" s="18">
        <v>0</v>
      </c>
      <c r="DH32" s="92">
        <v>0</v>
      </c>
      <c r="DI32" s="18">
        <v>0</v>
      </c>
      <c r="DJ32" s="92">
        <v>0</v>
      </c>
      <c r="DK32" s="18">
        <v>0</v>
      </c>
      <c r="DL32" s="92">
        <v>0</v>
      </c>
      <c r="DM32" s="18">
        <v>0</v>
      </c>
      <c r="DN32" s="92">
        <v>0</v>
      </c>
      <c r="DO32" s="18">
        <v>0</v>
      </c>
      <c r="DP32" s="92">
        <v>0</v>
      </c>
      <c r="DQ32" s="18">
        <v>0</v>
      </c>
      <c r="DR32" s="92">
        <v>0</v>
      </c>
      <c r="DS32" s="18">
        <v>0</v>
      </c>
      <c r="DT32" s="92">
        <v>0</v>
      </c>
      <c r="DU32" s="18">
        <v>0</v>
      </c>
      <c r="DV32" s="92">
        <v>0</v>
      </c>
      <c r="DW32" s="18">
        <v>0</v>
      </c>
      <c r="DX32" s="92">
        <v>0</v>
      </c>
      <c r="DY32" s="18">
        <v>0</v>
      </c>
      <c r="DZ32" s="92">
        <v>0</v>
      </c>
      <c r="EA32" s="18">
        <v>0</v>
      </c>
      <c r="EB32" s="92">
        <v>0</v>
      </c>
      <c r="EC32" s="18">
        <v>0</v>
      </c>
      <c r="ED32" s="92">
        <v>0</v>
      </c>
      <c r="EE32" s="18">
        <v>0</v>
      </c>
      <c r="EF32" s="92">
        <v>0</v>
      </c>
      <c r="EG32" s="18">
        <v>0</v>
      </c>
      <c r="EH32" s="92">
        <v>0</v>
      </c>
      <c r="EI32" s="18">
        <v>0</v>
      </c>
      <c r="EJ32" s="92">
        <v>0</v>
      </c>
      <c r="EK32" s="18">
        <v>0</v>
      </c>
      <c r="EL32" s="92">
        <v>0</v>
      </c>
      <c r="EM32" s="18">
        <v>0</v>
      </c>
      <c r="EN32" s="92">
        <v>0</v>
      </c>
      <c r="EO32" s="18">
        <v>0</v>
      </c>
      <c r="EP32" s="92">
        <v>0</v>
      </c>
      <c r="EQ32" s="18">
        <v>0</v>
      </c>
      <c r="ER32" s="92">
        <v>0</v>
      </c>
      <c r="ES32" s="18">
        <f t="shared" si="2"/>
        <v>0</v>
      </c>
      <c r="ET32" s="92">
        <f>ES32/ES35</f>
        <v>0</v>
      </c>
      <c r="EU32" s="221">
        <f>IF( SUM($EQ32:ES32)&lt;0, "n/a", SUM($EQ32:ES32)/EU$74)</f>
        <v>0</v>
      </c>
      <c r="EV32" s="224">
        <f>EU32/EU35</f>
        <v>0</v>
      </c>
      <c r="EW32" s="22"/>
      <c r="EX32" s="96" t="s">
        <v>141</v>
      </c>
      <c r="EY32" s="35">
        <f>IF(ISERROR(VLOOKUP(EX32,IQSH01E!$A$1:$M$400,2,0)),0,VLOOKUP(EX32,IQSH01E!$A$1:$M$400,2,0))</f>
        <v>0</v>
      </c>
      <c r="EZ32" s="204"/>
      <c r="FA32" s="182" t="s">
        <v>123</v>
      </c>
    </row>
    <row r="33" spans="1:157" ht="16.5" customHeight="1" x14ac:dyDescent="0.3">
      <c r="A33" s="11" t="s">
        <v>98</v>
      </c>
      <c r="B33" s="14" t="s">
        <v>82</v>
      </c>
      <c r="C33" s="18">
        <v>4989.76</v>
      </c>
      <c r="D33" s="92">
        <v>1.4136928087010234E-4</v>
      </c>
      <c r="E33" s="18">
        <v>1310.1500000000001</v>
      </c>
      <c r="F33" s="92">
        <v>3.9583412857426432E-5</v>
      </c>
      <c r="G33" s="18">
        <v>1896.05</v>
      </c>
      <c r="H33" s="92">
        <v>4.5612504504248344E-5</v>
      </c>
      <c r="I33" s="18">
        <v>3010.19</v>
      </c>
      <c r="J33" s="92">
        <v>1.0658577302482039E-4</v>
      </c>
      <c r="K33" s="18">
        <v>2715.17</v>
      </c>
      <c r="L33" s="92">
        <v>9.4455969823152195E-5</v>
      </c>
      <c r="M33" s="18">
        <v>2456.0300000000002</v>
      </c>
      <c r="N33" s="92">
        <v>7.0397107566313167E-5</v>
      </c>
      <c r="O33" s="18">
        <v>2847.3</v>
      </c>
      <c r="P33" s="92">
        <v>8.4638760975957458E-5</v>
      </c>
      <c r="Q33" s="18">
        <v>2672.16</v>
      </c>
      <c r="R33" s="92">
        <v>8.3354218288345396E-5</v>
      </c>
      <c r="S33" s="18">
        <v>3169.91</v>
      </c>
      <c r="T33" s="92">
        <v>9.4960253845946811E-5</v>
      </c>
      <c r="U33" s="18">
        <v>45257.37</v>
      </c>
      <c r="V33" s="92">
        <v>1.2829677551748169E-3</v>
      </c>
      <c r="W33" s="18">
        <v>1074.3900000000001</v>
      </c>
      <c r="X33" s="92">
        <v>3.1613841676923989E-5</v>
      </c>
      <c r="Y33" s="18">
        <v>2005.08</v>
      </c>
      <c r="Z33" s="92">
        <v>6.0018068531305936E-5</v>
      </c>
      <c r="AA33" s="18">
        <v>994.4</v>
      </c>
      <c r="AB33" s="92">
        <v>3.1520888709572584E-5</v>
      </c>
      <c r="AC33" s="18">
        <v>438.72</v>
      </c>
      <c r="AD33" s="92">
        <v>1.555498985373561E-5</v>
      </c>
      <c r="AE33" s="18">
        <v>2471.9899999999998</v>
      </c>
      <c r="AF33" s="92">
        <v>6.5827399311687657E-5</v>
      </c>
      <c r="AG33" s="18">
        <v>365.68</v>
      </c>
      <c r="AH33" s="92">
        <v>1.0133510778031215E-5</v>
      </c>
      <c r="AI33" s="18">
        <v>1278</v>
      </c>
      <c r="AJ33" s="92">
        <v>4.0009447626845539E-5</v>
      </c>
      <c r="AK33" s="18">
        <v>899.57</v>
      </c>
      <c r="AL33" s="92">
        <v>2.6055093196089718E-5</v>
      </c>
      <c r="AM33" s="18">
        <v>1591.48</v>
      </c>
      <c r="AN33" s="92">
        <v>4.5711885190765851E-5</v>
      </c>
      <c r="AO33" s="18">
        <v>475.05</v>
      </c>
      <c r="AP33" s="92">
        <v>1.366200034451881E-5</v>
      </c>
      <c r="AQ33" s="18">
        <v>423.27</v>
      </c>
      <c r="AR33" s="92">
        <v>1.1897897440483298E-5</v>
      </c>
      <c r="AS33" s="18">
        <v>1100.3900000000001</v>
      </c>
      <c r="AT33" s="92">
        <v>3.0899525956668731E-5</v>
      </c>
      <c r="AU33" s="18">
        <v>350.41</v>
      </c>
      <c r="AV33" s="92">
        <v>9.9338288865211163E-6</v>
      </c>
      <c r="AW33" s="18">
        <v>496.3</v>
      </c>
      <c r="AX33" s="92">
        <v>1.5206209527693271E-5</v>
      </c>
      <c r="AY33" s="18">
        <v>903.67</v>
      </c>
      <c r="AZ33" s="92">
        <v>2.911735914497813E-5</v>
      </c>
      <c r="BA33" s="18">
        <v>1047.32</v>
      </c>
      <c r="BB33" s="92">
        <v>3.4831670168697012E-5</v>
      </c>
      <c r="BC33" s="18">
        <v>755.46</v>
      </c>
      <c r="BD33" s="92">
        <v>2.1085800764268257E-5</v>
      </c>
      <c r="BE33" s="18">
        <v>513.52</v>
      </c>
      <c r="BF33" s="92">
        <v>1.5265423765526945E-5</v>
      </c>
      <c r="BG33" s="18">
        <v>364.16</v>
      </c>
      <c r="BH33" s="92">
        <v>1.0719471117355441E-5</v>
      </c>
      <c r="BI33" s="18">
        <v>229.88</v>
      </c>
      <c r="BJ33" s="92">
        <v>6.6271035140564356E-6</v>
      </c>
      <c r="BK33" s="18">
        <v>395.98</v>
      </c>
      <c r="BL33" s="92">
        <v>1.1479161871482914E-5</v>
      </c>
      <c r="BM33" s="18">
        <v>407.43</v>
      </c>
      <c r="BN33" s="92">
        <v>1.0606096228077881E-5</v>
      </c>
      <c r="BO33" s="18">
        <v>293.58999999999997</v>
      </c>
      <c r="BP33" s="92">
        <v>7.941415792410238E-6</v>
      </c>
      <c r="BQ33" s="18">
        <v>30.82</v>
      </c>
      <c r="BR33" s="92">
        <v>8.1088745743152302E-7</v>
      </c>
      <c r="BS33" s="18">
        <v>68.849999999999994</v>
      </c>
      <c r="BT33" s="92">
        <v>1.9227199782384178E-6</v>
      </c>
      <c r="BU33" s="18">
        <v>189.93</v>
      </c>
      <c r="BV33" s="92">
        <v>6.1867668485840849E-6</v>
      </c>
      <c r="BW33" s="18">
        <v>859.61</v>
      </c>
      <c r="BX33" s="92">
        <v>2.5725782138093897E-5</v>
      </c>
      <c r="BY33" s="18">
        <v>566.75</v>
      </c>
      <c r="BZ33" s="92">
        <v>2.0545443620093372E-5</v>
      </c>
      <c r="CA33" s="18">
        <v>1473.83</v>
      </c>
      <c r="CB33" s="92">
        <v>4.2318870695964754E-5</v>
      </c>
      <c r="CC33" s="18">
        <v>374.99</v>
      </c>
      <c r="CD33" s="92">
        <v>1.2311454101464211E-5</v>
      </c>
      <c r="CE33" s="18">
        <v>1076.3</v>
      </c>
      <c r="CF33" s="92">
        <v>3.1525004424118306E-5</v>
      </c>
      <c r="CG33" s="18">
        <v>1940.49</v>
      </c>
      <c r="CH33" s="92">
        <v>5.604364996655669E-5</v>
      </c>
      <c r="CI33" s="18">
        <v>1052.55</v>
      </c>
      <c r="CJ33" s="92">
        <v>3.3237420126967172E-5</v>
      </c>
      <c r="CK33" s="18">
        <v>665.38</v>
      </c>
      <c r="CL33" s="92">
        <v>1.8009106413002518E-5</v>
      </c>
      <c r="CM33" s="18">
        <v>628.04999999999995</v>
      </c>
      <c r="CN33" s="92">
        <v>1.8392953085524632E-5</v>
      </c>
      <c r="CO33" s="18">
        <v>432.95</v>
      </c>
      <c r="CP33" s="92">
        <v>1.2247130249370761E-5</v>
      </c>
      <c r="CQ33" s="18">
        <v>351.14</v>
      </c>
      <c r="CR33" s="92">
        <v>1.0822667361791728E-5</v>
      </c>
      <c r="CS33" s="18">
        <v>438.55</v>
      </c>
      <c r="CT33" s="92">
        <v>1.4211335083159853E-5</v>
      </c>
      <c r="CU33" s="18">
        <v>1387.98</v>
      </c>
      <c r="CV33" s="92">
        <v>4.421476402499081E-5</v>
      </c>
      <c r="CW33" s="18">
        <v>547.08000000000004</v>
      </c>
      <c r="CX33" s="92">
        <v>1.9339001565894243E-5</v>
      </c>
      <c r="CY33" s="18">
        <v>38326.46</v>
      </c>
      <c r="CZ33" s="92">
        <v>1.3119712638651109E-3</v>
      </c>
      <c r="DA33" s="18">
        <v>1046.1099999999999</v>
      </c>
      <c r="DB33" s="92">
        <v>3.238440962085913E-5</v>
      </c>
      <c r="DC33" s="18">
        <v>668.71</v>
      </c>
      <c r="DD33" s="92">
        <v>2.1014046837738914E-5</v>
      </c>
      <c r="DE33" s="18">
        <v>211.87</v>
      </c>
      <c r="DF33" s="92">
        <v>7.1660981963464895E-6</v>
      </c>
      <c r="DG33" s="18">
        <v>0</v>
      </c>
      <c r="DH33" s="92">
        <v>0</v>
      </c>
      <c r="DI33" s="18">
        <v>836.26</v>
      </c>
      <c r="DJ33" s="92">
        <v>2.6431241043201531E-5</v>
      </c>
      <c r="DK33" s="18">
        <v>100843.24</v>
      </c>
      <c r="DL33" s="92">
        <v>3.6325903527918528E-3</v>
      </c>
      <c r="DM33" s="18">
        <v>754.6</v>
      </c>
      <c r="DN33" s="92">
        <v>2.2389414530719584E-5</v>
      </c>
      <c r="DO33" s="18">
        <v>1191.3800000000001</v>
      </c>
      <c r="DP33" s="92">
        <v>3.8938294279672813E-5</v>
      </c>
      <c r="DQ33" s="18">
        <v>656.53</v>
      </c>
      <c r="DR33" s="92">
        <v>2.2905662607962437E-5</v>
      </c>
      <c r="DS33" s="18">
        <v>497.36</v>
      </c>
      <c r="DT33" s="92">
        <v>1.6172222757909216E-5</v>
      </c>
      <c r="DU33" s="18">
        <v>38039.870000000003</v>
      </c>
      <c r="DV33" s="92">
        <v>1.4234104122621688E-3</v>
      </c>
      <c r="DW33" s="18">
        <v>33585.11</v>
      </c>
      <c r="DX33" s="92">
        <v>1.2577120781481707E-3</v>
      </c>
      <c r="DY33" s="18">
        <v>634.25</v>
      </c>
      <c r="DZ33" s="92">
        <v>2.5549105236859942E-5</v>
      </c>
      <c r="EA33" s="18">
        <v>998</v>
      </c>
      <c r="EB33" s="92">
        <v>3.7659568246219583E-5</v>
      </c>
      <c r="EC33" s="18">
        <v>982.37</v>
      </c>
      <c r="ED33" s="92">
        <v>3.8912927996669841E-5</v>
      </c>
      <c r="EE33" s="18">
        <v>748.38</v>
      </c>
      <c r="EF33" s="92">
        <v>2.587096535743506E-5</v>
      </c>
      <c r="EG33" s="18">
        <v>1324.95</v>
      </c>
      <c r="EH33" s="92">
        <v>4.7268946591170257E-5</v>
      </c>
      <c r="EI33" s="18">
        <v>207.46</v>
      </c>
      <c r="EJ33" s="92">
        <v>7.3416196811470744E-6</v>
      </c>
      <c r="EK33" s="18">
        <v>2411.06</v>
      </c>
      <c r="EL33" s="92">
        <v>8.2451897744238825E-5</v>
      </c>
      <c r="EM33" s="18">
        <v>485.69</v>
      </c>
      <c r="EN33" s="92">
        <v>2.2201053622904328E-5</v>
      </c>
      <c r="EO33" s="18">
        <v>737.24</v>
      </c>
      <c r="EP33" s="92">
        <v>3.1108934233999007E-5</v>
      </c>
      <c r="EQ33" s="18">
        <v>1328.11</v>
      </c>
      <c r="ER33" s="92">
        <v>5.1246811509886697E-5</v>
      </c>
      <c r="ES33" s="18">
        <f t="shared" si="2"/>
        <v>841.04</v>
      </c>
      <c r="ET33" s="92">
        <f>ES33/ES35</f>
        <v>3.6662749128004355E-5</v>
      </c>
      <c r="EU33" s="221">
        <f>IF( SUM($EQ33:ES33)&lt;0, "n/a", SUM($EQ33:ES33)/EU$74)</f>
        <v>1084.5750256234057</v>
      </c>
      <c r="EV33" s="224">
        <f>EU33/EU35</f>
        <v>4.4398973591440605E-5</v>
      </c>
      <c r="EW33" s="22"/>
      <c r="EX33" s="96" t="s">
        <v>67</v>
      </c>
      <c r="EY33" s="35">
        <f>IF(ISERROR(VLOOKUP(EX33,IQSH01E!$A$1:$M$400,2,0)),0,VLOOKUP(EX33,IQSH01E!$A$1:$M$400,2,0))</f>
        <v>841.04</v>
      </c>
      <c r="EZ33" s="204"/>
      <c r="FA33" s="182" t="s">
        <v>118</v>
      </c>
    </row>
    <row r="34" spans="1:157" ht="16.5" customHeight="1" x14ac:dyDescent="0.3">
      <c r="A34" s="10"/>
      <c r="B34" s="14" t="s">
        <v>102</v>
      </c>
      <c r="C34" s="18">
        <v>0</v>
      </c>
      <c r="D34" s="92">
        <v>0</v>
      </c>
      <c r="E34" s="18">
        <v>9711.83</v>
      </c>
      <c r="F34" s="92">
        <v>2.9342241460225145E-4</v>
      </c>
      <c r="G34" s="18">
        <v>0</v>
      </c>
      <c r="H34" s="92">
        <v>0</v>
      </c>
      <c r="I34" s="18">
        <v>37070.03</v>
      </c>
      <c r="J34" s="92">
        <v>1.3125875122843684E-3</v>
      </c>
      <c r="K34" s="18">
        <v>0</v>
      </c>
      <c r="L34" s="92">
        <v>0</v>
      </c>
      <c r="M34" s="18">
        <v>0</v>
      </c>
      <c r="N34" s="92">
        <v>0</v>
      </c>
      <c r="O34" s="18">
        <v>0</v>
      </c>
      <c r="P34" s="92">
        <v>0</v>
      </c>
      <c r="Q34" s="18">
        <v>0</v>
      </c>
      <c r="R34" s="92">
        <v>0</v>
      </c>
      <c r="S34" s="18">
        <v>0</v>
      </c>
      <c r="T34" s="92">
        <v>0</v>
      </c>
      <c r="U34" s="18">
        <v>0</v>
      </c>
      <c r="V34" s="92">
        <v>0</v>
      </c>
      <c r="W34" s="18">
        <v>0</v>
      </c>
      <c r="X34" s="92">
        <v>0</v>
      </c>
      <c r="Y34" s="18">
        <v>0</v>
      </c>
      <c r="Z34" s="92">
        <v>0</v>
      </c>
      <c r="AA34" s="18">
        <v>0</v>
      </c>
      <c r="AB34" s="92">
        <v>0</v>
      </c>
      <c r="AC34" s="18">
        <v>0</v>
      </c>
      <c r="AD34" s="92">
        <v>0</v>
      </c>
      <c r="AE34" s="18">
        <v>0</v>
      </c>
      <c r="AF34" s="92">
        <v>0</v>
      </c>
      <c r="AG34" s="18">
        <v>0</v>
      </c>
      <c r="AH34" s="92">
        <v>0</v>
      </c>
      <c r="AI34" s="18">
        <v>0</v>
      </c>
      <c r="AJ34" s="92">
        <v>0</v>
      </c>
      <c r="AK34" s="18">
        <v>0</v>
      </c>
      <c r="AL34" s="92">
        <v>0</v>
      </c>
      <c r="AM34" s="18">
        <v>0</v>
      </c>
      <c r="AN34" s="92">
        <v>0</v>
      </c>
      <c r="AO34" s="18">
        <v>0</v>
      </c>
      <c r="AP34" s="92">
        <v>0</v>
      </c>
      <c r="AQ34" s="18">
        <v>0</v>
      </c>
      <c r="AR34" s="92">
        <v>0</v>
      </c>
      <c r="AS34" s="18">
        <v>0</v>
      </c>
      <c r="AT34" s="92">
        <v>0</v>
      </c>
      <c r="AU34" s="18">
        <v>0</v>
      </c>
      <c r="AV34" s="92">
        <v>0</v>
      </c>
      <c r="AW34" s="18">
        <v>0</v>
      </c>
      <c r="AX34" s="92">
        <v>0</v>
      </c>
      <c r="AY34" s="18">
        <v>0</v>
      </c>
      <c r="AZ34" s="92">
        <v>0</v>
      </c>
      <c r="BA34" s="18">
        <v>0</v>
      </c>
      <c r="BB34" s="92">
        <v>0</v>
      </c>
      <c r="BC34" s="18">
        <v>0</v>
      </c>
      <c r="BD34" s="92">
        <v>0</v>
      </c>
      <c r="BE34" s="18">
        <v>0</v>
      </c>
      <c r="BF34" s="92">
        <v>0</v>
      </c>
      <c r="BG34" s="18">
        <v>0</v>
      </c>
      <c r="BH34" s="92">
        <v>0</v>
      </c>
      <c r="BI34" s="18">
        <v>0</v>
      </c>
      <c r="BJ34" s="92">
        <v>0</v>
      </c>
      <c r="BK34" s="18">
        <v>0</v>
      </c>
      <c r="BL34" s="92">
        <v>0</v>
      </c>
      <c r="BM34" s="18">
        <v>0</v>
      </c>
      <c r="BN34" s="92">
        <v>0</v>
      </c>
      <c r="BO34" s="18">
        <v>0</v>
      </c>
      <c r="BP34" s="92">
        <v>0</v>
      </c>
      <c r="BQ34" s="18">
        <v>0</v>
      </c>
      <c r="BR34" s="92">
        <v>0</v>
      </c>
      <c r="BS34" s="18">
        <v>0</v>
      </c>
      <c r="BT34" s="92">
        <v>0</v>
      </c>
      <c r="BU34" s="18">
        <v>0</v>
      </c>
      <c r="BV34" s="92">
        <v>0</v>
      </c>
      <c r="BW34" s="18">
        <v>0</v>
      </c>
      <c r="BX34" s="92">
        <v>0</v>
      </c>
      <c r="BY34" s="18">
        <v>0</v>
      </c>
      <c r="BZ34" s="92">
        <v>0</v>
      </c>
      <c r="CA34" s="18">
        <v>0</v>
      </c>
      <c r="CB34" s="92">
        <v>0</v>
      </c>
      <c r="CC34" s="18">
        <v>0</v>
      </c>
      <c r="CD34" s="92">
        <v>0</v>
      </c>
      <c r="CE34" s="18">
        <v>0</v>
      </c>
      <c r="CF34" s="92">
        <v>0</v>
      </c>
      <c r="CG34" s="18">
        <v>0</v>
      </c>
      <c r="CH34" s="92">
        <v>0</v>
      </c>
      <c r="CI34" s="18">
        <v>0</v>
      </c>
      <c r="CJ34" s="92">
        <v>0</v>
      </c>
      <c r="CK34" s="18">
        <v>0</v>
      </c>
      <c r="CL34" s="92">
        <v>0</v>
      </c>
      <c r="CM34" s="18">
        <v>0</v>
      </c>
      <c r="CN34" s="92">
        <v>0</v>
      </c>
      <c r="CO34" s="18">
        <v>0</v>
      </c>
      <c r="CP34" s="92">
        <v>0</v>
      </c>
      <c r="CQ34" s="18">
        <v>0</v>
      </c>
      <c r="CR34" s="92">
        <v>0</v>
      </c>
      <c r="CS34" s="18">
        <v>0</v>
      </c>
      <c r="CT34" s="92">
        <v>0</v>
      </c>
      <c r="CU34" s="18">
        <v>0</v>
      </c>
      <c r="CV34" s="92">
        <v>0</v>
      </c>
      <c r="CW34" s="18">
        <v>0</v>
      </c>
      <c r="CX34" s="92">
        <v>0</v>
      </c>
      <c r="CY34" s="18">
        <v>0</v>
      </c>
      <c r="CZ34" s="92">
        <v>0</v>
      </c>
      <c r="DA34" s="18">
        <v>0</v>
      </c>
      <c r="DB34" s="92">
        <v>0</v>
      </c>
      <c r="DC34" s="18">
        <v>0</v>
      </c>
      <c r="DD34" s="92">
        <v>0</v>
      </c>
      <c r="DE34" s="18">
        <v>0</v>
      </c>
      <c r="DF34" s="92">
        <v>0</v>
      </c>
      <c r="DG34" s="18">
        <v>0</v>
      </c>
      <c r="DH34" s="92">
        <v>0</v>
      </c>
      <c r="DI34" s="18">
        <v>0</v>
      </c>
      <c r="DJ34" s="92">
        <v>0</v>
      </c>
      <c r="DK34" s="18">
        <v>0</v>
      </c>
      <c r="DL34" s="92">
        <v>0</v>
      </c>
      <c r="DM34" s="18">
        <v>0</v>
      </c>
      <c r="DN34" s="92">
        <v>0</v>
      </c>
      <c r="DO34" s="18">
        <v>0</v>
      </c>
      <c r="DP34" s="92">
        <v>0</v>
      </c>
      <c r="DQ34" s="18">
        <v>0</v>
      </c>
      <c r="DR34" s="92">
        <v>0</v>
      </c>
      <c r="DS34" s="18">
        <v>0</v>
      </c>
      <c r="DT34" s="92">
        <v>0</v>
      </c>
      <c r="DU34" s="18">
        <v>0</v>
      </c>
      <c r="DV34" s="92">
        <v>0</v>
      </c>
      <c r="DW34" s="18">
        <v>0</v>
      </c>
      <c r="DX34" s="92">
        <v>0</v>
      </c>
      <c r="DY34" s="18">
        <v>0</v>
      </c>
      <c r="DZ34" s="92">
        <v>0</v>
      </c>
      <c r="EA34" s="18">
        <v>0</v>
      </c>
      <c r="EB34" s="92">
        <v>0</v>
      </c>
      <c r="EC34" s="18">
        <v>0</v>
      </c>
      <c r="ED34" s="92">
        <v>0</v>
      </c>
      <c r="EE34" s="18">
        <v>0</v>
      </c>
      <c r="EF34" s="92">
        <v>0</v>
      </c>
      <c r="EG34" s="18">
        <v>0</v>
      </c>
      <c r="EH34" s="92">
        <v>0</v>
      </c>
      <c r="EI34" s="18">
        <v>0</v>
      </c>
      <c r="EJ34" s="92">
        <v>0</v>
      </c>
      <c r="EK34" s="18">
        <v>0</v>
      </c>
      <c r="EL34" s="92">
        <v>0</v>
      </c>
      <c r="EM34" s="18">
        <v>0</v>
      </c>
      <c r="EN34" s="92">
        <v>0</v>
      </c>
      <c r="EO34" s="18">
        <v>0</v>
      </c>
      <c r="EP34" s="92">
        <v>0</v>
      </c>
      <c r="EQ34" s="18">
        <v>0</v>
      </c>
      <c r="ER34" s="92">
        <v>0</v>
      </c>
      <c r="ES34" s="18">
        <f t="shared" si="2"/>
        <v>0</v>
      </c>
      <c r="ET34" s="92">
        <f>ES34/ES35</f>
        <v>0</v>
      </c>
      <c r="EU34" s="221">
        <f>IF( SUM($EQ34:ES34)&lt;0, "n/a", SUM($EQ34:ES34)/EU$74)</f>
        <v>0</v>
      </c>
      <c r="EV34" s="224">
        <f>EU34/EU35</f>
        <v>0</v>
      </c>
      <c r="EW34" s="22"/>
      <c r="EX34" s="96" t="s">
        <v>140</v>
      </c>
      <c r="EY34" s="35">
        <f>IF(ISERROR(VLOOKUP(EX34,IQSH01E!$A$1:$M$400,2,0)),0,VLOOKUP(EX34,IQSH01E!$A$1:$M$400,2,0))</f>
        <v>0</v>
      </c>
      <c r="EZ34" s="204"/>
      <c r="FA34" s="182" t="s">
        <v>123</v>
      </c>
    </row>
    <row r="35" spans="1:157" ht="16.5" customHeight="1" thickBot="1" x14ac:dyDescent="0.35">
      <c r="A35" s="10"/>
      <c r="B35" s="15" t="s">
        <v>83</v>
      </c>
      <c r="C35" s="19">
        <v>35295928.289999992</v>
      </c>
      <c r="D35" s="25">
        <v>1</v>
      </c>
      <c r="E35" s="19">
        <v>33098459.819999997</v>
      </c>
      <c r="F35" s="25">
        <v>1</v>
      </c>
      <c r="G35" s="19">
        <v>41568644.840000004</v>
      </c>
      <c r="H35" s="25">
        <v>1</v>
      </c>
      <c r="I35" s="19">
        <v>28241949.319999993</v>
      </c>
      <c r="J35" s="25">
        <v>1</v>
      </c>
      <c r="K35" s="19">
        <v>28745350.930000003</v>
      </c>
      <c r="L35" s="25">
        <v>1</v>
      </c>
      <c r="M35" s="19">
        <v>34888223.18</v>
      </c>
      <c r="N35" s="25">
        <v>1</v>
      </c>
      <c r="O35" s="19">
        <v>33640615.329999998</v>
      </c>
      <c r="P35" s="25">
        <v>1</v>
      </c>
      <c r="Q35" s="19">
        <v>32057885.670000002</v>
      </c>
      <c r="R35" s="25">
        <v>1</v>
      </c>
      <c r="S35" s="19">
        <v>33381439.830000002</v>
      </c>
      <c r="T35" s="25">
        <v>1</v>
      </c>
      <c r="U35" s="19">
        <v>35275531.920000002</v>
      </c>
      <c r="V35" s="25">
        <v>1</v>
      </c>
      <c r="W35" s="19">
        <v>33984797.259999998</v>
      </c>
      <c r="X35" s="25">
        <v>1</v>
      </c>
      <c r="Y35" s="19">
        <v>33407939.460000001</v>
      </c>
      <c r="Z35" s="25">
        <v>1</v>
      </c>
      <c r="AA35" s="19">
        <v>31547333.870000005</v>
      </c>
      <c r="AB35" s="25">
        <v>1</v>
      </c>
      <c r="AC35" s="19">
        <v>28204454.270000003</v>
      </c>
      <c r="AD35" s="25">
        <v>1</v>
      </c>
      <c r="AE35" s="19">
        <v>37552600.07</v>
      </c>
      <c r="AF35" s="25">
        <v>1</v>
      </c>
      <c r="AG35" s="19">
        <v>36086210.200000003</v>
      </c>
      <c r="AH35" s="25">
        <v>1</v>
      </c>
      <c r="AI35" s="19">
        <v>31942455.490000006</v>
      </c>
      <c r="AJ35" s="25">
        <v>1</v>
      </c>
      <c r="AK35" s="19">
        <v>34525687.289999992</v>
      </c>
      <c r="AL35" s="25">
        <v>1</v>
      </c>
      <c r="AM35" s="19">
        <v>34815453.209999993</v>
      </c>
      <c r="AN35" s="25">
        <v>1</v>
      </c>
      <c r="AO35" s="19">
        <v>34771628.459999993</v>
      </c>
      <c r="AP35" s="25">
        <v>1</v>
      </c>
      <c r="AQ35" s="19">
        <v>35575193.190000013</v>
      </c>
      <c r="AR35" s="25">
        <v>1</v>
      </c>
      <c r="AS35" s="19">
        <v>35611873.189999998</v>
      </c>
      <c r="AT35" s="25">
        <v>1</v>
      </c>
      <c r="AU35" s="19">
        <v>35274414.730000004</v>
      </c>
      <c r="AV35" s="25">
        <v>1</v>
      </c>
      <c r="AW35" s="19">
        <v>32637982.470000003</v>
      </c>
      <c r="AX35" s="25">
        <v>1</v>
      </c>
      <c r="AY35" s="19">
        <v>31035438.189999998</v>
      </c>
      <c r="AZ35" s="25">
        <v>1</v>
      </c>
      <c r="BA35" s="19">
        <v>30068038.509999998</v>
      </c>
      <c r="BB35" s="25">
        <v>1</v>
      </c>
      <c r="BC35" s="19">
        <v>35827901.839999996</v>
      </c>
      <c r="BD35" s="25">
        <v>1</v>
      </c>
      <c r="BE35" s="19">
        <v>33639419.899999999</v>
      </c>
      <c r="BF35" s="25">
        <v>1</v>
      </c>
      <c r="BG35" s="19">
        <v>33971825.289999992</v>
      </c>
      <c r="BH35" s="25">
        <v>1</v>
      </c>
      <c r="BI35" s="19">
        <v>34687854.129999995</v>
      </c>
      <c r="BJ35" s="25">
        <v>1</v>
      </c>
      <c r="BK35" s="19">
        <v>34495549.799999997</v>
      </c>
      <c r="BL35" s="25">
        <v>1</v>
      </c>
      <c r="BM35" s="19">
        <v>38414699.549999997</v>
      </c>
      <c r="BN35" s="25">
        <v>1</v>
      </c>
      <c r="BO35" s="19">
        <v>36969478.450000003</v>
      </c>
      <c r="BP35" s="25">
        <v>1</v>
      </c>
      <c r="BQ35" s="19">
        <v>38007740.43</v>
      </c>
      <c r="BR35" s="25">
        <v>1</v>
      </c>
      <c r="BS35" s="19">
        <v>35808646.490000002</v>
      </c>
      <c r="BT35" s="25">
        <v>1</v>
      </c>
      <c r="BU35" s="19">
        <v>30699395.119999997</v>
      </c>
      <c r="BV35" s="25">
        <v>1</v>
      </c>
      <c r="BW35" s="19">
        <v>33414338.789999999</v>
      </c>
      <c r="BX35" s="25">
        <v>1</v>
      </c>
      <c r="BY35" s="19">
        <v>27585191.660000004</v>
      </c>
      <c r="BZ35" s="25">
        <v>1</v>
      </c>
      <c r="CA35" s="19">
        <v>34826780.009999998</v>
      </c>
      <c r="CB35" s="25">
        <v>1</v>
      </c>
      <c r="CC35" s="19">
        <v>30458627.950000003</v>
      </c>
      <c r="CD35" s="25">
        <v>1</v>
      </c>
      <c r="CE35" s="19">
        <v>34141153.019999996</v>
      </c>
      <c r="CF35" s="25">
        <v>1</v>
      </c>
      <c r="CG35" s="19">
        <v>34624618.510000005</v>
      </c>
      <c r="CH35" s="25">
        <v>1</v>
      </c>
      <c r="CI35" s="19">
        <v>31667620.289999999</v>
      </c>
      <c r="CJ35" s="25">
        <v>1</v>
      </c>
      <c r="CK35" s="19">
        <v>36946863.700000003</v>
      </c>
      <c r="CL35" s="25">
        <v>1</v>
      </c>
      <c r="CM35" s="19">
        <v>34146229.649999991</v>
      </c>
      <c r="CN35" s="25">
        <v>1</v>
      </c>
      <c r="CO35" s="19">
        <v>35351138.689999998</v>
      </c>
      <c r="CP35" s="25">
        <v>1</v>
      </c>
      <c r="CQ35" s="19">
        <v>32444866.710000001</v>
      </c>
      <c r="CR35" s="25">
        <v>1</v>
      </c>
      <c r="CS35" s="19">
        <v>30859169.629999995</v>
      </c>
      <c r="CT35" s="25">
        <v>1</v>
      </c>
      <c r="CU35" s="19">
        <v>31391776.719999999</v>
      </c>
      <c r="CV35" s="25">
        <v>1</v>
      </c>
      <c r="CW35" s="19">
        <v>28288947.5</v>
      </c>
      <c r="CX35" s="25">
        <v>1</v>
      </c>
      <c r="CY35" s="19">
        <v>29212880.690000005</v>
      </c>
      <c r="CZ35" s="25">
        <v>1</v>
      </c>
      <c r="DA35" s="19">
        <v>32302889.330000006</v>
      </c>
      <c r="DB35" s="25">
        <v>1</v>
      </c>
      <c r="DC35" s="19">
        <v>31822047.660000004</v>
      </c>
      <c r="DD35" s="25">
        <v>1</v>
      </c>
      <c r="DE35" s="19">
        <v>29565601.000000004</v>
      </c>
      <c r="DF35" s="25">
        <v>1</v>
      </c>
      <c r="DG35" s="19">
        <v>30287428.59</v>
      </c>
      <c r="DH35" s="25">
        <v>1</v>
      </c>
      <c r="DI35" s="19">
        <v>31639074.330000002</v>
      </c>
      <c r="DJ35" s="25">
        <v>1</v>
      </c>
      <c r="DK35" s="19">
        <v>27760696.969999995</v>
      </c>
      <c r="DL35" s="25">
        <v>1</v>
      </c>
      <c r="DM35" s="19">
        <v>33703427.080000006</v>
      </c>
      <c r="DN35" s="25">
        <v>1</v>
      </c>
      <c r="DO35" s="19">
        <v>30596615.029999997</v>
      </c>
      <c r="DP35" s="25">
        <v>1</v>
      </c>
      <c r="DQ35" s="19">
        <v>28662344.820000004</v>
      </c>
      <c r="DR35" s="25">
        <v>1</v>
      </c>
      <c r="DS35" s="19">
        <v>30753966.690000001</v>
      </c>
      <c r="DT35" s="25">
        <v>1</v>
      </c>
      <c r="DU35" s="19">
        <v>26724456.75</v>
      </c>
      <c r="DV35" s="25">
        <v>1</v>
      </c>
      <c r="DW35" s="19">
        <v>26703337.419999994</v>
      </c>
      <c r="DX35" s="25">
        <v>1</v>
      </c>
      <c r="DY35" s="19">
        <v>24824744.119999997</v>
      </c>
      <c r="DZ35" s="25">
        <v>1</v>
      </c>
      <c r="EA35" s="19">
        <v>26500569.350000001</v>
      </c>
      <c r="EB35" s="25">
        <v>1</v>
      </c>
      <c r="EC35" s="19">
        <v>25245337.490000006</v>
      </c>
      <c r="ED35" s="25">
        <v>1</v>
      </c>
      <c r="EE35" s="19">
        <v>28927409.149999999</v>
      </c>
      <c r="EF35" s="25">
        <v>1</v>
      </c>
      <c r="EG35" s="19">
        <v>28030030.190000005</v>
      </c>
      <c r="EH35" s="25">
        <v>1</v>
      </c>
      <c r="EI35" s="19">
        <v>28258069.609999996</v>
      </c>
      <c r="EJ35" s="25">
        <v>1</v>
      </c>
      <c r="EK35" s="19">
        <v>29242019.48</v>
      </c>
      <c r="EL35" s="25">
        <v>1</v>
      </c>
      <c r="EM35" s="19">
        <v>21876889.639999993</v>
      </c>
      <c r="EN35" s="25">
        <v>1</v>
      </c>
      <c r="EO35" s="19">
        <v>23698658.219999999</v>
      </c>
      <c r="EP35" s="25">
        <v>1</v>
      </c>
      <c r="EQ35" s="19">
        <v>25915953.809999999</v>
      </c>
      <c r="ER35" s="25">
        <v>1</v>
      </c>
      <c r="ES35" s="19">
        <f>SUM(ES28:ES34)</f>
        <v>22939905.490000002</v>
      </c>
      <c r="ET35" s="25">
        <f>ES35/ES35</f>
        <v>1</v>
      </c>
      <c r="EU35" s="225">
        <f>IF( SUM($EQ35:ES35)&lt;0, "n/a", SUM($EQ35:ES35)/EU$74)</f>
        <v>24427930.149999999</v>
      </c>
      <c r="EV35" s="226">
        <f>EU35/EU35</f>
        <v>1</v>
      </c>
      <c r="EW35" s="22"/>
      <c r="EX35" s="100" t="s">
        <v>148</v>
      </c>
      <c r="EY35" s="103">
        <f>IF(ISERROR(VLOOKUP(EX35,IQSH01E!$A$1:$M$400,2,0)),0,VLOOKUP(EX35,IQSH01E!$A$1:$M$400,2,0))</f>
        <v>0</v>
      </c>
      <c r="EZ35" s="205"/>
      <c r="FA35" s="186"/>
    </row>
    <row r="36" spans="1:157" ht="16.5" customHeight="1" x14ac:dyDescent="0.3">
      <c r="A36" s="10"/>
      <c r="B36" s="14" t="s">
        <v>88</v>
      </c>
      <c r="C36" s="18">
        <v>5940539.46</v>
      </c>
      <c r="D36" s="24"/>
      <c r="E36" s="18">
        <v>5108546.12</v>
      </c>
      <c r="F36" s="24"/>
      <c r="G36" s="18">
        <v>6388288.0800000001</v>
      </c>
      <c r="H36" s="24"/>
      <c r="I36" s="18">
        <v>5269238.33</v>
      </c>
      <c r="J36" s="24"/>
      <c r="K36" s="18">
        <v>3651938.7</v>
      </c>
      <c r="L36" s="24"/>
      <c r="M36" s="18">
        <v>4343222.6500000004</v>
      </c>
      <c r="N36" s="24"/>
      <c r="O36" s="18">
        <v>6185037.8499999996</v>
      </c>
      <c r="P36" s="24"/>
      <c r="Q36" s="18">
        <v>5897972.9699999997</v>
      </c>
      <c r="R36" s="24"/>
      <c r="S36" s="18">
        <v>6945247.3399999999</v>
      </c>
      <c r="T36" s="24"/>
      <c r="U36" s="18">
        <v>6693133.21</v>
      </c>
      <c r="V36" s="24"/>
      <c r="W36" s="18">
        <v>6872965.2999999998</v>
      </c>
      <c r="X36" s="24"/>
      <c r="Y36" s="18">
        <v>7304682.4299999997</v>
      </c>
      <c r="Z36" s="24"/>
      <c r="AA36" s="18">
        <v>6127632.5099999998</v>
      </c>
      <c r="AB36" s="24"/>
      <c r="AC36" s="18">
        <v>4631324.22</v>
      </c>
      <c r="AD36" s="24"/>
      <c r="AE36" s="18">
        <v>5265780.6399999997</v>
      </c>
      <c r="AF36" s="24"/>
      <c r="AG36" s="18">
        <v>5040380.22</v>
      </c>
      <c r="AH36" s="24"/>
      <c r="AI36" s="18">
        <v>5195971.34</v>
      </c>
      <c r="AJ36" s="24"/>
      <c r="AK36" s="18">
        <v>6515621.1699999999</v>
      </c>
      <c r="AL36" s="24"/>
      <c r="AM36" s="18">
        <v>5148429.6100000003</v>
      </c>
      <c r="AN36" s="24"/>
      <c r="AO36" s="18">
        <v>5571356.04</v>
      </c>
      <c r="AP36" s="24"/>
      <c r="AQ36" s="18">
        <v>5041765.33</v>
      </c>
      <c r="AR36" s="24"/>
      <c r="AS36" s="18">
        <v>5697218.3200000003</v>
      </c>
      <c r="AT36" s="24"/>
      <c r="AU36" s="18">
        <v>4893912.0599999996</v>
      </c>
      <c r="AV36" s="24"/>
      <c r="AW36" s="18">
        <v>5839862.7000000002</v>
      </c>
      <c r="AX36" s="24"/>
      <c r="AY36" s="18">
        <v>6482491.6799999997</v>
      </c>
      <c r="AZ36" s="24"/>
      <c r="BA36" s="18">
        <v>4611835.29</v>
      </c>
      <c r="BB36" s="24"/>
      <c r="BC36" s="18">
        <v>5128396.42</v>
      </c>
      <c r="BD36" s="24"/>
      <c r="BE36" s="18">
        <v>4346496.6500000004</v>
      </c>
      <c r="BF36" s="24"/>
      <c r="BG36" s="18">
        <v>5008391.84</v>
      </c>
      <c r="BH36" s="24"/>
      <c r="BI36" s="18">
        <v>5697007.6600000001</v>
      </c>
      <c r="BJ36" s="24"/>
      <c r="BK36" s="18">
        <v>5172214.38</v>
      </c>
      <c r="BL36" s="24"/>
      <c r="BM36" s="18">
        <v>5458479.9900000002</v>
      </c>
      <c r="BN36" s="24"/>
      <c r="BO36" s="18">
        <v>4871534.34</v>
      </c>
      <c r="BP36" s="24"/>
      <c r="BQ36" s="18">
        <v>5233014.8099999996</v>
      </c>
      <c r="BR36" s="24"/>
      <c r="BS36" s="18">
        <v>5500473.5099999998</v>
      </c>
      <c r="BT36" s="24"/>
      <c r="BU36" s="18">
        <v>4456201.46</v>
      </c>
      <c r="BV36" s="24"/>
      <c r="BW36" s="18">
        <v>4151275.29</v>
      </c>
      <c r="BX36" s="24"/>
      <c r="BY36" s="18">
        <v>5285147.16</v>
      </c>
      <c r="BZ36" s="24"/>
      <c r="CA36" s="18">
        <v>4942435.6399999997</v>
      </c>
      <c r="CB36" s="24"/>
      <c r="CC36" s="18">
        <v>5302725.1399999997</v>
      </c>
      <c r="CD36" s="24"/>
      <c r="CE36" s="18">
        <v>4866853.96</v>
      </c>
      <c r="CF36" s="24"/>
      <c r="CG36" s="18">
        <v>4903524.47</v>
      </c>
      <c r="CH36" s="24"/>
      <c r="CI36" s="18">
        <v>5358541.9000000004</v>
      </c>
      <c r="CJ36" s="24"/>
      <c r="CK36" s="18">
        <v>6455377.1100000003</v>
      </c>
      <c r="CL36" s="24"/>
      <c r="CM36" s="18">
        <v>4879330.83</v>
      </c>
      <c r="CN36" s="24"/>
      <c r="CO36" s="18">
        <v>5611932.9100000001</v>
      </c>
      <c r="CP36" s="24"/>
      <c r="CQ36" s="18">
        <v>5684072.96</v>
      </c>
      <c r="CR36" s="24"/>
      <c r="CS36" s="18">
        <v>5106197.72</v>
      </c>
      <c r="CT36" s="24"/>
      <c r="CU36" s="18">
        <v>5964902.1799999997</v>
      </c>
      <c r="CV36" s="24"/>
      <c r="CW36" s="18">
        <v>5018209.4800000004</v>
      </c>
      <c r="CX36" s="24"/>
      <c r="CY36" s="18">
        <v>5007020.76</v>
      </c>
      <c r="CZ36" s="24"/>
      <c r="DA36" s="18">
        <v>6167710.5800000001</v>
      </c>
      <c r="DB36" s="24"/>
      <c r="DC36" s="18">
        <v>5639656.3600000003</v>
      </c>
      <c r="DD36" s="24"/>
      <c r="DE36" s="18">
        <v>5394052.4100000001</v>
      </c>
      <c r="DF36" s="24"/>
      <c r="DG36" s="18">
        <v>5409865.4400000004</v>
      </c>
      <c r="DH36" s="24"/>
      <c r="DI36" s="18">
        <v>6312694.8399999999</v>
      </c>
      <c r="DJ36" s="24"/>
      <c r="DK36" s="18">
        <v>5455415.1200000001</v>
      </c>
      <c r="DL36" s="24"/>
      <c r="DM36" s="18">
        <v>6803073.7999999998</v>
      </c>
      <c r="DN36" s="24"/>
      <c r="DO36" s="18">
        <v>4649587.3099999996</v>
      </c>
      <c r="DP36" s="24"/>
      <c r="DQ36" s="18">
        <v>5945279.2699999996</v>
      </c>
      <c r="DR36" s="24"/>
      <c r="DS36" s="18">
        <v>7037702.8799999999</v>
      </c>
      <c r="DT36" s="24"/>
      <c r="DU36" s="18">
        <v>4257068.07</v>
      </c>
      <c r="DV36" s="24"/>
      <c r="DW36" s="18">
        <v>7501980.5700000003</v>
      </c>
      <c r="DX36" s="24"/>
      <c r="DY36" s="18">
        <v>8114563.1699999999</v>
      </c>
      <c r="DZ36" s="24"/>
      <c r="EA36" s="18">
        <v>8104081.3200000003</v>
      </c>
      <c r="EB36" s="24"/>
      <c r="EC36" s="18">
        <v>8589143.8399999999</v>
      </c>
      <c r="ED36" s="24"/>
      <c r="EE36" s="18">
        <v>9216278.7599999998</v>
      </c>
      <c r="EF36" s="24"/>
      <c r="EG36" s="18">
        <v>7884469.5099999998</v>
      </c>
      <c r="EH36" s="24"/>
      <c r="EI36" s="18">
        <v>9799659.3399999999</v>
      </c>
      <c r="EJ36" s="24"/>
      <c r="EK36" s="18">
        <v>12378657.199999999</v>
      </c>
      <c r="EL36" s="24"/>
      <c r="EM36" s="18">
        <v>9937520.8100000005</v>
      </c>
      <c r="EN36" s="24"/>
      <c r="EO36" s="18">
        <v>12794262</v>
      </c>
      <c r="EP36" s="24"/>
      <c r="EQ36" s="18">
        <v>7944980.1200000001</v>
      </c>
      <c r="ER36" s="24"/>
      <c r="ES36" s="18">
        <f>+$EY36</f>
        <v>6616129.79</v>
      </c>
      <c r="ET36" s="24"/>
      <c r="EU36" s="221">
        <f>IF( SUM($EQ36:ES36)&lt;0, "n/a", SUM($EQ36:ES36)/EU$74)</f>
        <v>7280554.9550000001</v>
      </c>
      <c r="EV36" s="227"/>
      <c r="EW36" s="22"/>
      <c r="EX36" s="96" t="s">
        <v>11</v>
      </c>
      <c r="EY36" s="35">
        <f>IF(ISERROR(VLOOKUP(EX36,IQSH01E!$A$1:$M$400,2,0)),0,VLOOKUP(EX36,IQSH01E!$A$1:$M$400,2,0))</f>
        <v>6616129.79</v>
      </c>
      <c r="EZ36" s="204"/>
      <c r="FA36" s="182" t="s">
        <v>118</v>
      </c>
    </row>
    <row r="37" spans="1:157" ht="16.5" customHeight="1" x14ac:dyDescent="0.3">
      <c r="A37" s="10"/>
      <c r="B37" s="14" t="s">
        <v>71</v>
      </c>
      <c r="C37" s="18">
        <v>3046947.91</v>
      </c>
      <c r="D37" s="24"/>
      <c r="E37" s="18">
        <v>1684503.17</v>
      </c>
      <c r="F37" s="24"/>
      <c r="G37" s="18">
        <v>1799829.35</v>
      </c>
      <c r="H37" s="24"/>
      <c r="I37" s="18">
        <v>1378828.26</v>
      </c>
      <c r="J37" s="24"/>
      <c r="K37" s="18">
        <v>2025683.61</v>
      </c>
      <c r="L37" s="24"/>
      <c r="M37" s="18">
        <v>1822273.47</v>
      </c>
      <c r="N37" s="24"/>
      <c r="O37" s="18">
        <v>2337587.5</v>
      </c>
      <c r="P37" s="24"/>
      <c r="Q37" s="18">
        <v>2237372.73</v>
      </c>
      <c r="R37" s="24"/>
      <c r="S37" s="18">
        <v>2321645.69</v>
      </c>
      <c r="T37" s="24"/>
      <c r="U37" s="18">
        <v>3093168.36</v>
      </c>
      <c r="V37" s="24"/>
      <c r="W37" s="18">
        <v>2310208.02</v>
      </c>
      <c r="X37" s="24"/>
      <c r="Y37" s="18">
        <v>2300565.84</v>
      </c>
      <c r="Z37" s="24"/>
      <c r="AA37" s="18">
        <v>2337078.37</v>
      </c>
      <c r="AB37" s="24"/>
      <c r="AC37" s="18">
        <v>2081671.59</v>
      </c>
      <c r="AD37" s="24"/>
      <c r="AE37" s="18">
        <v>2436528.89</v>
      </c>
      <c r="AF37" s="24"/>
      <c r="AG37" s="18">
        <v>2426592.5699999998</v>
      </c>
      <c r="AH37" s="24"/>
      <c r="AI37" s="18">
        <v>2299039.5499999998</v>
      </c>
      <c r="AJ37" s="24"/>
      <c r="AK37" s="18">
        <v>3938721.34</v>
      </c>
      <c r="AL37" s="24"/>
      <c r="AM37" s="18">
        <v>3060122.41</v>
      </c>
      <c r="AN37" s="24"/>
      <c r="AO37" s="18">
        <v>3752886.82</v>
      </c>
      <c r="AP37" s="24"/>
      <c r="AQ37" s="18">
        <v>3872572.86</v>
      </c>
      <c r="AR37" s="24"/>
      <c r="AS37" s="18">
        <v>3406045.21</v>
      </c>
      <c r="AT37" s="24"/>
      <c r="AU37" s="18">
        <v>3875625.59</v>
      </c>
      <c r="AV37" s="24"/>
      <c r="AW37" s="18">
        <v>3663295.25</v>
      </c>
      <c r="AX37" s="24"/>
      <c r="AY37" s="18">
        <v>2965944.81</v>
      </c>
      <c r="AZ37" s="24"/>
      <c r="BA37" s="18">
        <v>3000145.67</v>
      </c>
      <c r="BB37" s="24"/>
      <c r="BC37" s="18">
        <v>3772526.46</v>
      </c>
      <c r="BD37" s="24"/>
      <c r="BE37" s="18">
        <v>3402088.14</v>
      </c>
      <c r="BF37" s="24"/>
      <c r="BG37" s="18">
        <v>3218349.56</v>
      </c>
      <c r="BH37" s="24"/>
      <c r="BI37" s="18">
        <v>3089008.71</v>
      </c>
      <c r="BJ37" s="24"/>
      <c r="BK37" s="18">
        <v>2753435.52</v>
      </c>
      <c r="BL37" s="24"/>
      <c r="BM37" s="18">
        <v>3779698.49</v>
      </c>
      <c r="BN37" s="24"/>
      <c r="BO37" s="18">
        <v>2279697.31</v>
      </c>
      <c r="BP37" s="24"/>
      <c r="BQ37" s="18">
        <v>2304224.33</v>
      </c>
      <c r="BR37" s="24"/>
      <c r="BS37" s="18">
        <v>1958712.42</v>
      </c>
      <c r="BT37" s="24"/>
      <c r="BU37" s="18">
        <v>1892401.06</v>
      </c>
      <c r="BV37" s="24"/>
      <c r="BW37" s="18">
        <v>1857084.58</v>
      </c>
      <c r="BX37" s="24"/>
      <c r="BY37" s="18">
        <v>1402867.7</v>
      </c>
      <c r="BZ37" s="24"/>
      <c r="CA37" s="18">
        <v>2047359.54</v>
      </c>
      <c r="CB37" s="24"/>
      <c r="CC37" s="18">
        <v>1684721.98</v>
      </c>
      <c r="CD37" s="24"/>
      <c r="CE37" s="18">
        <v>2145310.94</v>
      </c>
      <c r="CF37" s="24"/>
      <c r="CG37" s="18">
        <v>1813752.74</v>
      </c>
      <c r="CH37" s="24"/>
      <c r="CI37" s="18">
        <v>1742776.11</v>
      </c>
      <c r="CJ37" s="24"/>
      <c r="CK37" s="18">
        <v>1726716.66</v>
      </c>
      <c r="CL37" s="24"/>
      <c r="CM37" s="18">
        <v>1515148.46</v>
      </c>
      <c r="CN37" s="24"/>
      <c r="CO37" s="18">
        <v>2354536.34</v>
      </c>
      <c r="CP37" s="24"/>
      <c r="CQ37" s="18">
        <v>1781679.55</v>
      </c>
      <c r="CR37" s="24"/>
      <c r="CS37" s="18">
        <v>1360164.63</v>
      </c>
      <c r="CT37" s="24"/>
      <c r="CU37" s="18">
        <v>1783111.5</v>
      </c>
      <c r="CV37" s="24"/>
      <c r="CW37" s="18">
        <v>1503029.06</v>
      </c>
      <c r="CX37" s="24"/>
      <c r="CY37" s="18">
        <v>1797946.57</v>
      </c>
      <c r="CZ37" s="24"/>
      <c r="DA37" s="18">
        <v>2053657.55</v>
      </c>
      <c r="DB37" s="24"/>
      <c r="DC37" s="18">
        <v>2662505.15</v>
      </c>
      <c r="DD37" s="24"/>
      <c r="DE37" s="18">
        <v>1874949.18</v>
      </c>
      <c r="DF37" s="24"/>
      <c r="DG37" s="18">
        <v>2223351.16</v>
      </c>
      <c r="DH37" s="24"/>
      <c r="DI37" s="18">
        <v>2558832.42</v>
      </c>
      <c r="DJ37" s="24"/>
      <c r="DK37" s="18">
        <v>2590753.0699999998</v>
      </c>
      <c r="DL37" s="24"/>
      <c r="DM37" s="18">
        <v>2559336.61</v>
      </c>
      <c r="DN37" s="24"/>
      <c r="DO37" s="18">
        <v>2695493.07</v>
      </c>
      <c r="DP37" s="24"/>
      <c r="DQ37" s="18">
        <v>1994580.54</v>
      </c>
      <c r="DR37" s="24"/>
      <c r="DS37" s="18">
        <v>1621803.77</v>
      </c>
      <c r="DT37" s="24"/>
      <c r="DU37" s="18">
        <v>1757977.54</v>
      </c>
      <c r="DV37" s="24"/>
      <c r="DW37" s="18">
        <v>3209304.27</v>
      </c>
      <c r="DX37" s="24"/>
      <c r="DY37" s="18">
        <v>1492975.67</v>
      </c>
      <c r="DZ37" s="24"/>
      <c r="EA37" s="18">
        <v>1918305.33</v>
      </c>
      <c r="EB37" s="24"/>
      <c r="EC37" s="18">
        <v>1272550.48</v>
      </c>
      <c r="ED37" s="24"/>
      <c r="EE37" s="18">
        <v>2298950.2799999998</v>
      </c>
      <c r="EF37" s="24"/>
      <c r="EG37" s="18">
        <v>2032353</v>
      </c>
      <c r="EH37" s="24"/>
      <c r="EI37" s="18">
        <v>2352040.92</v>
      </c>
      <c r="EJ37" s="24"/>
      <c r="EK37" s="18">
        <v>2385530.0299999998</v>
      </c>
      <c r="EL37" s="24"/>
      <c r="EM37" s="18">
        <v>3063744.74</v>
      </c>
      <c r="EN37" s="24"/>
      <c r="EO37" s="18">
        <v>3927937.42</v>
      </c>
      <c r="EP37" s="24"/>
      <c r="EQ37" s="18">
        <v>3496468.6</v>
      </c>
      <c r="ER37" s="24"/>
      <c r="ES37" s="18">
        <f>+$EY37</f>
        <v>3670147.26</v>
      </c>
      <c r="ET37" s="24"/>
      <c r="EU37" s="221">
        <f>IF( SUM($EQ37:ES37)&lt;0, "n/a", SUM($EQ37:ES37)/EU$74)</f>
        <v>3583307.9299999997</v>
      </c>
      <c r="EV37" s="224"/>
      <c r="EW37" s="22"/>
      <c r="EX37" s="154" t="s">
        <v>104</v>
      </c>
      <c r="EY37" s="35">
        <f>IF(ISERROR(VLOOKUP(EX37,IQSH01E!$A$1:$M$400,2,0)),0,VLOOKUP(EX37,IQSH01E!$A$1:$M$400,2,0))</f>
        <v>3670147.26</v>
      </c>
      <c r="EZ37" s="206"/>
      <c r="FA37" s="187" t="s">
        <v>117</v>
      </c>
    </row>
    <row r="38" spans="1:157" ht="16.5" customHeight="1" thickBot="1" x14ac:dyDescent="0.35">
      <c r="A38" s="12"/>
      <c r="B38" s="16" t="s">
        <v>84</v>
      </c>
      <c r="C38" s="19">
        <v>44283415.659999996</v>
      </c>
      <c r="D38" s="25"/>
      <c r="E38" s="19">
        <v>39891509.109999999</v>
      </c>
      <c r="F38" s="25"/>
      <c r="G38" s="19">
        <v>49756762.270000003</v>
      </c>
      <c r="H38" s="25"/>
      <c r="I38" s="19">
        <v>34890015.909999989</v>
      </c>
      <c r="J38" s="25"/>
      <c r="K38" s="19">
        <v>34422973.240000002</v>
      </c>
      <c r="L38" s="25"/>
      <c r="M38" s="19">
        <v>41053719.299999997</v>
      </c>
      <c r="N38" s="25"/>
      <c r="O38" s="19">
        <v>42163240.68</v>
      </c>
      <c r="P38" s="25"/>
      <c r="Q38" s="19">
        <v>40193231.369999997</v>
      </c>
      <c r="R38" s="25"/>
      <c r="S38" s="19">
        <v>42648332.859999999</v>
      </c>
      <c r="T38" s="25"/>
      <c r="U38" s="19">
        <v>45061833.490000002</v>
      </c>
      <c r="V38" s="25"/>
      <c r="W38" s="19">
        <v>43167970.579999998</v>
      </c>
      <c r="X38" s="25"/>
      <c r="Y38" s="19">
        <v>43013187.730000004</v>
      </c>
      <c r="Z38" s="25"/>
      <c r="AA38" s="19">
        <v>40012044.75</v>
      </c>
      <c r="AB38" s="25"/>
      <c r="AC38" s="19">
        <v>34917450.080000006</v>
      </c>
      <c r="AD38" s="25"/>
      <c r="AE38" s="19">
        <v>45254909.600000001</v>
      </c>
      <c r="AF38" s="25"/>
      <c r="AG38" s="19">
        <v>43553182.990000002</v>
      </c>
      <c r="AH38" s="25"/>
      <c r="AI38" s="19">
        <v>39437466.380000003</v>
      </c>
      <c r="AJ38" s="25"/>
      <c r="AK38" s="19">
        <v>44980029.799999997</v>
      </c>
      <c r="AL38" s="25"/>
      <c r="AM38" s="19">
        <v>43024005.229999989</v>
      </c>
      <c r="AN38" s="25"/>
      <c r="AO38" s="19">
        <v>44095871.319999993</v>
      </c>
      <c r="AP38" s="25"/>
      <c r="AQ38" s="19">
        <v>44489531.38000001</v>
      </c>
      <c r="AR38" s="25"/>
      <c r="AS38" s="19">
        <v>44715136.719999999</v>
      </c>
      <c r="AT38" s="25"/>
      <c r="AU38" s="19">
        <v>44043952.38000001</v>
      </c>
      <c r="AV38" s="25"/>
      <c r="AW38" s="19">
        <v>42141140.420000002</v>
      </c>
      <c r="AX38" s="25"/>
      <c r="AY38" s="19">
        <v>40483874.68</v>
      </c>
      <c r="AZ38" s="25"/>
      <c r="BA38" s="19">
        <v>37680019.469999999</v>
      </c>
      <c r="BB38" s="25"/>
      <c r="BC38" s="19">
        <v>44728824.719999999</v>
      </c>
      <c r="BD38" s="25"/>
      <c r="BE38" s="19">
        <v>41388004.689999998</v>
      </c>
      <c r="BF38" s="25"/>
      <c r="BG38" s="19">
        <v>42198566.689999998</v>
      </c>
      <c r="BH38" s="25"/>
      <c r="BI38" s="19">
        <v>43473870.499999993</v>
      </c>
      <c r="BJ38" s="25"/>
      <c r="BK38" s="19">
        <v>42421199.700000003</v>
      </c>
      <c r="BL38" s="25"/>
      <c r="BM38" s="19">
        <v>47652878.030000001</v>
      </c>
      <c r="BN38" s="25"/>
      <c r="BO38" s="19">
        <v>44120710.100000009</v>
      </c>
      <c r="BP38" s="25"/>
      <c r="BQ38" s="19">
        <v>45544979.57</v>
      </c>
      <c r="BR38" s="25"/>
      <c r="BS38" s="19">
        <v>43267832.420000002</v>
      </c>
      <c r="BT38" s="25"/>
      <c r="BU38" s="19">
        <v>37047997.640000001</v>
      </c>
      <c r="BV38" s="25"/>
      <c r="BW38" s="19">
        <v>39422698.659999996</v>
      </c>
      <c r="BX38" s="25"/>
      <c r="BY38" s="19">
        <v>34273206.520000003</v>
      </c>
      <c r="BZ38" s="25"/>
      <c r="CA38" s="19">
        <v>41816575.189999998</v>
      </c>
      <c r="CB38" s="25"/>
      <c r="CC38" s="19">
        <v>37446075.07</v>
      </c>
      <c r="CD38" s="25"/>
      <c r="CE38" s="19">
        <v>41153317.919999994</v>
      </c>
      <c r="CF38" s="25"/>
      <c r="CG38" s="19">
        <v>41341895.720000006</v>
      </c>
      <c r="CH38" s="25"/>
      <c r="CI38" s="19">
        <v>38768938.299999997</v>
      </c>
      <c r="CJ38" s="25"/>
      <c r="CK38" s="19">
        <v>45128957.469999999</v>
      </c>
      <c r="CL38" s="25"/>
      <c r="CM38" s="19">
        <v>40540708.93999999</v>
      </c>
      <c r="CN38" s="25"/>
      <c r="CO38" s="19">
        <v>43317607.939999998</v>
      </c>
      <c r="CP38" s="25"/>
      <c r="CQ38" s="19">
        <v>39910619.219999999</v>
      </c>
      <c r="CR38" s="25"/>
      <c r="CS38" s="19">
        <v>37325531.979999997</v>
      </c>
      <c r="CT38" s="25"/>
      <c r="CU38" s="19">
        <v>39139790.399999999</v>
      </c>
      <c r="CV38" s="25"/>
      <c r="CW38" s="19">
        <v>34810186.039999999</v>
      </c>
      <c r="CX38" s="25"/>
      <c r="CY38" s="19">
        <v>36017848.020000003</v>
      </c>
      <c r="CZ38" s="25"/>
      <c r="DA38" s="19">
        <v>40524257.460000001</v>
      </c>
      <c r="DB38" s="25"/>
      <c r="DC38" s="19">
        <v>40124209.170000002</v>
      </c>
      <c r="DD38" s="25"/>
      <c r="DE38" s="19">
        <v>36834602.590000004</v>
      </c>
      <c r="DF38" s="25"/>
      <c r="DG38" s="19">
        <v>37920645.189999998</v>
      </c>
      <c r="DH38" s="25"/>
      <c r="DI38" s="19">
        <v>40510601.590000004</v>
      </c>
      <c r="DJ38" s="25"/>
      <c r="DK38" s="19">
        <v>35806865.159999996</v>
      </c>
      <c r="DL38" s="25"/>
      <c r="DM38" s="19">
        <v>43065837.490000002</v>
      </c>
      <c r="DN38" s="25"/>
      <c r="DO38" s="19">
        <v>37941695.409999996</v>
      </c>
      <c r="DP38" s="25"/>
      <c r="DQ38" s="19">
        <v>36602204.630000003</v>
      </c>
      <c r="DR38" s="25"/>
      <c r="DS38" s="19">
        <v>39413473.340000004</v>
      </c>
      <c r="DT38" s="25"/>
      <c r="DU38" s="19">
        <v>32739502.359999999</v>
      </c>
      <c r="DV38" s="25"/>
      <c r="DW38" s="19">
        <v>37414622.259999998</v>
      </c>
      <c r="DX38" s="25"/>
      <c r="DY38" s="19">
        <v>34432282.960000001</v>
      </c>
      <c r="DZ38" s="25"/>
      <c r="EA38" s="19">
        <v>36522956</v>
      </c>
      <c r="EB38" s="25"/>
      <c r="EC38" s="19">
        <v>35107031.810000002</v>
      </c>
      <c r="ED38" s="25"/>
      <c r="EE38" s="19">
        <v>40442638.189999998</v>
      </c>
      <c r="EF38" s="25"/>
      <c r="EG38" s="19">
        <v>37946852.700000003</v>
      </c>
      <c r="EH38" s="25"/>
      <c r="EI38" s="19">
        <v>40409769.869999997</v>
      </c>
      <c r="EJ38" s="25"/>
      <c r="EK38" s="19">
        <v>44006206.710000001</v>
      </c>
      <c r="EL38" s="25"/>
      <c r="EM38" s="19">
        <v>34878155.189999998</v>
      </c>
      <c r="EN38" s="25"/>
      <c r="EO38" s="19">
        <v>40420857.640000001</v>
      </c>
      <c r="EP38" s="25"/>
      <c r="EQ38" s="19">
        <v>37357402.530000001</v>
      </c>
      <c r="ER38" s="25"/>
      <c r="ES38" s="19">
        <f>SUM(ES35:ES37)</f>
        <v>33226182.539999999</v>
      </c>
      <c r="ET38" s="25"/>
      <c r="EU38" s="225">
        <f>IF( SUM($EQ38:ES38)&lt;0, "n/a", SUM($EQ38:ES38)/EU$74)</f>
        <v>35291792.534999996</v>
      </c>
      <c r="EV38" s="228"/>
      <c r="EW38" s="61"/>
      <c r="EX38" s="37" t="s">
        <v>50</v>
      </c>
      <c r="EY38" s="38">
        <f>IF(ISERROR(VLOOKUP(EX38,IQSH01E!$A$1:$M$400,2,0)),0,VLOOKUP(EX38,IQSH01E!$A$1:$M$400,2,0))</f>
        <v>33226182.539999999</v>
      </c>
      <c r="EZ38" s="48">
        <f>SUM(EY28:EY37)</f>
        <v>33226182.539999999</v>
      </c>
      <c r="FA38" s="188" t="s">
        <v>118</v>
      </c>
    </row>
    <row r="39" spans="1:157" ht="16.5" customHeight="1" thickBot="1" x14ac:dyDescent="0.35">
      <c r="A39" s="10"/>
      <c r="B39" s="14" t="s">
        <v>89</v>
      </c>
      <c r="C39" s="18">
        <v>0</v>
      </c>
      <c r="D39" s="24" t="e">
        <v>#DIV/0!</v>
      </c>
      <c r="E39" s="18">
        <v>0</v>
      </c>
      <c r="F39" s="24" t="e">
        <v>#DIV/0!</v>
      </c>
      <c r="G39" s="18">
        <v>0</v>
      </c>
      <c r="H39" s="24" t="e">
        <v>#DIV/0!</v>
      </c>
      <c r="I39" s="18">
        <v>0</v>
      </c>
      <c r="J39" s="24" t="e">
        <v>#DIV/0!</v>
      </c>
      <c r="K39" s="18">
        <v>0</v>
      </c>
      <c r="L39" s="24" t="e">
        <v>#DIV/0!</v>
      </c>
      <c r="M39" s="18">
        <v>0</v>
      </c>
      <c r="N39" s="24" t="e">
        <v>#DIV/0!</v>
      </c>
      <c r="O39" s="18">
        <v>0</v>
      </c>
      <c r="P39" s="24" t="e">
        <v>#DIV/0!</v>
      </c>
      <c r="Q39" s="18">
        <v>0</v>
      </c>
      <c r="R39" s="24" t="e">
        <v>#DIV/0!</v>
      </c>
      <c r="S39" s="18">
        <v>0</v>
      </c>
      <c r="T39" s="24" t="e">
        <v>#DIV/0!</v>
      </c>
      <c r="U39" s="18">
        <v>0</v>
      </c>
      <c r="V39" s="24" t="e">
        <v>#DIV/0!</v>
      </c>
      <c r="W39" s="18">
        <v>0</v>
      </c>
      <c r="X39" s="24" t="e">
        <v>#DIV/0!</v>
      </c>
      <c r="Y39" s="18">
        <v>0</v>
      </c>
      <c r="Z39" s="24" t="e">
        <v>#DIV/0!</v>
      </c>
      <c r="AA39" s="18">
        <v>0</v>
      </c>
      <c r="AB39" s="24" t="e">
        <v>#DIV/0!</v>
      </c>
      <c r="AC39" s="18">
        <v>0</v>
      </c>
      <c r="AD39" s="24" t="e">
        <v>#DIV/0!</v>
      </c>
      <c r="AE39" s="18">
        <v>0</v>
      </c>
      <c r="AF39" s="24" t="e">
        <v>#DIV/0!</v>
      </c>
      <c r="AG39" s="18">
        <v>0</v>
      </c>
      <c r="AH39" s="24" t="e">
        <v>#DIV/0!</v>
      </c>
      <c r="AI39" s="18">
        <v>0</v>
      </c>
      <c r="AJ39" s="24" t="e">
        <v>#DIV/0!</v>
      </c>
      <c r="AK39" s="18">
        <v>0</v>
      </c>
      <c r="AL39" s="24" t="e">
        <v>#DIV/0!</v>
      </c>
      <c r="AM39" s="18">
        <v>0</v>
      </c>
      <c r="AN39" s="24" t="e">
        <v>#DIV/0!</v>
      </c>
      <c r="AO39" s="18">
        <v>0</v>
      </c>
      <c r="AP39" s="24" t="e">
        <v>#DIV/0!</v>
      </c>
      <c r="AQ39" s="18">
        <v>0</v>
      </c>
      <c r="AR39" s="24" t="e">
        <v>#DIV/0!</v>
      </c>
      <c r="AS39" s="18">
        <v>0</v>
      </c>
      <c r="AT39" s="24" t="e">
        <v>#DIV/0!</v>
      </c>
      <c r="AU39" s="18">
        <v>0</v>
      </c>
      <c r="AV39" s="24" t="e">
        <v>#DIV/0!</v>
      </c>
      <c r="AW39" s="18">
        <v>0</v>
      </c>
      <c r="AX39" s="24" t="e">
        <v>#DIV/0!</v>
      </c>
      <c r="AY39" s="18">
        <v>0</v>
      </c>
      <c r="AZ39" s="24">
        <v>0</v>
      </c>
      <c r="BA39" s="18">
        <v>0</v>
      </c>
      <c r="BB39" s="24">
        <v>0</v>
      </c>
      <c r="BC39" s="18">
        <v>0</v>
      </c>
      <c r="BD39" s="24">
        <v>0</v>
      </c>
      <c r="BE39" s="18">
        <v>0</v>
      </c>
      <c r="BF39" s="24">
        <v>0</v>
      </c>
      <c r="BG39" s="18">
        <v>0</v>
      </c>
      <c r="BH39" s="24">
        <v>0</v>
      </c>
      <c r="BI39" s="18">
        <v>0</v>
      </c>
      <c r="BJ39" s="24" t="e">
        <v>#DIV/0!</v>
      </c>
      <c r="BK39" s="18">
        <v>0</v>
      </c>
      <c r="BL39" s="24" t="e">
        <v>#DIV/0!</v>
      </c>
      <c r="BM39" s="18">
        <v>0</v>
      </c>
      <c r="BN39" s="24" t="e">
        <v>#DIV/0!</v>
      </c>
      <c r="BO39" s="18">
        <v>0</v>
      </c>
      <c r="BP39" s="24" t="e">
        <v>#DIV/0!</v>
      </c>
      <c r="BQ39" s="18">
        <v>0</v>
      </c>
      <c r="BR39" s="24" t="e">
        <v>#DIV/0!</v>
      </c>
      <c r="BS39" s="18">
        <v>0</v>
      </c>
      <c r="BT39" s="24" t="e">
        <v>#DIV/0!</v>
      </c>
      <c r="BU39" s="18">
        <v>0</v>
      </c>
      <c r="BV39" s="24" t="e">
        <v>#DIV/0!</v>
      </c>
      <c r="BW39" s="18">
        <v>0</v>
      </c>
      <c r="BX39" s="24" t="e">
        <v>#DIV/0!</v>
      </c>
      <c r="BY39" s="18">
        <v>0</v>
      </c>
      <c r="BZ39" s="24" t="e">
        <v>#DIV/0!</v>
      </c>
      <c r="CA39" s="18">
        <v>0</v>
      </c>
      <c r="CB39" s="24" t="e">
        <v>#DIV/0!</v>
      </c>
      <c r="CC39" s="18">
        <v>0</v>
      </c>
      <c r="CD39" s="24" t="e">
        <v>#DIV/0!</v>
      </c>
      <c r="CE39" s="18">
        <v>0</v>
      </c>
      <c r="CF39" s="24" t="e">
        <v>#DIV/0!</v>
      </c>
      <c r="CG39" s="18">
        <v>0</v>
      </c>
      <c r="CH39" s="24" t="e">
        <v>#DIV/0!</v>
      </c>
      <c r="CI39" s="18">
        <v>0</v>
      </c>
      <c r="CJ39" s="24" t="e">
        <v>#DIV/0!</v>
      </c>
      <c r="CK39" s="18">
        <v>0</v>
      </c>
      <c r="CL39" s="24" t="e">
        <v>#DIV/0!</v>
      </c>
      <c r="CM39" s="18">
        <v>0</v>
      </c>
      <c r="CN39" s="24" t="e">
        <v>#DIV/0!</v>
      </c>
      <c r="CO39" s="18">
        <v>0</v>
      </c>
      <c r="CP39" s="24" t="e">
        <v>#DIV/0!</v>
      </c>
      <c r="CQ39" s="18">
        <v>0</v>
      </c>
      <c r="CR39" s="24" t="e">
        <v>#DIV/0!</v>
      </c>
      <c r="CS39" s="18">
        <v>0</v>
      </c>
      <c r="CT39" s="24" t="e">
        <v>#DIV/0!</v>
      </c>
      <c r="CU39" s="18">
        <v>0</v>
      </c>
      <c r="CV39" s="24" t="e">
        <v>#DIV/0!</v>
      </c>
      <c r="CW39" s="18">
        <v>0</v>
      </c>
      <c r="CX39" s="24" t="e">
        <v>#DIV/0!</v>
      </c>
      <c r="CY39" s="18">
        <v>0</v>
      </c>
      <c r="CZ39" s="24" t="e">
        <v>#DIV/0!</v>
      </c>
      <c r="DA39" s="18">
        <v>0</v>
      </c>
      <c r="DB39" s="24" t="e">
        <v>#DIV/0!</v>
      </c>
      <c r="DC39" s="18">
        <v>0</v>
      </c>
      <c r="DD39" s="24" t="e">
        <v>#DIV/0!</v>
      </c>
      <c r="DE39" s="18">
        <v>0</v>
      </c>
      <c r="DF39" s="24" t="e">
        <v>#DIV/0!</v>
      </c>
      <c r="DG39" s="18">
        <v>0</v>
      </c>
      <c r="DH39" s="24" t="e">
        <v>#DIV/0!</v>
      </c>
      <c r="DI39" s="18">
        <v>0</v>
      </c>
      <c r="DJ39" s="24" t="e">
        <v>#DIV/0!</v>
      </c>
      <c r="DK39" s="18">
        <v>0</v>
      </c>
      <c r="DL39" s="24" t="e">
        <v>#DIV/0!</v>
      </c>
      <c r="DM39" s="18">
        <v>0</v>
      </c>
      <c r="DN39" s="24" t="e">
        <v>#DIV/0!</v>
      </c>
      <c r="DO39" s="18">
        <v>0</v>
      </c>
      <c r="DP39" s="24" t="e">
        <v>#DIV/0!</v>
      </c>
      <c r="DQ39" s="18">
        <v>0</v>
      </c>
      <c r="DR39" s="24" t="e">
        <v>#DIV/0!</v>
      </c>
      <c r="DS39" s="18">
        <v>0</v>
      </c>
      <c r="DT39" s="24" t="e">
        <v>#DIV/0!</v>
      </c>
      <c r="DU39" s="18">
        <v>0</v>
      </c>
      <c r="DV39" s="24" t="e">
        <v>#DIV/0!</v>
      </c>
      <c r="DW39" s="18">
        <v>0</v>
      </c>
      <c r="DX39" s="24" t="e">
        <v>#DIV/0!</v>
      </c>
      <c r="DY39" s="18">
        <v>0</v>
      </c>
      <c r="DZ39" s="24" t="e">
        <v>#DIV/0!</v>
      </c>
      <c r="EA39" s="18">
        <v>0</v>
      </c>
      <c r="EB39" s="24" t="e">
        <v>#DIV/0!</v>
      </c>
      <c r="EC39" s="18">
        <v>0</v>
      </c>
      <c r="ED39" s="24" t="e">
        <v>#DIV/0!</v>
      </c>
      <c r="EE39" s="18">
        <v>0</v>
      </c>
      <c r="EF39" s="24" t="e">
        <v>#DIV/0!</v>
      </c>
      <c r="EG39" s="18">
        <v>0</v>
      </c>
      <c r="EH39" s="24" t="e">
        <v>#DIV/0!</v>
      </c>
      <c r="EI39" s="18">
        <v>0</v>
      </c>
      <c r="EJ39" s="24" t="e">
        <v>#DIV/0!</v>
      </c>
      <c r="EK39" s="18">
        <v>0</v>
      </c>
      <c r="EL39" s="24" t="e">
        <v>#DIV/0!</v>
      </c>
      <c r="EM39" s="18">
        <v>0</v>
      </c>
      <c r="EN39" s="24" t="e">
        <v>#DIV/0!</v>
      </c>
      <c r="EO39" s="18">
        <v>0</v>
      </c>
      <c r="EP39" s="24" t="e">
        <v>#DIV/0!</v>
      </c>
      <c r="EQ39" s="18">
        <v>0</v>
      </c>
      <c r="ER39" s="24" t="e">
        <v>#DIV/0!</v>
      </c>
      <c r="ES39" s="18">
        <f t="shared" ref="ES39:ES45" si="3">+$EY39</f>
        <v>0</v>
      </c>
      <c r="ET39" s="24" t="e">
        <f>ES39/ES46</f>
        <v>#DIV/0!</v>
      </c>
      <c r="EU39" s="221" t="e">
        <f>IF( SUM($EQ39:ES39)&lt;0, "n/a", SUM($EQ39:ES39)/EU$74)</f>
        <v>#DIV/0!</v>
      </c>
      <c r="EV39" s="222" t="e">
        <f>EU39/EU46</f>
        <v>#DIV/0!</v>
      </c>
      <c r="EW39" s="22"/>
      <c r="EX39" s="96" t="s">
        <v>28</v>
      </c>
      <c r="EY39" s="35">
        <f>IF(ISERROR(VLOOKUP(EX39,IQSH01E!$A$1:$M$400,2,0)),0,VLOOKUP(EX39,IQSH01E!$A$1:$M$400,2,0))</f>
        <v>0</v>
      </c>
      <c r="EZ39" s="204"/>
      <c r="FA39" s="182" t="s">
        <v>123</v>
      </c>
    </row>
    <row r="40" spans="1:157" ht="16.5" customHeight="1" thickBot="1" x14ac:dyDescent="0.35">
      <c r="A40" s="10"/>
      <c r="B40" s="14" t="s">
        <v>79</v>
      </c>
      <c r="C40" s="18">
        <v>0</v>
      </c>
      <c r="D40" s="24" t="e">
        <v>#DIV/0!</v>
      </c>
      <c r="E40" s="18">
        <v>0</v>
      </c>
      <c r="F40" s="24" t="e">
        <v>#DIV/0!</v>
      </c>
      <c r="G40" s="18">
        <v>0</v>
      </c>
      <c r="H40" s="24" t="e">
        <v>#DIV/0!</v>
      </c>
      <c r="I40" s="18">
        <v>0</v>
      </c>
      <c r="J40" s="24" t="e">
        <v>#DIV/0!</v>
      </c>
      <c r="K40" s="18">
        <v>0</v>
      </c>
      <c r="L40" s="24" t="e">
        <v>#DIV/0!</v>
      </c>
      <c r="M40" s="18">
        <v>0</v>
      </c>
      <c r="N40" s="24" t="e">
        <v>#DIV/0!</v>
      </c>
      <c r="O40" s="18">
        <v>0</v>
      </c>
      <c r="P40" s="24" t="e">
        <v>#DIV/0!</v>
      </c>
      <c r="Q40" s="18">
        <v>0</v>
      </c>
      <c r="R40" s="24" t="e">
        <v>#DIV/0!</v>
      </c>
      <c r="S40" s="18">
        <v>0</v>
      </c>
      <c r="T40" s="24" t="e">
        <v>#DIV/0!</v>
      </c>
      <c r="U40" s="18">
        <v>0</v>
      </c>
      <c r="V40" s="24" t="e">
        <v>#DIV/0!</v>
      </c>
      <c r="W40" s="18">
        <v>0</v>
      </c>
      <c r="X40" s="24" t="e">
        <v>#DIV/0!</v>
      </c>
      <c r="Y40" s="18">
        <v>0</v>
      </c>
      <c r="Z40" s="24" t="e">
        <v>#DIV/0!</v>
      </c>
      <c r="AA40" s="18">
        <v>0</v>
      </c>
      <c r="AB40" s="24" t="e">
        <v>#DIV/0!</v>
      </c>
      <c r="AC40" s="18">
        <v>0</v>
      </c>
      <c r="AD40" s="24" t="e">
        <v>#DIV/0!</v>
      </c>
      <c r="AE40" s="18">
        <v>0</v>
      </c>
      <c r="AF40" s="24" t="e">
        <v>#DIV/0!</v>
      </c>
      <c r="AG40" s="18">
        <v>0</v>
      </c>
      <c r="AH40" s="24" t="e">
        <v>#DIV/0!</v>
      </c>
      <c r="AI40" s="18">
        <v>0</v>
      </c>
      <c r="AJ40" s="24" t="e">
        <v>#DIV/0!</v>
      </c>
      <c r="AK40" s="18">
        <v>0</v>
      </c>
      <c r="AL40" s="24" t="e">
        <v>#DIV/0!</v>
      </c>
      <c r="AM40" s="18">
        <v>0</v>
      </c>
      <c r="AN40" s="24" t="e">
        <v>#DIV/0!</v>
      </c>
      <c r="AO40" s="18">
        <v>0</v>
      </c>
      <c r="AP40" s="24" t="e">
        <v>#DIV/0!</v>
      </c>
      <c r="AQ40" s="18">
        <v>0</v>
      </c>
      <c r="AR40" s="24" t="e">
        <v>#DIV/0!</v>
      </c>
      <c r="AS40" s="18">
        <v>0</v>
      </c>
      <c r="AT40" s="24" t="e">
        <v>#DIV/0!</v>
      </c>
      <c r="AU40" s="18">
        <v>0</v>
      </c>
      <c r="AV40" s="24" t="e">
        <v>#DIV/0!</v>
      </c>
      <c r="AW40" s="18">
        <v>0</v>
      </c>
      <c r="AX40" s="24" t="e">
        <v>#DIV/0!</v>
      </c>
      <c r="AY40" s="18">
        <v>47456.25</v>
      </c>
      <c r="AZ40" s="24">
        <v>0.40842937116357175</v>
      </c>
      <c r="BA40" s="18">
        <v>97263.5</v>
      </c>
      <c r="BB40" s="24">
        <v>0.69031863311324981</v>
      </c>
      <c r="BC40" s="18">
        <v>36991.380000000005</v>
      </c>
      <c r="BD40" s="24">
        <v>0.81810250205292057</v>
      </c>
      <c r="BE40" s="18">
        <v>97656.33</v>
      </c>
      <c r="BF40" s="24">
        <v>0.53505178379304175</v>
      </c>
      <c r="BG40" s="18">
        <v>0</v>
      </c>
      <c r="BH40" s="24">
        <v>0</v>
      </c>
      <c r="BI40" s="18">
        <v>0</v>
      </c>
      <c r="BJ40" s="24" t="e">
        <v>#DIV/0!</v>
      </c>
      <c r="BK40" s="18">
        <v>0</v>
      </c>
      <c r="BL40" s="24" t="e">
        <v>#DIV/0!</v>
      </c>
      <c r="BM40" s="18">
        <v>0</v>
      </c>
      <c r="BN40" s="24" t="e">
        <v>#DIV/0!</v>
      </c>
      <c r="BO40" s="18">
        <v>0</v>
      </c>
      <c r="BP40" s="24" t="e">
        <v>#DIV/0!</v>
      </c>
      <c r="BQ40" s="18">
        <v>0</v>
      </c>
      <c r="BR40" s="24" t="e">
        <v>#DIV/0!</v>
      </c>
      <c r="BS40" s="18">
        <v>0</v>
      </c>
      <c r="BT40" s="24" t="e">
        <v>#DIV/0!</v>
      </c>
      <c r="BU40" s="18">
        <v>0</v>
      </c>
      <c r="BV40" s="24" t="e">
        <v>#DIV/0!</v>
      </c>
      <c r="BW40" s="18">
        <v>0</v>
      </c>
      <c r="BX40" s="24" t="e">
        <v>#DIV/0!</v>
      </c>
      <c r="BY40" s="18">
        <v>0</v>
      </c>
      <c r="BZ40" s="24" t="e">
        <v>#DIV/0!</v>
      </c>
      <c r="CA40" s="18">
        <v>0</v>
      </c>
      <c r="CB40" s="24" t="e">
        <v>#DIV/0!</v>
      </c>
      <c r="CC40" s="18">
        <v>0</v>
      </c>
      <c r="CD40" s="24" t="e">
        <v>#DIV/0!</v>
      </c>
      <c r="CE40" s="18">
        <v>0</v>
      </c>
      <c r="CF40" s="24" t="e">
        <v>#DIV/0!</v>
      </c>
      <c r="CG40" s="18">
        <v>0</v>
      </c>
      <c r="CH40" s="24" t="e">
        <v>#DIV/0!</v>
      </c>
      <c r="CI40" s="18">
        <v>0</v>
      </c>
      <c r="CJ40" s="24" t="e">
        <v>#DIV/0!</v>
      </c>
      <c r="CK40" s="18">
        <v>0</v>
      </c>
      <c r="CL40" s="24" t="e">
        <v>#DIV/0!</v>
      </c>
      <c r="CM40" s="18">
        <v>0</v>
      </c>
      <c r="CN40" s="24" t="e">
        <v>#DIV/0!</v>
      </c>
      <c r="CO40" s="18">
        <v>0</v>
      </c>
      <c r="CP40" s="24" t="e">
        <v>#DIV/0!</v>
      </c>
      <c r="CQ40" s="18">
        <v>0</v>
      </c>
      <c r="CR40" s="24" t="e">
        <v>#DIV/0!</v>
      </c>
      <c r="CS40" s="18">
        <v>0</v>
      </c>
      <c r="CT40" s="24" t="e">
        <v>#DIV/0!</v>
      </c>
      <c r="CU40" s="18">
        <v>0</v>
      </c>
      <c r="CV40" s="24" t="e">
        <v>#DIV/0!</v>
      </c>
      <c r="CW40" s="18">
        <v>0</v>
      </c>
      <c r="CX40" s="24" t="e">
        <v>#DIV/0!</v>
      </c>
      <c r="CY40" s="18">
        <v>0</v>
      </c>
      <c r="CZ40" s="24" t="e">
        <v>#DIV/0!</v>
      </c>
      <c r="DA40" s="18">
        <v>0</v>
      </c>
      <c r="DB40" s="24" t="e">
        <v>#DIV/0!</v>
      </c>
      <c r="DC40" s="18">
        <v>0</v>
      </c>
      <c r="DD40" s="24" t="e">
        <v>#DIV/0!</v>
      </c>
      <c r="DE40" s="18">
        <v>0</v>
      </c>
      <c r="DF40" s="24" t="e">
        <v>#DIV/0!</v>
      </c>
      <c r="DG40" s="18">
        <v>0</v>
      </c>
      <c r="DH40" s="24" t="e">
        <v>#DIV/0!</v>
      </c>
      <c r="DI40" s="18">
        <v>0</v>
      </c>
      <c r="DJ40" s="24" t="e">
        <v>#DIV/0!</v>
      </c>
      <c r="DK40" s="18">
        <v>0</v>
      </c>
      <c r="DL40" s="24" t="e">
        <v>#DIV/0!</v>
      </c>
      <c r="DM40" s="18">
        <v>0</v>
      </c>
      <c r="DN40" s="24" t="e">
        <v>#DIV/0!</v>
      </c>
      <c r="DO40" s="18">
        <v>0</v>
      </c>
      <c r="DP40" s="24" t="e">
        <v>#DIV/0!</v>
      </c>
      <c r="DQ40" s="18">
        <v>0</v>
      </c>
      <c r="DR40" s="24" t="e">
        <v>#DIV/0!</v>
      </c>
      <c r="DS40" s="18">
        <v>0</v>
      </c>
      <c r="DT40" s="24" t="e">
        <v>#DIV/0!</v>
      </c>
      <c r="DU40" s="18">
        <v>0</v>
      </c>
      <c r="DV40" s="24" t="e">
        <v>#DIV/0!</v>
      </c>
      <c r="DW40" s="18">
        <v>0</v>
      </c>
      <c r="DX40" s="24" t="e">
        <v>#DIV/0!</v>
      </c>
      <c r="DY40" s="18">
        <v>0</v>
      </c>
      <c r="DZ40" s="24" t="e">
        <v>#DIV/0!</v>
      </c>
      <c r="EA40" s="18">
        <v>0</v>
      </c>
      <c r="EB40" s="24" t="e">
        <v>#DIV/0!</v>
      </c>
      <c r="EC40" s="18">
        <v>0</v>
      </c>
      <c r="ED40" s="24" t="e">
        <v>#DIV/0!</v>
      </c>
      <c r="EE40" s="18">
        <v>0</v>
      </c>
      <c r="EF40" s="24" t="e">
        <v>#DIV/0!</v>
      </c>
      <c r="EG40" s="18">
        <v>0</v>
      </c>
      <c r="EH40" s="24" t="e">
        <v>#DIV/0!</v>
      </c>
      <c r="EI40" s="18">
        <v>0</v>
      </c>
      <c r="EJ40" s="24" t="e">
        <v>#DIV/0!</v>
      </c>
      <c r="EK40" s="18">
        <v>0</v>
      </c>
      <c r="EL40" s="24" t="e">
        <v>#DIV/0!</v>
      </c>
      <c r="EM40" s="18">
        <v>0</v>
      </c>
      <c r="EN40" s="24" t="e">
        <v>#DIV/0!</v>
      </c>
      <c r="EO40" s="18">
        <v>0</v>
      </c>
      <c r="EP40" s="24" t="e">
        <v>#DIV/0!</v>
      </c>
      <c r="EQ40" s="18">
        <v>0</v>
      </c>
      <c r="ER40" s="24" t="e">
        <v>#DIV/0!</v>
      </c>
      <c r="ES40" s="18">
        <f t="shared" si="3"/>
        <v>0</v>
      </c>
      <c r="ET40" s="24" t="e">
        <f>ES40/ES46</f>
        <v>#DIV/0!</v>
      </c>
      <c r="EU40" s="221" t="e">
        <f>IF( SUM($EQ40:ES40)&lt;0, "n/a", SUM($EQ40:ES40)/EU$74)</f>
        <v>#DIV/0!</v>
      </c>
      <c r="EV40" s="223" t="e">
        <f>EU40/EU46</f>
        <v>#DIV/0!</v>
      </c>
      <c r="EW40" s="22"/>
      <c r="EX40" s="100" t="s">
        <v>113</v>
      </c>
      <c r="EY40" s="101">
        <f>+EY49-EY48-EY47-EY39-EY42-EY43-EY44-EY45-EY41</f>
        <v>0</v>
      </c>
      <c r="EZ40" s="205"/>
      <c r="FA40" s="186"/>
    </row>
    <row r="41" spans="1:157" ht="16.5" customHeight="1" x14ac:dyDescent="0.3">
      <c r="A41" s="10"/>
      <c r="B41" s="14" t="s">
        <v>107</v>
      </c>
      <c r="C41" s="18">
        <v>0</v>
      </c>
      <c r="D41" s="24" t="e">
        <v>#DIV/0!</v>
      </c>
      <c r="E41" s="18">
        <v>0</v>
      </c>
      <c r="F41" s="24" t="e">
        <v>#DIV/0!</v>
      </c>
      <c r="G41" s="18">
        <v>0</v>
      </c>
      <c r="H41" s="24" t="e">
        <v>#DIV/0!</v>
      </c>
      <c r="I41" s="18">
        <v>0</v>
      </c>
      <c r="J41" s="24" t="e">
        <v>#DIV/0!</v>
      </c>
      <c r="K41" s="18">
        <v>0</v>
      </c>
      <c r="L41" s="24" t="e">
        <v>#DIV/0!</v>
      </c>
      <c r="M41" s="18">
        <v>0</v>
      </c>
      <c r="N41" s="24" t="e">
        <v>#DIV/0!</v>
      </c>
      <c r="O41" s="18">
        <v>0</v>
      </c>
      <c r="P41" s="24" t="e">
        <v>#DIV/0!</v>
      </c>
      <c r="Q41" s="18">
        <v>0</v>
      </c>
      <c r="R41" s="24" t="e">
        <v>#DIV/0!</v>
      </c>
      <c r="S41" s="18">
        <v>0</v>
      </c>
      <c r="T41" s="24" t="e">
        <v>#DIV/0!</v>
      </c>
      <c r="U41" s="18">
        <v>0</v>
      </c>
      <c r="V41" s="24" t="e">
        <v>#DIV/0!</v>
      </c>
      <c r="W41" s="18">
        <v>0</v>
      </c>
      <c r="X41" s="24" t="e">
        <v>#DIV/0!</v>
      </c>
      <c r="Y41" s="18">
        <v>0</v>
      </c>
      <c r="Z41" s="24" t="e">
        <v>#DIV/0!</v>
      </c>
      <c r="AA41" s="18">
        <v>0</v>
      </c>
      <c r="AB41" s="24" t="e">
        <v>#DIV/0!</v>
      </c>
      <c r="AC41" s="18">
        <v>0</v>
      </c>
      <c r="AD41" s="24" t="e">
        <v>#DIV/0!</v>
      </c>
      <c r="AE41" s="18">
        <v>0</v>
      </c>
      <c r="AF41" s="24" t="e">
        <v>#DIV/0!</v>
      </c>
      <c r="AG41" s="18">
        <v>0</v>
      </c>
      <c r="AH41" s="24" t="e">
        <v>#DIV/0!</v>
      </c>
      <c r="AI41" s="18">
        <v>0</v>
      </c>
      <c r="AJ41" s="24" t="e">
        <v>#DIV/0!</v>
      </c>
      <c r="AK41" s="18">
        <v>0</v>
      </c>
      <c r="AL41" s="24" t="e">
        <v>#DIV/0!</v>
      </c>
      <c r="AM41" s="18">
        <v>0</v>
      </c>
      <c r="AN41" s="24" t="e">
        <v>#DIV/0!</v>
      </c>
      <c r="AO41" s="18">
        <v>0</v>
      </c>
      <c r="AP41" s="24" t="e">
        <v>#DIV/0!</v>
      </c>
      <c r="AQ41" s="18">
        <v>0</v>
      </c>
      <c r="AR41" s="24" t="e">
        <v>#DIV/0!</v>
      </c>
      <c r="AS41" s="18">
        <v>0</v>
      </c>
      <c r="AT41" s="24" t="e">
        <v>#DIV/0!</v>
      </c>
      <c r="AU41" s="18">
        <v>0</v>
      </c>
      <c r="AV41" s="24" t="e">
        <v>#DIV/0!</v>
      </c>
      <c r="AW41" s="18">
        <v>0</v>
      </c>
      <c r="AX41" s="24" t="e">
        <v>#DIV/0!</v>
      </c>
      <c r="AY41" s="18">
        <v>0</v>
      </c>
      <c r="AZ41" s="24">
        <v>0</v>
      </c>
      <c r="BA41" s="18">
        <v>0</v>
      </c>
      <c r="BB41" s="24">
        <v>0</v>
      </c>
      <c r="BC41" s="18">
        <v>0</v>
      </c>
      <c r="BD41" s="24">
        <v>0</v>
      </c>
      <c r="BE41" s="18">
        <v>0</v>
      </c>
      <c r="BF41" s="24">
        <v>0</v>
      </c>
      <c r="BG41" s="18">
        <v>0</v>
      </c>
      <c r="BH41" s="24">
        <v>0</v>
      </c>
      <c r="BI41" s="18">
        <v>0</v>
      </c>
      <c r="BJ41" s="24" t="e">
        <v>#DIV/0!</v>
      </c>
      <c r="BK41" s="18">
        <v>0</v>
      </c>
      <c r="BL41" s="24" t="e">
        <v>#DIV/0!</v>
      </c>
      <c r="BM41" s="18">
        <v>0</v>
      </c>
      <c r="BN41" s="24" t="e">
        <v>#DIV/0!</v>
      </c>
      <c r="BO41" s="18">
        <v>0</v>
      </c>
      <c r="BP41" s="24" t="e">
        <v>#DIV/0!</v>
      </c>
      <c r="BQ41" s="18">
        <v>0</v>
      </c>
      <c r="BR41" s="24" t="e">
        <v>#DIV/0!</v>
      </c>
      <c r="BS41" s="18">
        <v>0</v>
      </c>
      <c r="BT41" s="24" t="e">
        <v>#DIV/0!</v>
      </c>
      <c r="BU41" s="18">
        <v>0</v>
      </c>
      <c r="BV41" s="24" t="e">
        <v>#DIV/0!</v>
      </c>
      <c r="BW41" s="18">
        <v>0</v>
      </c>
      <c r="BX41" s="24" t="e">
        <v>#DIV/0!</v>
      </c>
      <c r="BY41" s="18">
        <v>0</v>
      </c>
      <c r="BZ41" s="24" t="e">
        <v>#DIV/0!</v>
      </c>
      <c r="CA41" s="18">
        <v>0</v>
      </c>
      <c r="CB41" s="24" t="e">
        <v>#DIV/0!</v>
      </c>
      <c r="CC41" s="18">
        <v>0</v>
      </c>
      <c r="CD41" s="24" t="e">
        <v>#DIV/0!</v>
      </c>
      <c r="CE41" s="18">
        <v>0</v>
      </c>
      <c r="CF41" s="24" t="e">
        <v>#DIV/0!</v>
      </c>
      <c r="CG41" s="18">
        <v>0</v>
      </c>
      <c r="CH41" s="24" t="e">
        <v>#DIV/0!</v>
      </c>
      <c r="CI41" s="18">
        <v>0</v>
      </c>
      <c r="CJ41" s="24" t="e">
        <v>#DIV/0!</v>
      </c>
      <c r="CK41" s="18">
        <v>0</v>
      </c>
      <c r="CL41" s="24" t="e">
        <v>#DIV/0!</v>
      </c>
      <c r="CM41" s="18">
        <v>0</v>
      </c>
      <c r="CN41" s="24" t="e">
        <v>#DIV/0!</v>
      </c>
      <c r="CO41" s="18">
        <v>0</v>
      </c>
      <c r="CP41" s="24" t="e">
        <v>#DIV/0!</v>
      </c>
      <c r="CQ41" s="18">
        <v>0</v>
      </c>
      <c r="CR41" s="24" t="e">
        <v>#DIV/0!</v>
      </c>
      <c r="CS41" s="18">
        <v>0</v>
      </c>
      <c r="CT41" s="24" t="e">
        <v>#DIV/0!</v>
      </c>
      <c r="CU41" s="18">
        <v>0</v>
      </c>
      <c r="CV41" s="24" t="e">
        <v>#DIV/0!</v>
      </c>
      <c r="CW41" s="18">
        <v>0</v>
      </c>
      <c r="CX41" s="24" t="e">
        <v>#DIV/0!</v>
      </c>
      <c r="CY41" s="18">
        <v>0</v>
      </c>
      <c r="CZ41" s="24" t="e">
        <v>#DIV/0!</v>
      </c>
      <c r="DA41" s="18">
        <v>0</v>
      </c>
      <c r="DB41" s="24" t="e">
        <v>#DIV/0!</v>
      </c>
      <c r="DC41" s="18">
        <v>0</v>
      </c>
      <c r="DD41" s="24" t="e">
        <v>#DIV/0!</v>
      </c>
      <c r="DE41" s="18">
        <v>0</v>
      </c>
      <c r="DF41" s="24" t="e">
        <v>#DIV/0!</v>
      </c>
      <c r="DG41" s="18">
        <v>0</v>
      </c>
      <c r="DH41" s="24" t="e">
        <v>#DIV/0!</v>
      </c>
      <c r="DI41" s="18">
        <v>0</v>
      </c>
      <c r="DJ41" s="24" t="e">
        <v>#DIV/0!</v>
      </c>
      <c r="DK41" s="18">
        <v>0</v>
      </c>
      <c r="DL41" s="24" t="e">
        <v>#DIV/0!</v>
      </c>
      <c r="DM41" s="18">
        <v>0</v>
      </c>
      <c r="DN41" s="24" t="e">
        <v>#DIV/0!</v>
      </c>
      <c r="DO41" s="18">
        <v>0</v>
      </c>
      <c r="DP41" s="24" t="e">
        <v>#DIV/0!</v>
      </c>
      <c r="DQ41" s="18">
        <v>0</v>
      </c>
      <c r="DR41" s="24" t="e">
        <v>#DIV/0!</v>
      </c>
      <c r="DS41" s="18">
        <v>0</v>
      </c>
      <c r="DT41" s="24" t="e">
        <v>#DIV/0!</v>
      </c>
      <c r="DU41" s="18">
        <v>0</v>
      </c>
      <c r="DV41" s="24" t="e">
        <v>#DIV/0!</v>
      </c>
      <c r="DW41" s="18">
        <v>0</v>
      </c>
      <c r="DX41" s="24" t="e">
        <v>#DIV/0!</v>
      </c>
      <c r="DY41" s="18">
        <v>0</v>
      </c>
      <c r="DZ41" s="24" t="e">
        <v>#DIV/0!</v>
      </c>
      <c r="EA41" s="18">
        <v>0</v>
      </c>
      <c r="EB41" s="24" t="e">
        <v>#DIV/0!</v>
      </c>
      <c r="EC41" s="18">
        <v>0</v>
      </c>
      <c r="ED41" s="24" t="e">
        <v>#DIV/0!</v>
      </c>
      <c r="EE41" s="18">
        <v>0</v>
      </c>
      <c r="EF41" s="24" t="e">
        <v>#DIV/0!</v>
      </c>
      <c r="EG41" s="18">
        <v>0</v>
      </c>
      <c r="EH41" s="24" t="e">
        <v>#DIV/0!</v>
      </c>
      <c r="EI41" s="18">
        <v>0</v>
      </c>
      <c r="EJ41" s="24" t="e">
        <v>#DIV/0!</v>
      </c>
      <c r="EK41" s="18">
        <v>0</v>
      </c>
      <c r="EL41" s="24" t="e">
        <v>#DIV/0!</v>
      </c>
      <c r="EM41" s="18">
        <v>0</v>
      </c>
      <c r="EN41" s="24" t="e">
        <v>#DIV/0!</v>
      </c>
      <c r="EO41" s="18">
        <v>0</v>
      </c>
      <c r="EP41" s="24" t="e">
        <v>#DIV/0!</v>
      </c>
      <c r="EQ41" s="18">
        <v>0</v>
      </c>
      <c r="ER41" s="24" t="e">
        <v>#DIV/0!</v>
      </c>
      <c r="ES41" s="18">
        <f t="shared" si="3"/>
        <v>0</v>
      </c>
      <c r="ET41" s="24" t="e">
        <f>ES41/ES46</f>
        <v>#DIV/0!</v>
      </c>
      <c r="EU41" s="221" t="e">
        <f>IF( SUM($EQ41:ES41)&lt;0, "n/a", SUM($EQ41:ES41)/EU$74)</f>
        <v>#DIV/0!</v>
      </c>
      <c r="EV41" s="224" t="e">
        <f>EU41/EU46</f>
        <v>#DIV/0!</v>
      </c>
      <c r="EW41" s="22"/>
      <c r="EX41" s="154" t="s">
        <v>142</v>
      </c>
      <c r="EY41" s="34">
        <f>IF(ISERROR(VLOOKUP(EX41,IQSH01E!$A$1:$M$400,2,0)),0,VLOOKUP(EX41,IQSH01E!$A$1:$M$400,2,0))</f>
        <v>0</v>
      </c>
      <c r="EZ41" s="206"/>
      <c r="FA41" s="187" t="s">
        <v>117</v>
      </c>
    </row>
    <row r="42" spans="1:157" ht="16.5" customHeight="1" x14ac:dyDescent="0.3">
      <c r="A42" s="11"/>
      <c r="B42" s="14" t="s">
        <v>80</v>
      </c>
      <c r="C42" s="18">
        <v>0</v>
      </c>
      <c r="D42" s="24" t="e">
        <v>#DIV/0!</v>
      </c>
      <c r="E42" s="18">
        <v>0</v>
      </c>
      <c r="F42" s="24" t="e">
        <v>#DIV/0!</v>
      </c>
      <c r="G42" s="18">
        <v>0</v>
      </c>
      <c r="H42" s="24" t="e">
        <v>#DIV/0!</v>
      </c>
      <c r="I42" s="18">
        <v>0</v>
      </c>
      <c r="J42" s="24" t="e">
        <v>#DIV/0!</v>
      </c>
      <c r="K42" s="18">
        <v>0</v>
      </c>
      <c r="L42" s="24" t="e">
        <v>#DIV/0!</v>
      </c>
      <c r="M42" s="18">
        <v>0</v>
      </c>
      <c r="N42" s="24" t="e">
        <v>#DIV/0!</v>
      </c>
      <c r="O42" s="18">
        <v>0</v>
      </c>
      <c r="P42" s="24" t="e">
        <v>#DIV/0!</v>
      </c>
      <c r="Q42" s="18">
        <v>0</v>
      </c>
      <c r="R42" s="24" t="e">
        <v>#DIV/0!</v>
      </c>
      <c r="S42" s="18">
        <v>0</v>
      </c>
      <c r="T42" s="24" t="e">
        <v>#DIV/0!</v>
      </c>
      <c r="U42" s="18">
        <v>0</v>
      </c>
      <c r="V42" s="24" t="e">
        <v>#DIV/0!</v>
      </c>
      <c r="W42" s="18">
        <v>0</v>
      </c>
      <c r="X42" s="24" t="e">
        <v>#DIV/0!</v>
      </c>
      <c r="Y42" s="18">
        <v>0</v>
      </c>
      <c r="Z42" s="24" t="e">
        <v>#DIV/0!</v>
      </c>
      <c r="AA42" s="18">
        <v>0</v>
      </c>
      <c r="AB42" s="24" t="e">
        <v>#DIV/0!</v>
      </c>
      <c r="AC42" s="18">
        <v>0</v>
      </c>
      <c r="AD42" s="24" t="e">
        <v>#DIV/0!</v>
      </c>
      <c r="AE42" s="18">
        <v>0</v>
      </c>
      <c r="AF42" s="24" t="e">
        <v>#DIV/0!</v>
      </c>
      <c r="AG42" s="18">
        <v>0</v>
      </c>
      <c r="AH42" s="24" t="e">
        <v>#DIV/0!</v>
      </c>
      <c r="AI42" s="18">
        <v>0</v>
      </c>
      <c r="AJ42" s="24" t="e">
        <v>#DIV/0!</v>
      </c>
      <c r="AK42" s="18">
        <v>0</v>
      </c>
      <c r="AL42" s="24" t="e">
        <v>#DIV/0!</v>
      </c>
      <c r="AM42" s="18">
        <v>0</v>
      </c>
      <c r="AN42" s="24" t="e">
        <v>#DIV/0!</v>
      </c>
      <c r="AO42" s="18">
        <v>0</v>
      </c>
      <c r="AP42" s="24" t="e">
        <v>#DIV/0!</v>
      </c>
      <c r="AQ42" s="18">
        <v>0</v>
      </c>
      <c r="AR42" s="24" t="e">
        <v>#DIV/0!</v>
      </c>
      <c r="AS42" s="18">
        <v>0</v>
      </c>
      <c r="AT42" s="24" t="e">
        <v>#DIV/0!</v>
      </c>
      <c r="AU42" s="18">
        <v>0</v>
      </c>
      <c r="AV42" s="24" t="e">
        <v>#DIV/0!</v>
      </c>
      <c r="AW42" s="18">
        <v>0</v>
      </c>
      <c r="AX42" s="24" t="e">
        <v>#DIV/0!</v>
      </c>
      <c r="AY42" s="18">
        <v>68735.81</v>
      </c>
      <c r="AZ42" s="24">
        <v>0.59157062883642819</v>
      </c>
      <c r="BA42" s="18">
        <v>43633.03</v>
      </c>
      <c r="BB42" s="24">
        <v>0.30968136688675013</v>
      </c>
      <c r="BC42" s="18">
        <v>8224.69</v>
      </c>
      <c r="BD42" s="24">
        <v>0.18189749794707941</v>
      </c>
      <c r="BE42" s="18">
        <v>84861.2</v>
      </c>
      <c r="BF42" s="24">
        <v>0.46494821620695831</v>
      </c>
      <c r="BG42" s="18">
        <v>5556.93</v>
      </c>
      <c r="BH42" s="24">
        <v>1</v>
      </c>
      <c r="BI42" s="18">
        <v>0</v>
      </c>
      <c r="BJ42" s="24" t="e">
        <v>#DIV/0!</v>
      </c>
      <c r="BK42" s="18">
        <v>0</v>
      </c>
      <c r="BL42" s="24" t="e">
        <v>#DIV/0!</v>
      </c>
      <c r="BM42" s="18">
        <v>0</v>
      </c>
      <c r="BN42" s="24" t="e">
        <v>#DIV/0!</v>
      </c>
      <c r="BO42" s="18">
        <v>0</v>
      </c>
      <c r="BP42" s="24" t="e">
        <v>#DIV/0!</v>
      </c>
      <c r="BQ42" s="18">
        <v>0</v>
      </c>
      <c r="BR42" s="24" t="e">
        <v>#DIV/0!</v>
      </c>
      <c r="BS42" s="18">
        <v>0</v>
      </c>
      <c r="BT42" s="24" t="e">
        <v>#DIV/0!</v>
      </c>
      <c r="BU42" s="18">
        <v>0</v>
      </c>
      <c r="BV42" s="24" t="e">
        <v>#DIV/0!</v>
      </c>
      <c r="BW42" s="18">
        <v>0</v>
      </c>
      <c r="BX42" s="24" t="e">
        <v>#DIV/0!</v>
      </c>
      <c r="BY42" s="18">
        <v>0</v>
      </c>
      <c r="BZ42" s="24" t="e">
        <v>#DIV/0!</v>
      </c>
      <c r="CA42" s="18">
        <v>0</v>
      </c>
      <c r="CB42" s="24" t="e">
        <v>#DIV/0!</v>
      </c>
      <c r="CC42" s="18">
        <v>0</v>
      </c>
      <c r="CD42" s="24" t="e">
        <v>#DIV/0!</v>
      </c>
      <c r="CE42" s="18">
        <v>0</v>
      </c>
      <c r="CF42" s="24" t="e">
        <v>#DIV/0!</v>
      </c>
      <c r="CG42" s="18">
        <v>0</v>
      </c>
      <c r="CH42" s="24" t="e">
        <v>#DIV/0!</v>
      </c>
      <c r="CI42" s="18">
        <v>0</v>
      </c>
      <c r="CJ42" s="24" t="e">
        <v>#DIV/0!</v>
      </c>
      <c r="CK42" s="18">
        <v>0</v>
      </c>
      <c r="CL42" s="24" t="e">
        <v>#DIV/0!</v>
      </c>
      <c r="CM42" s="18">
        <v>0</v>
      </c>
      <c r="CN42" s="24" t="e">
        <v>#DIV/0!</v>
      </c>
      <c r="CO42" s="18">
        <v>0</v>
      </c>
      <c r="CP42" s="24" t="e">
        <v>#DIV/0!</v>
      </c>
      <c r="CQ42" s="18">
        <v>0</v>
      </c>
      <c r="CR42" s="24" t="e">
        <v>#DIV/0!</v>
      </c>
      <c r="CS42" s="18">
        <v>0</v>
      </c>
      <c r="CT42" s="24" t="e">
        <v>#DIV/0!</v>
      </c>
      <c r="CU42" s="18">
        <v>0</v>
      </c>
      <c r="CV42" s="24" t="e">
        <v>#DIV/0!</v>
      </c>
      <c r="CW42" s="18">
        <v>0</v>
      </c>
      <c r="CX42" s="24" t="e">
        <v>#DIV/0!</v>
      </c>
      <c r="CY42" s="18">
        <v>0</v>
      </c>
      <c r="CZ42" s="24" t="e">
        <v>#DIV/0!</v>
      </c>
      <c r="DA42" s="18">
        <v>0</v>
      </c>
      <c r="DB42" s="24" t="e">
        <v>#DIV/0!</v>
      </c>
      <c r="DC42" s="18">
        <v>0</v>
      </c>
      <c r="DD42" s="24" t="e">
        <v>#DIV/0!</v>
      </c>
      <c r="DE42" s="18">
        <v>0</v>
      </c>
      <c r="DF42" s="24" t="e">
        <v>#DIV/0!</v>
      </c>
      <c r="DG42" s="18">
        <v>0</v>
      </c>
      <c r="DH42" s="24" t="e">
        <v>#DIV/0!</v>
      </c>
      <c r="DI42" s="18">
        <v>0</v>
      </c>
      <c r="DJ42" s="24" t="e">
        <v>#DIV/0!</v>
      </c>
      <c r="DK42" s="18">
        <v>0</v>
      </c>
      <c r="DL42" s="24" t="e">
        <v>#DIV/0!</v>
      </c>
      <c r="DM42" s="18">
        <v>0</v>
      </c>
      <c r="DN42" s="24" t="e">
        <v>#DIV/0!</v>
      </c>
      <c r="DO42" s="18">
        <v>0</v>
      </c>
      <c r="DP42" s="24" t="e">
        <v>#DIV/0!</v>
      </c>
      <c r="DQ42" s="18">
        <v>0</v>
      </c>
      <c r="DR42" s="24" t="e">
        <v>#DIV/0!</v>
      </c>
      <c r="DS42" s="18">
        <v>0</v>
      </c>
      <c r="DT42" s="24" t="e">
        <v>#DIV/0!</v>
      </c>
      <c r="DU42" s="18">
        <v>0</v>
      </c>
      <c r="DV42" s="24" t="e">
        <v>#DIV/0!</v>
      </c>
      <c r="DW42" s="18">
        <v>0</v>
      </c>
      <c r="DX42" s="24" t="e">
        <v>#DIV/0!</v>
      </c>
      <c r="DY42" s="18">
        <v>0</v>
      </c>
      <c r="DZ42" s="24" t="e">
        <v>#DIV/0!</v>
      </c>
      <c r="EA42" s="18">
        <v>0</v>
      </c>
      <c r="EB42" s="24" t="e">
        <v>#DIV/0!</v>
      </c>
      <c r="EC42" s="18">
        <v>0</v>
      </c>
      <c r="ED42" s="24" t="e">
        <v>#DIV/0!</v>
      </c>
      <c r="EE42" s="18">
        <v>0</v>
      </c>
      <c r="EF42" s="24" t="e">
        <v>#DIV/0!</v>
      </c>
      <c r="EG42" s="18">
        <v>0</v>
      </c>
      <c r="EH42" s="24" t="e">
        <v>#DIV/0!</v>
      </c>
      <c r="EI42" s="18">
        <v>0</v>
      </c>
      <c r="EJ42" s="24" t="e">
        <v>#DIV/0!</v>
      </c>
      <c r="EK42" s="18">
        <v>0</v>
      </c>
      <c r="EL42" s="24" t="e">
        <v>#DIV/0!</v>
      </c>
      <c r="EM42" s="18">
        <v>0</v>
      </c>
      <c r="EN42" s="24" t="e">
        <v>#DIV/0!</v>
      </c>
      <c r="EO42" s="18">
        <v>0</v>
      </c>
      <c r="EP42" s="24" t="e">
        <v>#DIV/0!</v>
      </c>
      <c r="EQ42" s="18">
        <v>0</v>
      </c>
      <c r="ER42" s="24" t="e">
        <v>#DIV/0!</v>
      </c>
      <c r="ES42" s="18">
        <f t="shared" si="3"/>
        <v>0</v>
      </c>
      <c r="ET42" s="24" t="e">
        <f>ES42/ES46</f>
        <v>#DIV/0!</v>
      </c>
      <c r="EU42" s="221" t="e">
        <f>IF( SUM($EQ42:ES42)&lt;0, "n/a", SUM($EQ42:ES42)/EU$74)</f>
        <v>#DIV/0!</v>
      </c>
      <c r="EV42" s="224" t="e">
        <f>EU42/EU46</f>
        <v>#DIV/0!</v>
      </c>
      <c r="EW42" s="22"/>
      <c r="EX42" s="96" t="s">
        <v>36</v>
      </c>
      <c r="EY42" s="35">
        <f>IF(ISERROR(VLOOKUP(EX42,IQSH01E!$A$1:$M$400,2,0)),0,VLOOKUP(EX42,IQSH01E!$A$1:$M$400,2,0))</f>
        <v>0</v>
      </c>
      <c r="EZ42" s="204"/>
      <c r="FA42" s="182" t="s">
        <v>118</v>
      </c>
    </row>
    <row r="43" spans="1:157" ht="16.5" customHeight="1" x14ac:dyDescent="0.3">
      <c r="A43" s="11"/>
      <c r="B43" s="14" t="s">
        <v>81</v>
      </c>
      <c r="C43" s="18">
        <v>0</v>
      </c>
      <c r="D43" s="24" t="e">
        <v>#DIV/0!</v>
      </c>
      <c r="E43" s="18">
        <v>0</v>
      </c>
      <c r="F43" s="24" t="e">
        <v>#DIV/0!</v>
      </c>
      <c r="G43" s="18">
        <v>0</v>
      </c>
      <c r="H43" s="24" t="e">
        <v>#DIV/0!</v>
      </c>
      <c r="I43" s="18">
        <v>0</v>
      </c>
      <c r="J43" s="24" t="e">
        <v>#DIV/0!</v>
      </c>
      <c r="K43" s="18">
        <v>0</v>
      </c>
      <c r="L43" s="24" t="e">
        <v>#DIV/0!</v>
      </c>
      <c r="M43" s="18">
        <v>0</v>
      </c>
      <c r="N43" s="24" t="e">
        <v>#DIV/0!</v>
      </c>
      <c r="O43" s="18">
        <v>0</v>
      </c>
      <c r="P43" s="24" t="e">
        <v>#DIV/0!</v>
      </c>
      <c r="Q43" s="18">
        <v>0</v>
      </c>
      <c r="R43" s="24" t="e">
        <v>#DIV/0!</v>
      </c>
      <c r="S43" s="18">
        <v>0</v>
      </c>
      <c r="T43" s="24" t="e">
        <v>#DIV/0!</v>
      </c>
      <c r="U43" s="18">
        <v>0</v>
      </c>
      <c r="V43" s="24" t="e">
        <v>#DIV/0!</v>
      </c>
      <c r="W43" s="18">
        <v>0</v>
      </c>
      <c r="X43" s="24" t="e">
        <v>#DIV/0!</v>
      </c>
      <c r="Y43" s="18">
        <v>0</v>
      </c>
      <c r="Z43" s="24" t="e">
        <v>#DIV/0!</v>
      </c>
      <c r="AA43" s="18">
        <v>0</v>
      </c>
      <c r="AB43" s="24" t="e">
        <v>#DIV/0!</v>
      </c>
      <c r="AC43" s="18">
        <v>0</v>
      </c>
      <c r="AD43" s="24" t="e">
        <v>#DIV/0!</v>
      </c>
      <c r="AE43" s="18">
        <v>0</v>
      </c>
      <c r="AF43" s="24" t="e">
        <v>#DIV/0!</v>
      </c>
      <c r="AG43" s="18">
        <v>0</v>
      </c>
      <c r="AH43" s="24" t="e">
        <v>#DIV/0!</v>
      </c>
      <c r="AI43" s="18">
        <v>0</v>
      </c>
      <c r="AJ43" s="24" t="e">
        <v>#DIV/0!</v>
      </c>
      <c r="AK43" s="18">
        <v>0</v>
      </c>
      <c r="AL43" s="24" t="e">
        <v>#DIV/0!</v>
      </c>
      <c r="AM43" s="18">
        <v>0</v>
      </c>
      <c r="AN43" s="24" t="e">
        <v>#DIV/0!</v>
      </c>
      <c r="AO43" s="18">
        <v>0</v>
      </c>
      <c r="AP43" s="24" t="e">
        <v>#DIV/0!</v>
      </c>
      <c r="AQ43" s="18">
        <v>0</v>
      </c>
      <c r="AR43" s="24" t="e">
        <v>#DIV/0!</v>
      </c>
      <c r="AS43" s="18">
        <v>0</v>
      </c>
      <c r="AT43" s="24" t="e">
        <v>#DIV/0!</v>
      </c>
      <c r="AU43" s="18">
        <v>0</v>
      </c>
      <c r="AV43" s="24" t="e">
        <v>#DIV/0!</v>
      </c>
      <c r="AW43" s="18">
        <v>0</v>
      </c>
      <c r="AX43" s="24" t="e">
        <v>#DIV/0!</v>
      </c>
      <c r="AY43" s="18">
        <v>0</v>
      </c>
      <c r="AZ43" s="24">
        <v>0</v>
      </c>
      <c r="BA43" s="18">
        <v>0</v>
      </c>
      <c r="BB43" s="24">
        <v>0</v>
      </c>
      <c r="BC43" s="18">
        <v>0</v>
      </c>
      <c r="BD43" s="24">
        <v>0</v>
      </c>
      <c r="BE43" s="18">
        <v>0</v>
      </c>
      <c r="BF43" s="24">
        <v>0</v>
      </c>
      <c r="BG43" s="18">
        <v>0</v>
      </c>
      <c r="BH43" s="24">
        <v>0</v>
      </c>
      <c r="BI43" s="18">
        <v>0</v>
      </c>
      <c r="BJ43" s="24" t="e">
        <v>#DIV/0!</v>
      </c>
      <c r="BK43" s="18">
        <v>0</v>
      </c>
      <c r="BL43" s="24" t="e">
        <v>#DIV/0!</v>
      </c>
      <c r="BM43" s="18">
        <v>0</v>
      </c>
      <c r="BN43" s="24" t="e">
        <v>#DIV/0!</v>
      </c>
      <c r="BO43" s="18">
        <v>0</v>
      </c>
      <c r="BP43" s="24" t="e">
        <v>#DIV/0!</v>
      </c>
      <c r="BQ43" s="18">
        <v>0</v>
      </c>
      <c r="BR43" s="24" t="e">
        <v>#DIV/0!</v>
      </c>
      <c r="BS43" s="18">
        <v>0</v>
      </c>
      <c r="BT43" s="24" t="e">
        <v>#DIV/0!</v>
      </c>
      <c r="BU43" s="18">
        <v>0</v>
      </c>
      <c r="BV43" s="24" t="e">
        <v>#DIV/0!</v>
      </c>
      <c r="BW43" s="18">
        <v>0</v>
      </c>
      <c r="BX43" s="24" t="e">
        <v>#DIV/0!</v>
      </c>
      <c r="BY43" s="18">
        <v>0</v>
      </c>
      <c r="BZ43" s="24" t="e">
        <v>#DIV/0!</v>
      </c>
      <c r="CA43" s="18">
        <v>0</v>
      </c>
      <c r="CB43" s="24" t="e">
        <v>#DIV/0!</v>
      </c>
      <c r="CC43" s="18">
        <v>0</v>
      </c>
      <c r="CD43" s="24" t="e">
        <v>#DIV/0!</v>
      </c>
      <c r="CE43" s="18">
        <v>0</v>
      </c>
      <c r="CF43" s="24" t="e">
        <v>#DIV/0!</v>
      </c>
      <c r="CG43" s="18">
        <v>0</v>
      </c>
      <c r="CH43" s="24" t="e">
        <v>#DIV/0!</v>
      </c>
      <c r="CI43" s="18">
        <v>0</v>
      </c>
      <c r="CJ43" s="24" t="e">
        <v>#DIV/0!</v>
      </c>
      <c r="CK43" s="18">
        <v>0</v>
      </c>
      <c r="CL43" s="24" t="e">
        <v>#DIV/0!</v>
      </c>
      <c r="CM43" s="18">
        <v>0</v>
      </c>
      <c r="CN43" s="24" t="e">
        <v>#DIV/0!</v>
      </c>
      <c r="CO43" s="18">
        <v>0</v>
      </c>
      <c r="CP43" s="24" t="e">
        <v>#DIV/0!</v>
      </c>
      <c r="CQ43" s="18">
        <v>0</v>
      </c>
      <c r="CR43" s="24" t="e">
        <v>#DIV/0!</v>
      </c>
      <c r="CS43" s="18">
        <v>0</v>
      </c>
      <c r="CT43" s="24" t="e">
        <v>#DIV/0!</v>
      </c>
      <c r="CU43" s="18">
        <v>0</v>
      </c>
      <c r="CV43" s="24" t="e">
        <v>#DIV/0!</v>
      </c>
      <c r="CW43" s="18">
        <v>0</v>
      </c>
      <c r="CX43" s="24" t="e">
        <v>#DIV/0!</v>
      </c>
      <c r="CY43" s="18">
        <v>0</v>
      </c>
      <c r="CZ43" s="24" t="e">
        <v>#DIV/0!</v>
      </c>
      <c r="DA43" s="18">
        <v>0</v>
      </c>
      <c r="DB43" s="24" t="e">
        <v>#DIV/0!</v>
      </c>
      <c r="DC43" s="18">
        <v>0</v>
      </c>
      <c r="DD43" s="24" t="e">
        <v>#DIV/0!</v>
      </c>
      <c r="DE43" s="18">
        <v>0</v>
      </c>
      <c r="DF43" s="24" t="e">
        <v>#DIV/0!</v>
      </c>
      <c r="DG43" s="18">
        <v>0</v>
      </c>
      <c r="DH43" s="24" t="e">
        <v>#DIV/0!</v>
      </c>
      <c r="DI43" s="18">
        <v>0</v>
      </c>
      <c r="DJ43" s="24" t="e">
        <v>#DIV/0!</v>
      </c>
      <c r="DK43" s="18">
        <v>0</v>
      </c>
      <c r="DL43" s="24" t="e">
        <v>#DIV/0!</v>
      </c>
      <c r="DM43" s="18">
        <v>0</v>
      </c>
      <c r="DN43" s="24" t="e">
        <v>#DIV/0!</v>
      </c>
      <c r="DO43" s="18">
        <v>0</v>
      </c>
      <c r="DP43" s="24" t="e">
        <v>#DIV/0!</v>
      </c>
      <c r="DQ43" s="18">
        <v>0</v>
      </c>
      <c r="DR43" s="24" t="e">
        <v>#DIV/0!</v>
      </c>
      <c r="DS43" s="18">
        <v>0</v>
      </c>
      <c r="DT43" s="24" t="e">
        <v>#DIV/0!</v>
      </c>
      <c r="DU43" s="18">
        <v>0</v>
      </c>
      <c r="DV43" s="24" t="e">
        <v>#DIV/0!</v>
      </c>
      <c r="DW43" s="18">
        <v>0</v>
      </c>
      <c r="DX43" s="24" t="e">
        <v>#DIV/0!</v>
      </c>
      <c r="DY43" s="18">
        <v>0</v>
      </c>
      <c r="DZ43" s="24" t="e">
        <v>#DIV/0!</v>
      </c>
      <c r="EA43" s="18">
        <v>0</v>
      </c>
      <c r="EB43" s="24" t="e">
        <v>#DIV/0!</v>
      </c>
      <c r="EC43" s="18">
        <v>0</v>
      </c>
      <c r="ED43" s="24" t="e">
        <v>#DIV/0!</v>
      </c>
      <c r="EE43" s="18">
        <v>0</v>
      </c>
      <c r="EF43" s="24" t="e">
        <v>#DIV/0!</v>
      </c>
      <c r="EG43" s="18">
        <v>0</v>
      </c>
      <c r="EH43" s="24" t="e">
        <v>#DIV/0!</v>
      </c>
      <c r="EI43" s="18">
        <v>0</v>
      </c>
      <c r="EJ43" s="24" t="e">
        <v>#DIV/0!</v>
      </c>
      <c r="EK43" s="18">
        <v>0</v>
      </c>
      <c r="EL43" s="24" t="e">
        <v>#DIV/0!</v>
      </c>
      <c r="EM43" s="18">
        <v>0</v>
      </c>
      <c r="EN43" s="24" t="e">
        <v>#DIV/0!</v>
      </c>
      <c r="EO43" s="18">
        <v>0</v>
      </c>
      <c r="EP43" s="24" t="e">
        <v>#DIV/0!</v>
      </c>
      <c r="EQ43" s="18">
        <v>0</v>
      </c>
      <c r="ER43" s="24" t="e">
        <v>#DIV/0!</v>
      </c>
      <c r="ES43" s="18">
        <f t="shared" si="3"/>
        <v>0</v>
      </c>
      <c r="ET43" s="24" t="e">
        <f>ES43/ES46</f>
        <v>#DIV/0!</v>
      </c>
      <c r="EU43" s="221" t="e">
        <f>IF( SUM($EQ43:ES43)&lt;0, "n/a", SUM($EQ43:ES43)/EU$74)</f>
        <v>#DIV/0!</v>
      </c>
      <c r="EV43" s="224" t="e">
        <f>EU43/EU46</f>
        <v>#DIV/0!</v>
      </c>
      <c r="EW43" s="22"/>
      <c r="EX43" s="96" t="s">
        <v>147</v>
      </c>
      <c r="EY43" s="35">
        <f>IF(ISERROR(VLOOKUP(EX43,IQSH01E!$A$1:$M$400,2,0)),0,VLOOKUP(EX43,IQSH01E!$A$1:$M$400,2,0))</f>
        <v>0</v>
      </c>
      <c r="EZ43" s="204"/>
      <c r="FA43" s="182" t="s">
        <v>123</v>
      </c>
    </row>
    <row r="44" spans="1:157" ht="16.5" customHeight="1" x14ac:dyDescent="0.3">
      <c r="A44" s="11" t="s">
        <v>99</v>
      </c>
      <c r="B44" s="14" t="s">
        <v>82</v>
      </c>
      <c r="C44" s="18">
        <v>0</v>
      </c>
      <c r="D44" s="24" t="e">
        <v>#DIV/0!</v>
      </c>
      <c r="E44" s="18">
        <v>0</v>
      </c>
      <c r="F44" s="24" t="e">
        <v>#DIV/0!</v>
      </c>
      <c r="G44" s="18">
        <v>0</v>
      </c>
      <c r="H44" s="24" t="e">
        <v>#DIV/0!</v>
      </c>
      <c r="I44" s="18">
        <v>0</v>
      </c>
      <c r="J44" s="24" t="e">
        <v>#DIV/0!</v>
      </c>
      <c r="K44" s="18">
        <v>0</v>
      </c>
      <c r="L44" s="24" t="e">
        <v>#DIV/0!</v>
      </c>
      <c r="M44" s="18">
        <v>0</v>
      </c>
      <c r="N44" s="24" t="e">
        <v>#DIV/0!</v>
      </c>
      <c r="O44" s="18">
        <v>0</v>
      </c>
      <c r="P44" s="24" t="e">
        <v>#DIV/0!</v>
      </c>
      <c r="Q44" s="18">
        <v>0</v>
      </c>
      <c r="R44" s="24" t="e">
        <v>#DIV/0!</v>
      </c>
      <c r="S44" s="18">
        <v>0</v>
      </c>
      <c r="T44" s="24" t="e">
        <v>#DIV/0!</v>
      </c>
      <c r="U44" s="18">
        <v>0</v>
      </c>
      <c r="V44" s="24" t="e">
        <v>#DIV/0!</v>
      </c>
      <c r="W44" s="18">
        <v>0</v>
      </c>
      <c r="X44" s="24" t="e">
        <v>#DIV/0!</v>
      </c>
      <c r="Y44" s="18">
        <v>0</v>
      </c>
      <c r="Z44" s="24" t="e">
        <v>#DIV/0!</v>
      </c>
      <c r="AA44" s="18">
        <v>0</v>
      </c>
      <c r="AB44" s="24" t="e">
        <v>#DIV/0!</v>
      </c>
      <c r="AC44" s="18">
        <v>0</v>
      </c>
      <c r="AD44" s="24" t="e">
        <v>#DIV/0!</v>
      </c>
      <c r="AE44" s="18">
        <v>0</v>
      </c>
      <c r="AF44" s="24" t="e">
        <v>#DIV/0!</v>
      </c>
      <c r="AG44" s="18">
        <v>0</v>
      </c>
      <c r="AH44" s="24" t="e">
        <v>#DIV/0!</v>
      </c>
      <c r="AI44" s="18">
        <v>0</v>
      </c>
      <c r="AJ44" s="24" t="e">
        <v>#DIV/0!</v>
      </c>
      <c r="AK44" s="18">
        <v>0</v>
      </c>
      <c r="AL44" s="24" t="e">
        <v>#DIV/0!</v>
      </c>
      <c r="AM44" s="18">
        <v>0</v>
      </c>
      <c r="AN44" s="24" t="e">
        <v>#DIV/0!</v>
      </c>
      <c r="AO44" s="18">
        <v>0</v>
      </c>
      <c r="AP44" s="24" t="e">
        <v>#DIV/0!</v>
      </c>
      <c r="AQ44" s="18">
        <v>0</v>
      </c>
      <c r="AR44" s="24" t="e">
        <v>#DIV/0!</v>
      </c>
      <c r="AS44" s="18">
        <v>0</v>
      </c>
      <c r="AT44" s="24" t="e">
        <v>#DIV/0!</v>
      </c>
      <c r="AU44" s="18">
        <v>0</v>
      </c>
      <c r="AV44" s="24" t="e">
        <v>#DIV/0!</v>
      </c>
      <c r="AW44" s="18">
        <v>0</v>
      </c>
      <c r="AX44" s="24" t="e">
        <v>#DIV/0!</v>
      </c>
      <c r="AY44" s="18">
        <v>0</v>
      </c>
      <c r="AZ44" s="24">
        <v>0</v>
      </c>
      <c r="BA44" s="18">
        <v>0</v>
      </c>
      <c r="BB44" s="24">
        <v>0</v>
      </c>
      <c r="BC44" s="18">
        <v>0</v>
      </c>
      <c r="BD44" s="24">
        <v>0</v>
      </c>
      <c r="BE44" s="18">
        <v>0</v>
      </c>
      <c r="BF44" s="24">
        <v>0</v>
      </c>
      <c r="BG44" s="18">
        <v>0</v>
      </c>
      <c r="BH44" s="24">
        <v>0</v>
      </c>
      <c r="BI44" s="18">
        <v>0</v>
      </c>
      <c r="BJ44" s="24" t="e">
        <v>#DIV/0!</v>
      </c>
      <c r="BK44" s="18">
        <v>0</v>
      </c>
      <c r="BL44" s="24" t="e">
        <v>#DIV/0!</v>
      </c>
      <c r="BM44" s="18">
        <v>0</v>
      </c>
      <c r="BN44" s="24" t="e">
        <v>#DIV/0!</v>
      </c>
      <c r="BO44" s="18">
        <v>0</v>
      </c>
      <c r="BP44" s="24" t="e">
        <v>#DIV/0!</v>
      </c>
      <c r="BQ44" s="18">
        <v>0</v>
      </c>
      <c r="BR44" s="24" t="e">
        <v>#DIV/0!</v>
      </c>
      <c r="BS44" s="18">
        <v>0</v>
      </c>
      <c r="BT44" s="24" t="e">
        <v>#DIV/0!</v>
      </c>
      <c r="BU44" s="18">
        <v>0</v>
      </c>
      <c r="BV44" s="24" t="e">
        <v>#DIV/0!</v>
      </c>
      <c r="BW44" s="18">
        <v>0</v>
      </c>
      <c r="BX44" s="24" t="e">
        <v>#DIV/0!</v>
      </c>
      <c r="BY44" s="18">
        <v>0</v>
      </c>
      <c r="BZ44" s="24" t="e">
        <v>#DIV/0!</v>
      </c>
      <c r="CA44" s="18">
        <v>0</v>
      </c>
      <c r="CB44" s="24" t="e">
        <v>#DIV/0!</v>
      </c>
      <c r="CC44" s="18">
        <v>0</v>
      </c>
      <c r="CD44" s="24" t="e">
        <v>#DIV/0!</v>
      </c>
      <c r="CE44" s="18">
        <v>0</v>
      </c>
      <c r="CF44" s="24" t="e">
        <v>#DIV/0!</v>
      </c>
      <c r="CG44" s="18">
        <v>0</v>
      </c>
      <c r="CH44" s="24" t="e">
        <v>#DIV/0!</v>
      </c>
      <c r="CI44" s="18">
        <v>0</v>
      </c>
      <c r="CJ44" s="24" t="e">
        <v>#DIV/0!</v>
      </c>
      <c r="CK44" s="18">
        <v>0</v>
      </c>
      <c r="CL44" s="24" t="e">
        <v>#DIV/0!</v>
      </c>
      <c r="CM44" s="18">
        <v>0</v>
      </c>
      <c r="CN44" s="24" t="e">
        <v>#DIV/0!</v>
      </c>
      <c r="CO44" s="18">
        <v>0</v>
      </c>
      <c r="CP44" s="24" t="e">
        <v>#DIV/0!</v>
      </c>
      <c r="CQ44" s="18">
        <v>0</v>
      </c>
      <c r="CR44" s="24" t="e">
        <v>#DIV/0!</v>
      </c>
      <c r="CS44" s="18">
        <v>0</v>
      </c>
      <c r="CT44" s="24" t="e">
        <v>#DIV/0!</v>
      </c>
      <c r="CU44" s="18">
        <v>0</v>
      </c>
      <c r="CV44" s="24" t="e">
        <v>#DIV/0!</v>
      </c>
      <c r="CW44" s="18">
        <v>0</v>
      </c>
      <c r="CX44" s="24" t="e">
        <v>#DIV/0!</v>
      </c>
      <c r="CY44" s="18">
        <v>0</v>
      </c>
      <c r="CZ44" s="24" t="e">
        <v>#DIV/0!</v>
      </c>
      <c r="DA44" s="18">
        <v>0</v>
      </c>
      <c r="DB44" s="24" t="e">
        <v>#DIV/0!</v>
      </c>
      <c r="DC44" s="18">
        <v>0</v>
      </c>
      <c r="DD44" s="24" t="e">
        <v>#DIV/0!</v>
      </c>
      <c r="DE44" s="18">
        <v>0</v>
      </c>
      <c r="DF44" s="24" t="e">
        <v>#DIV/0!</v>
      </c>
      <c r="DG44" s="18">
        <v>0</v>
      </c>
      <c r="DH44" s="24" t="e">
        <v>#DIV/0!</v>
      </c>
      <c r="DI44" s="18">
        <v>0</v>
      </c>
      <c r="DJ44" s="24" t="e">
        <v>#DIV/0!</v>
      </c>
      <c r="DK44" s="18">
        <v>0</v>
      </c>
      <c r="DL44" s="24" t="e">
        <v>#DIV/0!</v>
      </c>
      <c r="DM44" s="18">
        <v>0</v>
      </c>
      <c r="DN44" s="24" t="e">
        <v>#DIV/0!</v>
      </c>
      <c r="DO44" s="18">
        <v>0</v>
      </c>
      <c r="DP44" s="24" t="e">
        <v>#DIV/0!</v>
      </c>
      <c r="DQ44" s="18">
        <v>0</v>
      </c>
      <c r="DR44" s="24" t="e">
        <v>#DIV/0!</v>
      </c>
      <c r="DS44" s="18">
        <v>0</v>
      </c>
      <c r="DT44" s="24" t="e">
        <v>#DIV/0!</v>
      </c>
      <c r="DU44" s="18">
        <v>0</v>
      </c>
      <c r="DV44" s="24" t="e">
        <v>#DIV/0!</v>
      </c>
      <c r="DW44" s="18">
        <v>0</v>
      </c>
      <c r="DX44" s="24" t="e">
        <v>#DIV/0!</v>
      </c>
      <c r="DY44" s="18">
        <v>0</v>
      </c>
      <c r="DZ44" s="24" t="e">
        <v>#DIV/0!</v>
      </c>
      <c r="EA44" s="18">
        <v>0</v>
      </c>
      <c r="EB44" s="24" t="e">
        <v>#DIV/0!</v>
      </c>
      <c r="EC44" s="18">
        <v>0</v>
      </c>
      <c r="ED44" s="24" t="e">
        <v>#DIV/0!</v>
      </c>
      <c r="EE44" s="18">
        <v>0</v>
      </c>
      <c r="EF44" s="24" t="e">
        <v>#DIV/0!</v>
      </c>
      <c r="EG44" s="18">
        <v>0</v>
      </c>
      <c r="EH44" s="24" t="e">
        <v>#DIV/0!</v>
      </c>
      <c r="EI44" s="18">
        <v>0</v>
      </c>
      <c r="EJ44" s="24" t="e">
        <v>#DIV/0!</v>
      </c>
      <c r="EK44" s="18">
        <v>0</v>
      </c>
      <c r="EL44" s="24" t="e">
        <v>#DIV/0!</v>
      </c>
      <c r="EM44" s="18">
        <v>0</v>
      </c>
      <c r="EN44" s="24" t="e">
        <v>#DIV/0!</v>
      </c>
      <c r="EO44" s="18">
        <v>0</v>
      </c>
      <c r="EP44" s="24" t="e">
        <v>#DIV/0!</v>
      </c>
      <c r="EQ44" s="18">
        <v>0</v>
      </c>
      <c r="ER44" s="24" t="e">
        <v>#DIV/0!</v>
      </c>
      <c r="ES44" s="18">
        <f t="shared" si="3"/>
        <v>0</v>
      </c>
      <c r="ET44" s="24" t="e">
        <f>ES44/ES46</f>
        <v>#DIV/0!</v>
      </c>
      <c r="EU44" s="221" t="e">
        <f>IF( SUM($EQ44:ES44)&lt;0, "n/a", SUM($EQ44:ES44)/EU$74)</f>
        <v>#DIV/0!</v>
      </c>
      <c r="EV44" s="224" t="e">
        <f>EU44/EU46</f>
        <v>#DIV/0!</v>
      </c>
      <c r="EW44" s="22"/>
      <c r="EX44" s="96" t="s">
        <v>19</v>
      </c>
      <c r="EY44" s="35">
        <f>IF(ISERROR(VLOOKUP(EX44,IQSH01E!$A$1:$M$400,2,0)),0,VLOOKUP(EX44,IQSH01E!$A$1:$M$400,2,0))</f>
        <v>0</v>
      </c>
      <c r="EZ44" s="204"/>
      <c r="FA44" s="182" t="s">
        <v>118</v>
      </c>
    </row>
    <row r="45" spans="1:157" ht="16.5" customHeight="1" x14ac:dyDescent="0.3">
      <c r="A45" s="10"/>
      <c r="B45" s="14" t="s">
        <v>102</v>
      </c>
      <c r="C45" s="18">
        <v>0</v>
      </c>
      <c r="D45" s="24" t="e">
        <v>#DIV/0!</v>
      </c>
      <c r="E45" s="18">
        <v>0</v>
      </c>
      <c r="F45" s="24" t="e">
        <v>#DIV/0!</v>
      </c>
      <c r="G45" s="18">
        <v>0</v>
      </c>
      <c r="H45" s="24" t="e">
        <v>#DIV/0!</v>
      </c>
      <c r="I45" s="18">
        <v>0</v>
      </c>
      <c r="J45" s="24" t="e">
        <v>#DIV/0!</v>
      </c>
      <c r="K45" s="18">
        <v>0</v>
      </c>
      <c r="L45" s="24" t="e">
        <v>#DIV/0!</v>
      </c>
      <c r="M45" s="18">
        <v>0</v>
      </c>
      <c r="N45" s="24" t="e">
        <v>#DIV/0!</v>
      </c>
      <c r="O45" s="18">
        <v>0</v>
      </c>
      <c r="P45" s="24" t="e">
        <v>#DIV/0!</v>
      </c>
      <c r="Q45" s="18">
        <v>0</v>
      </c>
      <c r="R45" s="24" t="e">
        <v>#DIV/0!</v>
      </c>
      <c r="S45" s="18">
        <v>0</v>
      </c>
      <c r="T45" s="24" t="e">
        <v>#DIV/0!</v>
      </c>
      <c r="U45" s="18">
        <v>0</v>
      </c>
      <c r="V45" s="24" t="e">
        <v>#DIV/0!</v>
      </c>
      <c r="W45" s="18">
        <v>0</v>
      </c>
      <c r="X45" s="24" t="e">
        <v>#DIV/0!</v>
      </c>
      <c r="Y45" s="18">
        <v>0</v>
      </c>
      <c r="Z45" s="24" t="e">
        <v>#DIV/0!</v>
      </c>
      <c r="AA45" s="18">
        <v>0</v>
      </c>
      <c r="AB45" s="24" t="e">
        <v>#DIV/0!</v>
      </c>
      <c r="AC45" s="18">
        <v>0</v>
      </c>
      <c r="AD45" s="24" t="e">
        <v>#DIV/0!</v>
      </c>
      <c r="AE45" s="18">
        <v>0</v>
      </c>
      <c r="AF45" s="24" t="e">
        <v>#DIV/0!</v>
      </c>
      <c r="AG45" s="18">
        <v>0</v>
      </c>
      <c r="AH45" s="24" t="e">
        <v>#DIV/0!</v>
      </c>
      <c r="AI45" s="18">
        <v>0</v>
      </c>
      <c r="AJ45" s="24" t="e">
        <v>#DIV/0!</v>
      </c>
      <c r="AK45" s="18">
        <v>0</v>
      </c>
      <c r="AL45" s="24" t="e">
        <v>#DIV/0!</v>
      </c>
      <c r="AM45" s="18">
        <v>0</v>
      </c>
      <c r="AN45" s="24" t="e">
        <v>#DIV/0!</v>
      </c>
      <c r="AO45" s="18">
        <v>0</v>
      </c>
      <c r="AP45" s="24" t="e">
        <v>#DIV/0!</v>
      </c>
      <c r="AQ45" s="18">
        <v>0</v>
      </c>
      <c r="AR45" s="24" t="e">
        <v>#DIV/0!</v>
      </c>
      <c r="AS45" s="18">
        <v>0</v>
      </c>
      <c r="AT45" s="24" t="e">
        <v>#DIV/0!</v>
      </c>
      <c r="AU45" s="18">
        <v>0</v>
      </c>
      <c r="AV45" s="24" t="e">
        <v>#DIV/0!</v>
      </c>
      <c r="AW45" s="18">
        <v>0</v>
      </c>
      <c r="AX45" s="24" t="e">
        <v>#DIV/0!</v>
      </c>
      <c r="AY45" s="18">
        <v>0</v>
      </c>
      <c r="AZ45" s="24">
        <v>0</v>
      </c>
      <c r="BA45" s="18">
        <v>0</v>
      </c>
      <c r="BB45" s="24">
        <v>0</v>
      </c>
      <c r="BC45" s="18">
        <v>0</v>
      </c>
      <c r="BD45" s="24">
        <v>0</v>
      </c>
      <c r="BE45" s="18">
        <v>0</v>
      </c>
      <c r="BF45" s="24">
        <v>0</v>
      </c>
      <c r="BG45" s="18">
        <v>0</v>
      </c>
      <c r="BH45" s="24">
        <v>0</v>
      </c>
      <c r="BI45" s="18">
        <v>0</v>
      </c>
      <c r="BJ45" s="24" t="e">
        <v>#DIV/0!</v>
      </c>
      <c r="BK45" s="18">
        <v>0</v>
      </c>
      <c r="BL45" s="24" t="e">
        <v>#DIV/0!</v>
      </c>
      <c r="BM45" s="18">
        <v>0</v>
      </c>
      <c r="BN45" s="24" t="e">
        <v>#DIV/0!</v>
      </c>
      <c r="BO45" s="18">
        <v>0</v>
      </c>
      <c r="BP45" s="24" t="e">
        <v>#DIV/0!</v>
      </c>
      <c r="BQ45" s="18">
        <v>0</v>
      </c>
      <c r="BR45" s="24" t="e">
        <v>#DIV/0!</v>
      </c>
      <c r="BS45" s="18">
        <v>0</v>
      </c>
      <c r="BT45" s="24" t="e">
        <v>#DIV/0!</v>
      </c>
      <c r="BU45" s="18">
        <v>0</v>
      </c>
      <c r="BV45" s="24" t="e">
        <v>#DIV/0!</v>
      </c>
      <c r="BW45" s="18">
        <v>0</v>
      </c>
      <c r="BX45" s="24" t="e">
        <v>#DIV/0!</v>
      </c>
      <c r="BY45" s="18">
        <v>0</v>
      </c>
      <c r="BZ45" s="24" t="e">
        <v>#DIV/0!</v>
      </c>
      <c r="CA45" s="18">
        <v>0</v>
      </c>
      <c r="CB45" s="24" t="e">
        <v>#DIV/0!</v>
      </c>
      <c r="CC45" s="18">
        <v>0</v>
      </c>
      <c r="CD45" s="24" t="e">
        <v>#DIV/0!</v>
      </c>
      <c r="CE45" s="18">
        <v>0</v>
      </c>
      <c r="CF45" s="24" t="e">
        <v>#DIV/0!</v>
      </c>
      <c r="CG45" s="18">
        <v>0</v>
      </c>
      <c r="CH45" s="24" t="e">
        <v>#DIV/0!</v>
      </c>
      <c r="CI45" s="18">
        <v>0</v>
      </c>
      <c r="CJ45" s="24" t="e">
        <v>#DIV/0!</v>
      </c>
      <c r="CK45" s="18">
        <v>0</v>
      </c>
      <c r="CL45" s="24" t="e">
        <v>#DIV/0!</v>
      </c>
      <c r="CM45" s="18">
        <v>0</v>
      </c>
      <c r="CN45" s="24" t="e">
        <v>#DIV/0!</v>
      </c>
      <c r="CO45" s="18">
        <v>0</v>
      </c>
      <c r="CP45" s="24" t="e">
        <v>#DIV/0!</v>
      </c>
      <c r="CQ45" s="18">
        <v>0</v>
      </c>
      <c r="CR45" s="24" t="e">
        <v>#DIV/0!</v>
      </c>
      <c r="CS45" s="18">
        <v>0</v>
      </c>
      <c r="CT45" s="24" t="e">
        <v>#DIV/0!</v>
      </c>
      <c r="CU45" s="18">
        <v>0</v>
      </c>
      <c r="CV45" s="24" t="e">
        <v>#DIV/0!</v>
      </c>
      <c r="CW45" s="18">
        <v>0</v>
      </c>
      <c r="CX45" s="24" t="e">
        <v>#DIV/0!</v>
      </c>
      <c r="CY45" s="18">
        <v>0</v>
      </c>
      <c r="CZ45" s="24" t="e">
        <v>#DIV/0!</v>
      </c>
      <c r="DA45" s="18">
        <v>0</v>
      </c>
      <c r="DB45" s="24" t="e">
        <v>#DIV/0!</v>
      </c>
      <c r="DC45" s="18">
        <v>0</v>
      </c>
      <c r="DD45" s="24" t="e">
        <v>#DIV/0!</v>
      </c>
      <c r="DE45" s="18">
        <v>0</v>
      </c>
      <c r="DF45" s="24" t="e">
        <v>#DIV/0!</v>
      </c>
      <c r="DG45" s="18">
        <v>0</v>
      </c>
      <c r="DH45" s="24" t="e">
        <v>#DIV/0!</v>
      </c>
      <c r="DI45" s="18">
        <v>0</v>
      </c>
      <c r="DJ45" s="24" t="e">
        <v>#DIV/0!</v>
      </c>
      <c r="DK45" s="18">
        <v>0</v>
      </c>
      <c r="DL45" s="24" t="e">
        <v>#DIV/0!</v>
      </c>
      <c r="DM45" s="18">
        <v>0</v>
      </c>
      <c r="DN45" s="24" t="e">
        <v>#DIV/0!</v>
      </c>
      <c r="DO45" s="18">
        <v>0</v>
      </c>
      <c r="DP45" s="24" t="e">
        <v>#DIV/0!</v>
      </c>
      <c r="DQ45" s="18">
        <v>0</v>
      </c>
      <c r="DR45" s="24" t="e">
        <v>#DIV/0!</v>
      </c>
      <c r="DS45" s="18">
        <v>0</v>
      </c>
      <c r="DT45" s="24" t="e">
        <v>#DIV/0!</v>
      </c>
      <c r="DU45" s="18">
        <v>0</v>
      </c>
      <c r="DV45" s="24" t="e">
        <v>#DIV/0!</v>
      </c>
      <c r="DW45" s="18">
        <v>0</v>
      </c>
      <c r="DX45" s="24" t="e">
        <v>#DIV/0!</v>
      </c>
      <c r="DY45" s="18">
        <v>0</v>
      </c>
      <c r="DZ45" s="24" t="e">
        <v>#DIV/0!</v>
      </c>
      <c r="EA45" s="18">
        <v>0</v>
      </c>
      <c r="EB45" s="24" t="e">
        <v>#DIV/0!</v>
      </c>
      <c r="EC45" s="18">
        <v>0</v>
      </c>
      <c r="ED45" s="24" t="e">
        <v>#DIV/0!</v>
      </c>
      <c r="EE45" s="18">
        <v>0</v>
      </c>
      <c r="EF45" s="24" t="e">
        <v>#DIV/0!</v>
      </c>
      <c r="EG45" s="18">
        <v>0</v>
      </c>
      <c r="EH45" s="24" t="e">
        <v>#DIV/0!</v>
      </c>
      <c r="EI45" s="18">
        <v>0</v>
      </c>
      <c r="EJ45" s="24" t="e">
        <v>#DIV/0!</v>
      </c>
      <c r="EK45" s="18">
        <v>0</v>
      </c>
      <c r="EL45" s="24" t="e">
        <v>#DIV/0!</v>
      </c>
      <c r="EM45" s="18">
        <v>0</v>
      </c>
      <c r="EN45" s="24" t="e">
        <v>#DIV/0!</v>
      </c>
      <c r="EO45" s="18">
        <v>0</v>
      </c>
      <c r="EP45" s="24" t="e">
        <v>#DIV/0!</v>
      </c>
      <c r="EQ45" s="18">
        <v>0</v>
      </c>
      <c r="ER45" s="24" t="e">
        <v>#DIV/0!</v>
      </c>
      <c r="ES45" s="18">
        <f t="shared" si="3"/>
        <v>0</v>
      </c>
      <c r="ET45" s="24" t="e">
        <f>ES45/ES46</f>
        <v>#DIV/0!</v>
      </c>
      <c r="EU45" s="221" t="e">
        <f>IF( SUM($EQ45:ES45)&lt;0, "n/a", SUM($EQ45:ES45)/EU$74)</f>
        <v>#DIV/0!</v>
      </c>
      <c r="EV45" s="224" t="e">
        <f>EU45/EU46</f>
        <v>#DIV/0!</v>
      </c>
      <c r="EW45" s="22"/>
      <c r="EX45" s="96" t="s">
        <v>146</v>
      </c>
      <c r="EY45" s="35">
        <f>IF(ISERROR(VLOOKUP(EX45,IQSH01E!$A$1:$M$400,2,0)),0,VLOOKUP(EX45,IQSH01E!$A$1:$M$400,2,0))</f>
        <v>0</v>
      </c>
      <c r="EZ45" s="204"/>
      <c r="FA45" s="182" t="s">
        <v>123</v>
      </c>
    </row>
    <row r="46" spans="1:157" ht="16.5" customHeight="1" thickBot="1" x14ac:dyDescent="0.35">
      <c r="A46" s="10"/>
      <c r="B46" s="15" t="s">
        <v>83</v>
      </c>
      <c r="C46" s="19">
        <v>0</v>
      </c>
      <c r="D46" s="25" t="e">
        <v>#DIV/0!</v>
      </c>
      <c r="E46" s="19">
        <v>0</v>
      </c>
      <c r="F46" s="25" t="e">
        <v>#DIV/0!</v>
      </c>
      <c r="G46" s="19">
        <v>0</v>
      </c>
      <c r="H46" s="25" t="e">
        <v>#DIV/0!</v>
      </c>
      <c r="I46" s="19">
        <v>0</v>
      </c>
      <c r="J46" s="25" t="e">
        <v>#DIV/0!</v>
      </c>
      <c r="K46" s="19">
        <v>0</v>
      </c>
      <c r="L46" s="25" t="e">
        <v>#DIV/0!</v>
      </c>
      <c r="M46" s="19">
        <v>0</v>
      </c>
      <c r="N46" s="25" t="e">
        <v>#DIV/0!</v>
      </c>
      <c r="O46" s="19">
        <v>0</v>
      </c>
      <c r="P46" s="25" t="e">
        <v>#DIV/0!</v>
      </c>
      <c r="Q46" s="19">
        <v>0</v>
      </c>
      <c r="R46" s="25" t="e">
        <v>#DIV/0!</v>
      </c>
      <c r="S46" s="19">
        <v>0</v>
      </c>
      <c r="T46" s="25" t="e">
        <v>#DIV/0!</v>
      </c>
      <c r="U46" s="19">
        <v>0</v>
      </c>
      <c r="V46" s="25" t="e">
        <v>#DIV/0!</v>
      </c>
      <c r="W46" s="19">
        <v>0</v>
      </c>
      <c r="X46" s="25" t="e">
        <v>#DIV/0!</v>
      </c>
      <c r="Y46" s="19">
        <v>0</v>
      </c>
      <c r="Z46" s="25" t="e">
        <v>#DIV/0!</v>
      </c>
      <c r="AA46" s="19">
        <v>0</v>
      </c>
      <c r="AB46" s="25" t="e">
        <v>#DIV/0!</v>
      </c>
      <c r="AC46" s="19">
        <v>0</v>
      </c>
      <c r="AD46" s="25" t="e">
        <v>#DIV/0!</v>
      </c>
      <c r="AE46" s="19">
        <v>0</v>
      </c>
      <c r="AF46" s="25" t="e">
        <v>#DIV/0!</v>
      </c>
      <c r="AG46" s="19">
        <v>0</v>
      </c>
      <c r="AH46" s="25" t="e">
        <v>#DIV/0!</v>
      </c>
      <c r="AI46" s="19">
        <v>0</v>
      </c>
      <c r="AJ46" s="25" t="e">
        <v>#DIV/0!</v>
      </c>
      <c r="AK46" s="19">
        <v>0</v>
      </c>
      <c r="AL46" s="25" t="e">
        <v>#DIV/0!</v>
      </c>
      <c r="AM46" s="19">
        <v>0</v>
      </c>
      <c r="AN46" s="25" t="e">
        <v>#DIV/0!</v>
      </c>
      <c r="AO46" s="19">
        <v>0</v>
      </c>
      <c r="AP46" s="25" t="e">
        <v>#DIV/0!</v>
      </c>
      <c r="AQ46" s="19">
        <v>0</v>
      </c>
      <c r="AR46" s="25" t="e">
        <v>#DIV/0!</v>
      </c>
      <c r="AS46" s="19">
        <v>0</v>
      </c>
      <c r="AT46" s="25" t="e">
        <v>#DIV/0!</v>
      </c>
      <c r="AU46" s="19">
        <v>0</v>
      </c>
      <c r="AV46" s="25" t="e">
        <v>#DIV/0!</v>
      </c>
      <c r="AW46" s="19">
        <v>0</v>
      </c>
      <c r="AX46" s="25" t="e">
        <v>#DIV/0!</v>
      </c>
      <c r="AY46" s="19">
        <v>116192.06</v>
      </c>
      <c r="AZ46" s="25">
        <v>1</v>
      </c>
      <c r="BA46" s="19">
        <v>140896.53</v>
      </c>
      <c r="BB46" s="25">
        <v>1</v>
      </c>
      <c r="BC46" s="19">
        <v>45216.070000000007</v>
      </c>
      <c r="BD46" s="25">
        <v>1</v>
      </c>
      <c r="BE46" s="19">
        <v>182517.53</v>
      </c>
      <c r="BF46" s="25">
        <v>1</v>
      </c>
      <c r="BG46" s="19">
        <v>5556.93</v>
      </c>
      <c r="BH46" s="25">
        <v>1</v>
      </c>
      <c r="BI46" s="19">
        <v>0</v>
      </c>
      <c r="BJ46" s="25" t="e">
        <v>#DIV/0!</v>
      </c>
      <c r="BK46" s="19">
        <v>0</v>
      </c>
      <c r="BL46" s="25" t="e">
        <v>#DIV/0!</v>
      </c>
      <c r="BM46" s="19">
        <v>0</v>
      </c>
      <c r="BN46" s="25" t="e">
        <v>#DIV/0!</v>
      </c>
      <c r="BO46" s="19">
        <v>0</v>
      </c>
      <c r="BP46" s="25" t="e">
        <v>#DIV/0!</v>
      </c>
      <c r="BQ46" s="19">
        <v>0</v>
      </c>
      <c r="BR46" s="25" t="e">
        <v>#DIV/0!</v>
      </c>
      <c r="BS46" s="19">
        <v>0</v>
      </c>
      <c r="BT46" s="25" t="e">
        <v>#DIV/0!</v>
      </c>
      <c r="BU46" s="19">
        <v>0</v>
      </c>
      <c r="BV46" s="25" t="e">
        <v>#DIV/0!</v>
      </c>
      <c r="BW46" s="19">
        <v>0</v>
      </c>
      <c r="BX46" s="25" t="e">
        <v>#DIV/0!</v>
      </c>
      <c r="BY46" s="19">
        <v>0</v>
      </c>
      <c r="BZ46" s="25" t="e">
        <v>#DIV/0!</v>
      </c>
      <c r="CA46" s="19">
        <v>0</v>
      </c>
      <c r="CB46" s="25" t="e">
        <v>#DIV/0!</v>
      </c>
      <c r="CC46" s="19">
        <v>0</v>
      </c>
      <c r="CD46" s="25" t="e">
        <v>#DIV/0!</v>
      </c>
      <c r="CE46" s="19">
        <v>0</v>
      </c>
      <c r="CF46" s="25" t="e">
        <v>#DIV/0!</v>
      </c>
      <c r="CG46" s="19">
        <v>0</v>
      </c>
      <c r="CH46" s="25" t="e">
        <v>#DIV/0!</v>
      </c>
      <c r="CI46" s="19">
        <v>0</v>
      </c>
      <c r="CJ46" s="25" t="e">
        <v>#DIV/0!</v>
      </c>
      <c r="CK46" s="19">
        <v>0</v>
      </c>
      <c r="CL46" s="25" t="e">
        <v>#DIV/0!</v>
      </c>
      <c r="CM46" s="19">
        <v>0</v>
      </c>
      <c r="CN46" s="25" t="e">
        <v>#DIV/0!</v>
      </c>
      <c r="CO46" s="19">
        <v>0</v>
      </c>
      <c r="CP46" s="25" t="e">
        <v>#DIV/0!</v>
      </c>
      <c r="CQ46" s="19">
        <v>0</v>
      </c>
      <c r="CR46" s="25" t="e">
        <v>#DIV/0!</v>
      </c>
      <c r="CS46" s="19">
        <v>0</v>
      </c>
      <c r="CT46" s="25" t="e">
        <v>#DIV/0!</v>
      </c>
      <c r="CU46" s="19">
        <v>0</v>
      </c>
      <c r="CV46" s="25" t="e">
        <v>#DIV/0!</v>
      </c>
      <c r="CW46" s="19">
        <v>0</v>
      </c>
      <c r="CX46" s="25" t="e">
        <v>#DIV/0!</v>
      </c>
      <c r="CY46" s="19">
        <v>0</v>
      </c>
      <c r="CZ46" s="25" t="e">
        <v>#DIV/0!</v>
      </c>
      <c r="DA46" s="19">
        <v>0</v>
      </c>
      <c r="DB46" s="25" t="e">
        <v>#DIV/0!</v>
      </c>
      <c r="DC46" s="19">
        <v>0</v>
      </c>
      <c r="DD46" s="25" t="e">
        <v>#DIV/0!</v>
      </c>
      <c r="DE46" s="19">
        <v>0</v>
      </c>
      <c r="DF46" s="25" t="e">
        <v>#DIV/0!</v>
      </c>
      <c r="DG46" s="19">
        <v>0</v>
      </c>
      <c r="DH46" s="25" t="e">
        <v>#DIV/0!</v>
      </c>
      <c r="DI46" s="19">
        <v>0</v>
      </c>
      <c r="DJ46" s="25" t="e">
        <v>#DIV/0!</v>
      </c>
      <c r="DK46" s="19">
        <v>0</v>
      </c>
      <c r="DL46" s="25" t="e">
        <v>#DIV/0!</v>
      </c>
      <c r="DM46" s="19">
        <v>0</v>
      </c>
      <c r="DN46" s="25" t="e">
        <v>#DIV/0!</v>
      </c>
      <c r="DO46" s="19">
        <v>0</v>
      </c>
      <c r="DP46" s="25" t="e">
        <v>#DIV/0!</v>
      </c>
      <c r="DQ46" s="19">
        <v>0</v>
      </c>
      <c r="DR46" s="25" t="e">
        <v>#DIV/0!</v>
      </c>
      <c r="DS46" s="19">
        <v>0</v>
      </c>
      <c r="DT46" s="25" t="e">
        <v>#DIV/0!</v>
      </c>
      <c r="DU46" s="19">
        <v>0</v>
      </c>
      <c r="DV46" s="25" t="e">
        <v>#DIV/0!</v>
      </c>
      <c r="DW46" s="19">
        <v>0</v>
      </c>
      <c r="DX46" s="25" t="e">
        <v>#DIV/0!</v>
      </c>
      <c r="DY46" s="19">
        <v>0</v>
      </c>
      <c r="DZ46" s="25" t="e">
        <v>#DIV/0!</v>
      </c>
      <c r="EA46" s="19">
        <v>0</v>
      </c>
      <c r="EB46" s="25" t="e">
        <v>#DIV/0!</v>
      </c>
      <c r="EC46" s="19">
        <v>0</v>
      </c>
      <c r="ED46" s="25" t="e">
        <v>#DIV/0!</v>
      </c>
      <c r="EE46" s="19">
        <v>0</v>
      </c>
      <c r="EF46" s="25" t="e">
        <v>#DIV/0!</v>
      </c>
      <c r="EG46" s="19">
        <v>0</v>
      </c>
      <c r="EH46" s="25" t="e">
        <v>#DIV/0!</v>
      </c>
      <c r="EI46" s="19">
        <v>0</v>
      </c>
      <c r="EJ46" s="25" t="e">
        <v>#DIV/0!</v>
      </c>
      <c r="EK46" s="19">
        <v>0</v>
      </c>
      <c r="EL46" s="25" t="e">
        <v>#DIV/0!</v>
      </c>
      <c r="EM46" s="19">
        <v>0</v>
      </c>
      <c r="EN46" s="25" t="e">
        <v>#DIV/0!</v>
      </c>
      <c r="EO46" s="19">
        <v>0</v>
      </c>
      <c r="EP46" s="25" t="e">
        <v>#DIV/0!</v>
      </c>
      <c r="EQ46" s="19">
        <v>0</v>
      </c>
      <c r="ER46" s="25" t="e">
        <v>#DIV/0!</v>
      </c>
      <c r="ES46" s="19">
        <f>SUM(ES39:ES45)</f>
        <v>0</v>
      </c>
      <c r="ET46" s="25" t="e">
        <f>ES46/ES46</f>
        <v>#DIV/0!</v>
      </c>
      <c r="EU46" s="225" t="e">
        <f>IF( SUM($EQ46:ES46)&lt;0, "n/a", SUM($EQ46:ES46)/EU$74)</f>
        <v>#DIV/0!</v>
      </c>
      <c r="EV46" s="226" t="e">
        <f>EU46/EU46</f>
        <v>#DIV/0!</v>
      </c>
      <c r="EW46" s="22"/>
      <c r="EX46" s="100" t="s">
        <v>148</v>
      </c>
      <c r="EY46" s="103">
        <f>IF(ISERROR(VLOOKUP(EX46,IQSH01E!$A$1:$M$400,2,0)),0,VLOOKUP(EX46,IQSH01E!$A$1:$M$400,2,0))</f>
        <v>0</v>
      </c>
      <c r="EZ46" s="205"/>
      <c r="FA46" s="186"/>
    </row>
    <row r="47" spans="1:157" ht="16.5" customHeight="1" x14ac:dyDescent="0.3">
      <c r="A47" s="10"/>
      <c r="B47" s="14" t="s">
        <v>88</v>
      </c>
      <c r="C47" s="18">
        <v>0</v>
      </c>
      <c r="D47" s="24"/>
      <c r="E47" s="18">
        <v>0</v>
      </c>
      <c r="F47" s="24"/>
      <c r="G47" s="18">
        <v>0</v>
      </c>
      <c r="H47" s="24"/>
      <c r="I47" s="18">
        <v>0</v>
      </c>
      <c r="J47" s="24"/>
      <c r="K47" s="18">
        <v>0</v>
      </c>
      <c r="L47" s="24"/>
      <c r="M47" s="18">
        <v>0</v>
      </c>
      <c r="N47" s="24"/>
      <c r="O47" s="18">
        <v>0</v>
      </c>
      <c r="P47" s="24"/>
      <c r="Q47" s="18">
        <v>0</v>
      </c>
      <c r="R47" s="24"/>
      <c r="S47" s="18">
        <v>0</v>
      </c>
      <c r="T47" s="24"/>
      <c r="U47" s="18">
        <v>0</v>
      </c>
      <c r="V47" s="24"/>
      <c r="W47" s="18">
        <v>0</v>
      </c>
      <c r="X47" s="24"/>
      <c r="Y47" s="18">
        <v>0</v>
      </c>
      <c r="Z47" s="24"/>
      <c r="AA47" s="18">
        <v>0</v>
      </c>
      <c r="AB47" s="24"/>
      <c r="AC47" s="18">
        <v>0</v>
      </c>
      <c r="AD47" s="24"/>
      <c r="AE47" s="18">
        <v>0</v>
      </c>
      <c r="AF47" s="24"/>
      <c r="AG47" s="18">
        <v>0</v>
      </c>
      <c r="AH47" s="24"/>
      <c r="AI47" s="18">
        <v>0</v>
      </c>
      <c r="AJ47" s="24"/>
      <c r="AK47" s="18">
        <v>0</v>
      </c>
      <c r="AL47" s="24"/>
      <c r="AM47" s="18">
        <v>0</v>
      </c>
      <c r="AN47" s="24"/>
      <c r="AO47" s="18">
        <v>0</v>
      </c>
      <c r="AP47" s="24"/>
      <c r="AQ47" s="18">
        <v>0</v>
      </c>
      <c r="AR47" s="24"/>
      <c r="AS47" s="18">
        <v>0</v>
      </c>
      <c r="AT47" s="24"/>
      <c r="AU47" s="18">
        <v>0</v>
      </c>
      <c r="AV47" s="24"/>
      <c r="AW47" s="18">
        <v>272</v>
      </c>
      <c r="AX47" s="24"/>
      <c r="AY47" s="18">
        <v>2649.6</v>
      </c>
      <c r="AZ47" s="24"/>
      <c r="BA47" s="18">
        <v>902.4</v>
      </c>
      <c r="BB47" s="24"/>
      <c r="BC47" s="18">
        <v>1305.5899999999999</v>
      </c>
      <c r="BD47" s="24"/>
      <c r="BE47" s="18">
        <v>3532.8</v>
      </c>
      <c r="BF47" s="24"/>
      <c r="BG47" s="18">
        <v>0</v>
      </c>
      <c r="BH47" s="24"/>
      <c r="BI47" s="18">
        <v>0</v>
      </c>
      <c r="BJ47" s="24"/>
      <c r="BK47" s="18">
        <v>0</v>
      </c>
      <c r="BL47" s="24"/>
      <c r="BM47" s="18">
        <v>0</v>
      </c>
      <c r="BN47" s="24"/>
      <c r="BO47" s="18">
        <v>0</v>
      </c>
      <c r="BP47" s="24"/>
      <c r="BQ47" s="18">
        <v>0</v>
      </c>
      <c r="BR47" s="24"/>
      <c r="BS47" s="18">
        <v>0</v>
      </c>
      <c r="BT47" s="24"/>
      <c r="BU47" s="18">
        <v>0</v>
      </c>
      <c r="BV47" s="24"/>
      <c r="BW47" s="18">
        <v>0</v>
      </c>
      <c r="BX47" s="24"/>
      <c r="BY47" s="18">
        <v>0</v>
      </c>
      <c r="BZ47" s="24"/>
      <c r="CA47" s="18">
        <v>0</v>
      </c>
      <c r="CB47" s="24"/>
      <c r="CC47" s="18">
        <v>0</v>
      </c>
      <c r="CD47" s="24"/>
      <c r="CE47" s="18">
        <v>0</v>
      </c>
      <c r="CF47" s="24"/>
      <c r="CG47" s="18">
        <v>0</v>
      </c>
      <c r="CH47" s="24"/>
      <c r="CI47" s="18">
        <v>0</v>
      </c>
      <c r="CJ47" s="24"/>
      <c r="CK47" s="18">
        <v>0</v>
      </c>
      <c r="CL47" s="24"/>
      <c r="CM47" s="18">
        <v>0</v>
      </c>
      <c r="CN47" s="24"/>
      <c r="CO47" s="18">
        <v>0</v>
      </c>
      <c r="CP47" s="24"/>
      <c r="CQ47" s="18">
        <v>0</v>
      </c>
      <c r="CR47" s="24"/>
      <c r="CS47" s="18">
        <v>0</v>
      </c>
      <c r="CT47" s="24"/>
      <c r="CU47" s="18">
        <v>0</v>
      </c>
      <c r="CV47" s="24"/>
      <c r="CW47" s="18">
        <v>0</v>
      </c>
      <c r="CX47" s="24"/>
      <c r="CY47" s="18">
        <v>0</v>
      </c>
      <c r="CZ47" s="24"/>
      <c r="DA47" s="18">
        <v>0</v>
      </c>
      <c r="DB47" s="24"/>
      <c r="DC47" s="18">
        <v>0</v>
      </c>
      <c r="DD47" s="24"/>
      <c r="DE47" s="18">
        <v>0</v>
      </c>
      <c r="DF47" s="24"/>
      <c r="DG47" s="18">
        <v>0</v>
      </c>
      <c r="DH47" s="24"/>
      <c r="DI47" s="18">
        <v>0</v>
      </c>
      <c r="DJ47" s="24"/>
      <c r="DK47" s="18">
        <v>0</v>
      </c>
      <c r="DL47" s="24"/>
      <c r="DM47" s="18">
        <v>0</v>
      </c>
      <c r="DN47" s="24"/>
      <c r="DO47" s="18">
        <v>0</v>
      </c>
      <c r="DP47" s="24"/>
      <c r="DQ47" s="18">
        <v>0</v>
      </c>
      <c r="DR47" s="24"/>
      <c r="DS47" s="18">
        <v>0</v>
      </c>
      <c r="DT47" s="24"/>
      <c r="DU47" s="18">
        <v>0</v>
      </c>
      <c r="DV47" s="24"/>
      <c r="DW47" s="18">
        <v>0</v>
      </c>
      <c r="DX47" s="24"/>
      <c r="DY47" s="18">
        <v>0</v>
      </c>
      <c r="DZ47" s="24"/>
      <c r="EA47" s="18">
        <v>0</v>
      </c>
      <c r="EB47" s="24"/>
      <c r="EC47" s="18">
        <v>0</v>
      </c>
      <c r="ED47" s="24"/>
      <c r="EE47" s="18">
        <v>0</v>
      </c>
      <c r="EF47" s="24"/>
      <c r="EG47" s="18">
        <v>0</v>
      </c>
      <c r="EH47" s="24"/>
      <c r="EI47" s="18">
        <v>0</v>
      </c>
      <c r="EJ47" s="24"/>
      <c r="EK47" s="18">
        <v>0</v>
      </c>
      <c r="EL47" s="24"/>
      <c r="EM47" s="18">
        <v>0</v>
      </c>
      <c r="EN47" s="24"/>
      <c r="EO47" s="18">
        <v>0</v>
      </c>
      <c r="EP47" s="24"/>
      <c r="EQ47" s="18">
        <v>0</v>
      </c>
      <c r="ER47" s="24"/>
      <c r="ES47" s="18">
        <f>+$EY47</f>
        <v>0</v>
      </c>
      <c r="ET47" s="24"/>
      <c r="EU47" s="221">
        <f>IF( SUM($EQ47:ES47)&lt;0, "n/a", SUM($EQ47:ES47)/EU$74)</f>
        <v>0</v>
      </c>
      <c r="EV47" s="227"/>
      <c r="EW47" s="22"/>
      <c r="EX47" s="96" t="s">
        <v>9</v>
      </c>
      <c r="EY47" s="35">
        <f>IF(ISERROR(VLOOKUP(EX47,IQSH01E!$A$1:$M$400,2,0)),0,VLOOKUP(EX47,IQSH01E!$A$1:$M$400,2,0))</f>
        <v>0</v>
      </c>
      <c r="EZ47" s="204"/>
      <c r="FA47" s="182" t="s">
        <v>118</v>
      </c>
    </row>
    <row r="48" spans="1:157" ht="16.5" customHeight="1" x14ac:dyDescent="0.3">
      <c r="A48" s="10"/>
      <c r="B48" s="14" t="s">
        <v>71</v>
      </c>
      <c r="C48" s="18">
        <v>0</v>
      </c>
      <c r="D48" s="24"/>
      <c r="E48" s="18">
        <v>0</v>
      </c>
      <c r="F48" s="24"/>
      <c r="G48" s="18">
        <v>0</v>
      </c>
      <c r="H48" s="24"/>
      <c r="I48" s="18">
        <v>0</v>
      </c>
      <c r="J48" s="24"/>
      <c r="K48" s="18">
        <v>0</v>
      </c>
      <c r="L48" s="24"/>
      <c r="M48" s="18">
        <v>0</v>
      </c>
      <c r="N48" s="24"/>
      <c r="O48" s="18">
        <v>0</v>
      </c>
      <c r="P48" s="24"/>
      <c r="Q48" s="18">
        <v>0</v>
      </c>
      <c r="R48" s="24"/>
      <c r="S48" s="18">
        <v>0</v>
      </c>
      <c r="T48" s="24"/>
      <c r="U48" s="18">
        <v>0</v>
      </c>
      <c r="V48" s="24"/>
      <c r="W48" s="18">
        <v>0</v>
      </c>
      <c r="X48" s="24"/>
      <c r="Y48" s="18">
        <v>0</v>
      </c>
      <c r="Z48" s="24"/>
      <c r="AA48" s="18">
        <v>0</v>
      </c>
      <c r="AB48" s="24"/>
      <c r="AC48" s="18">
        <v>0</v>
      </c>
      <c r="AD48" s="24"/>
      <c r="AE48" s="18">
        <v>0</v>
      </c>
      <c r="AF48" s="24"/>
      <c r="AG48" s="18">
        <v>0</v>
      </c>
      <c r="AH48" s="24"/>
      <c r="AI48" s="18">
        <v>0</v>
      </c>
      <c r="AJ48" s="24"/>
      <c r="AK48" s="18">
        <v>0</v>
      </c>
      <c r="AL48" s="24"/>
      <c r="AM48" s="18">
        <v>0</v>
      </c>
      <c r="AN48" s="24"/>
      <c r="AO48" s="18">
        <v>0</v>
      </c>
      <c r="AP48" s="24"/>
      <c r="AQ48" s="18">
        <v>0</v>
      </c>
      <c r="AR48" s="24"/>
      <c r="AS48" s="18">
        <v>0</v>
      </c>
      <c r="AT48" s="24"/>
      <c r="AU48" s="18">
        <v>0</v>
      </c>
      <c r="AV48" s="24"/>
      <c r="AW48" s="18">
        <v>0</v>
      </c>
      <c r="AX48" s="24"/>
      <c r="AY48" s="18">
        <v>0</v>
      </c>
      <c r="AZ48" s="24"/>
      <c r="BA48" s="18">
        <v>0</v>
      </c>
      <c r="BB48" s="24"/>
      <c r="BC48" s="18">
        <v>0</v>
      </c>
      <c r="BD48" s="24"/>
      <c r="BE48" s="18">
        <v>0</v>
      </c>
      <c r="BF48" s="24"/>
      <c r="BG48" s="18">
        <v>0</v>
      </c>
      <c r="BH48" s="24"/>
      <c r="BI48" s="18">
        <v>0</v>
      </c>
      <c r="BJ48" s="24"/>
      <c r="BK48" s="18">
        <v>0</v>
      </c>
      <c r="BL48" s="24"/>
      <c r="BM48" s="18">
        <v>0</v>
      </c>
      <c r="BN48" s="24"/>
      <c r="BO48" s="18">
        <v>0</v>
      </c>
      <c r="BP48" s="24"/>
      <c r="BQ48" s="18">
        <v>0</v>
      </c>
      <c r="BR48" s="24"/>
      <c r="BS48" s="18">
        <v>0</v>
      </c>
      <c r="BT48" s="24"/>
      <c r="BU48" s="18">
        <v>0</v>
      </c>
      <c r="BV48" s="24"/>
      <c r="BW48" s="18">
        <v>0</v>
      </c>
      <c r="BX48" s="24"/>
      <c r="BY48" s="18">
        <v>0</v>
      </c>
      <c r="BZ48" s="24"/>
      <c r="CA48" s="18">
        <v>0</v>
      </c>
      <c r="CB48" s="24"/>
      <c r="CC48" s="18">
        <v>0</v>
      </c>
      <c r="CD48" s="24"/>
      <c r="CE48" s="18">
        <v>0</v>
      </c>
      <c r="CF48" s="24"/>
      <c r="CG48" s="18">
        <v>0</v>
      </c>
      <c r="CH48" s="24"/>
      <c r="CI48" s="18">
        <v>0</v>
      </c>
      <c r="CJ48" s="24"/>
      <c r="CK48" s="18">
        <v>0</v>
      </c>
      <c r="CL48" s="24"/>
      <c r="CM48" s="18">
        <v>0</v>
      </c>
      <c r="CN48" s="24"/>
      <c r="CO48" s="18">
        <v>0</v>
      </c>
      <c r="CP48" s="24"/>
      <c r="CQ48" s="18">
        <v>0</v>
      </c>
      <c r="CR48" s="24"/>
      <c r="CS48" s="18">
        <v>0</v>
      </c>
      <c r="CT48" s="24"/>
      <c r="CU48" s="18">
        <v>0</v>
      </c>
      <c r="CV48" s="24"/>
      <c r="CW48" s="18">
        <v>0</v>
      </c>
      <c r="CX48" s="24"/>
      <c r="CY48" s="18">
        <v>0</v>
      </c>
      <c r="CZ48" s="24"/>
      <c r="DA48" s="18">
        <v>0</v>
      </c>
      <c r="DB48" s="24"/>
      <c r="DC48" s="18">
        <v>0</v>
      </c>
      <c r="DD48" s="24"/>
      <c r="DE48" s="18">
        <v>0</v>
      </c>
      <c r="DF48" s="24"/>
      <c r="DG48" s="18">
        <v>0</v>
      </c>
      <c r="DH48" s="24"/>
      <c r="DI48" s="18">
        <v>0</v>
      </c>
      <c r="DJ48" s="24"/>
      <c r="DK48" s="18">
        <v>0</v>
      </c>
      <c r="DL48" s="24"/>
      <c r="DM48" s="18">
        <v>0</v>
      </c>
      <c r="DN48" s="24"/>
      <c r="DO48" s="18">
        <v>0</v>
      </c>
      <c r="DP48" s="24"/>
      <c r="DQ48" s="18">
        <v>0</v>
      </c>
      <c r="DR48" s="24"/>
      <c r="DS48" s="18">
        <v>0</v>
      </c>
      <c r="DT48" s="24"/>
      <c r="DU48" s="18">
        <v>0</v>
      </c>
      <c r="DV48" s="24"/>
      <c r="DW48" s="18">
        <v>0</v>
      </c>
      <c r="DX48" s="24"/>
      <c r="DY48" s="18">
        <v>0</v>
      </c>
      <c r="DZ48" s="24"/>
      <c r="EA48" s="18">
        <v>0</v>
      </c>
      <c r="EB48" s="24"/>
      <c r="EC48" s="18">
        <v>0</v>
      </c>
      <c r="ED48" s="24"/>
      <c r="EE48" s="18">
        <v>0</v>
      </c>
      <c r="EF48" s="24"/>
      <c r="EG48" s="18">
        <v>0</v>
      </c>
      <c r="EH48" s="24"/>
      <c r="EI48" s="18">
        <v>0</v>
      </c>
      <c r="EJ48" s="24"/>
      <c r="EK48" s="18">
        <v>0</v>
      </c>
      <c r="EL48" s="24"/>
      <c r="EM48" s="18">
        <v>0</v>
      </c>
      <c r="EN48" s="24"/>
      <c r="EO48" s="18">
        <v>0</v>
      </c>
      <c r="EP48" s="24"/>
      <c r="EQ48" s="18">
        <v>0</v>
      </c>
      <c r="ER48" s="24"/>
      <c r="ES48" s="18">
        <f>+$EY48</f>
        <v>0</v>
      </c>
      <c r="ET48" s="24"/>
      <c r="EU48" s="221">
        <f>IF( SUM($EQ48:ES48)&lt;0, "n/a", SUM($EQ48:ES48)/EU$74)</f>
        <v>0</v>
      </c>
      <c r="EV48" s="224"/>
      <c r="EW48" s="22"/>
      <c r="EX48" s="154" t="s">
        <v>108</v>
      </c>
      <c r="EY48" s="34">
        <f>IF(ISERROR(VLOOKUP(EX48,IQSH01E!$A$1:$M$400,2,0)),0,VLOOKUP(EX48,IQSH01E!$A$1:$M$400,2,0))</f>
        <v>0</v>
      </c>
      <c r="EZ48" s="206"/>
      <c r="FA48" s="187" t="s">
        <v>117</v>
      </c>
    </row>
    <row r="49" spans="1:157" ht="16.5" customHeight="1" thickBot="1" x14ac:dyDescent="0.35">
      <c r="A49" s="12"/>
      <c r="B49" s="16" t="s">
        <v>84</v>
      </c>
      <c r="C49" s="19">
        <v>0</v>
      </c>
      <c r="D49" s="25"/>
      <c r="E49" s="19">
        <v>0</v>
      </c>
      <c r="F49" s="25"/>
      <c r="G49" s="19">
        <v>0</v>
      </c>
      <c r="H49" s="25"/>
      <c r="I49" s="19">
        <v>0</v>
      </c>
      <c r="J49" s="25"/>
      <c r="K49" s="19">
        <v>0</v>
      </c>
      <c r="L49" s="25"/>
      <c r="M49" s="19">
        <v>0</v>
      </c>
      <c r="N49" s="25"/>
      <c r="O49" s="19">
        <v>0</v>
      </c>
      <c r="P49" s="25"/>
      <c r="Q49" s="19">
        <v>0</v>
      </c>
      <c r="R49" s="25"/>
      <c r="S49" s="19">
        <v>0</v>
      </c>
      <c r="T49" s="25"/>
      <c r="U49" s="19">
        <v>0</v>
      </c>
      <c r="V49" s="25"/>
      <c r="W49" s="19">
        <v>0</v>
      </c>
      <c r="X49" s="25"/>
      <c r="Y49" s="19">
        <v>0</v>
      </c>
      <c r="Z49" s="25"/>
      <c r="AA49" s="19">
        <v>0</v>
      </c>
      <c r="AB49" s="25"/>
      <c r="AC49" s="19">
        <v>0</v>
      </c>
      <c r="AD49" s="25"/>
      <c r="AE49" s="19">
        <v>0</v>
      </c>
      <c r="AF49" s="25"/>
      <c r="AG49" s="19">
        <v>0</v>
      </c>
      <c r="AH49" s="25"/>
      <c r="AI49" s="19">
        <v>0</v>
      </c>
      <c r="AJ49" s="25"/>
      <c r="AK49" s="19">
        <v>0</v>
      </c>
      <c r="AL49" s="25"/>
      <c r="AM49" s="19">
        <v>0</v>
      </c>
      <c r="AN49" s="25"/>
      <c r="AO49" s="19">
        <v>0</v>
      </c>
      <c r="AP49" s="25"/>
      <c r="AQ49" s="19">
        <v>0</v>
      </c>
      <c r="AR49" s="25"/>
      <c r="AS49" s="19">
        <v>0</v>
      </c>
      <c r="AT49" s="25"/>
      <c r="AU49" s="19">
        <v>0</v>
      </c>
      <c r="AV49" s="25"/>
      <c r="AW49" s="19">
        <v>272</v>
      </c>
      <c r="AX49" s="25"/>
      <c r="AY49" s="19">
        <v>118841.66</v>
      </c>
      <c r="AZ49" s="25"/>
      <c r="BA49" s="19">
        <v>141798.93</v>
      </c>
      <c r="BB49" s="25"/>
      <c r="BC49" s="19">
        <v>46521.66</v>
      </c>
      <c r="BD49" s="25"/>
      <c r="BE49" s="19">
        <v>186050.33</v>
      </c>
      <c r="BF49" s="25"/>
      <c r="BG49" s="19">
        <v>5556.93</v>
      </c>
      <c r="BH49" s="25"/>
      <c r="BI49" s="19">
        <v>0</v>
      </c>
      <c r="BJ49" s="25"/>
      <c r="BK49" s="19">
        <v>0</v>
      </c>
      <c r="BL49" s="25"/>
      <c r="BM49" s="19">
        <v>0</v>
      </c>
      <c r="BN49" s="25"/>
      <c r="BO49" s="19">
        <v>0</v>
      </c>
      <c r="BP49" s="25"/>
      <c r="BQ49" s="19">
        <v>0</v>
      </c>
      <c r="BR49" s="25"/>
      <c r="BS49" s="19">
        <v>0</v>
      </c>
      <c r="BT49" s="25"/>
      <c r="BU49" s="19">
        <v>0</v>
      </c>
      <c r="BV49" s="25"/>
      <c r="BW49" s="19">
        <v>0</v>
      </c>
      <c r="BX49" s="25"/>
      <c r="BY49" s="19">
        <v>0</v>
      </c>
      <c r="BZ49" s="25"/>
      <c r="CA49" s="19">
        <v>0</v>
      </c>
      <c r="CB49" s="25"/>
      <c r="CC49" s="19">
        <v>0</v>
      </c>
      <c r="CD49" s="25"/>
      <c r="CE49" s="19">
        <v>0</v>
      </c>
      <c r="CF49" s="25"/>
      <c r="CG49" s="19">
        <v>0</v>
      </c>
      <c r="CH49" s="25"/>
      <c r="CI49" s="19">
        <v>0</v>
      </c>
      <c r="CJ49" s="25"/>
      <c r="CK49" s="19">
        <v>0</v>
      </c>
      <c r="CL49" s="25"/>
      <c r="CM49" s="19">
        <v>0</v>
      </c>
      <c r="CN49" s="25"/>
      <c r="CO49" s="19">
        <v>0</v>
      </c>
      <c r="CP49" s="25"/>
      <c r="CQ49" s="19">
        <v>0</v>
      </c>
      <c r="CR49" s="25"/>
      <c r="CS49" s="19">
        <v>0</v>
      </c>
      <c r="CT49" s="25"/>
      <c r="CU49" s="19">
        <v>0</v>
      </c>
      <c r="CV49" s="25"/>
      <c r="CW49" s="19">
        <v>0</v>
      </c>
      <c r="CX49" s="25"/>
      <c r="CY49" s="19">
        <v>0</v>
      </c>
      <c r="CZ49" s="25"/>
      <c r="DA49" s="19">
        <v>0</v>
      </c>
      <c r="DB49" s="25"/>
      <c r="DC49" s="19">
        <v>0</v>
      </c>
      <c r="DD49" s="25"/>
      <c r="DE49" s="19">
        <v>0</v>
      </c>
      <c r="DF49" s="25"/>
      <c r="DG49" s="19">
        <v>0</v>
      </c>
      <c r="DH49" s="25"/>
      <c r="DI49" s="19">
        <v>0</v>
      </c>
      <c r="DJ49" s="25"/>
      <c r="DK49" s="19">
        <v>0</v>
      </c>
      <c r="DL49" s="25"/>
      <c r="DM49" s="19">
        <v>0</v>
      </c>
      <c r="DN49" s="25"/>
      <c r="DO49" s="19">
        <v>0</v>
      </c>
      <c r="DP49" s="25"/>
      <c r="DQ49" s="19">
        <v>0</v>
      </c>
      <c r="DR49" s="25"/>
      <c r="DS49" s="19">
        <v>0</v>
      </c>
      <c r="DT49" s="25"/>
      <c r="DU49" s="19">
        <v>0</v>
      </c>
      <c r="DV49" s="25"/>
      <c r="DW49" s="19">
        <v>0</v>
      </c>
      <c r="DX49" s="25"/>
      <c r="DY49" s="19">
        <v>0</v>
      </c>
      <c r="DZ49" s="25"/>
      <c r="EA49" s="19">
        <v>0</v>
      </c>
      <c r="EB49" s="25"/>
      <c r="EC49" s="19">
        <v>0</v>
      </c>
      <c r="ED49" s="25"/>
      <c r="EE49" s="19">
        <v>0</v>
      </c>
      <c r="EF49" s="25"/>
      <c r="EG49" s="19">
        <v>0</v>
      </c>
      <c r="EH49" s="25"/>
      <c r="EI49" s="19">
        <v>0</v>
      </c>
      <c r="EJ49" s="25"/>
      <c r="EK49" s="19">
        <v>0</v>
      </c>
      <c r="EL49" s="25"/>
      <c r="EM49" s="19">
        <v>0</v>
      </c>
      <c r="EN49" s="25"/>
      <c r="EO49" s="19">
        <v>0</v>
      </c>
      <c r="EP49" s="25"/>
      <c r="EQ49" s="19">
        <v>0</v>
      </c>
      <c r="ER49" s="25"/>
      <c r="ES49" s="19">
        <f>SUM(ES46:ES48)</f>
        <v>0</v>
      </c>
      <c r="ET49" s="25"/>
      <c r="EU49" s="225">
        <f>IF( SUM($EQ49:ES49)&lt;0, "n/a", SUM($EQ49:ES49)/EU$74)</f>
        <v>0</v>
      </c>
      <c r="EV49" s="228"/>
      <c r="EW49" s="61"/>
      <c r="EX49" s="37" t="s">
        <v>48</v>
      </c>
      <c r="EY49" s="38">
        <f>IF(ISERROR(VLOOKUP(EX49,IQSH01E!$A$1:$M$400,2,0)),0,VLOOKUP(EX49,IQSH01E!$A$1:$M$400,2,0))</f>
        <v>0</v>
      </c>
      <c r="EZ49" s="48">
        <f>SUM(EY39:EY48)</f>
        <v>0</v>
      </c>
      <c r="FA49" s="188" t="s">
        <v>118</v>
      </c>
    </row>
    <row r="50" spans="1:157" s="1" customFormat="1" ht="16.5" customHeight="1" thickBot="1" x14ac:dyDescent="0.35">
      <c r="A50" s="3"/>
      <c r="B50" s="14" t="s">
        <v>89</v>
      </c>
      <c r="C50" s="4">
        <v>0</v>
      </c>
      <c r="D50" s="27" t="s">
        <v>105</v>
      </c>
      <c r="E50" s="4">
        <v>0</v>
      </c>
      <c r="F50" s="27" t="s">
        <v>105</v>
      </c>
      <c r="G50" s="4">
        <v>0</v>
      </c>
      <c r="H50" s="27" t="s">
        <v>105</v>
      </c>
      <c r="I50" s="4">
        <v>0</v>
      </c>
      <c r="J50" s="27" t="s">
        <v>105</v>
      </c>
      <c r="K50" s="4">
        <v>0</v>
      </c>
      <c r="L50" s="27" t="s">
        <v>105</v>
      </c>
      <c r="M50" s="4">
        <v>0</v>
      </c>
      <c r="N50" s="27" t="s">
        <v>105</v>
      </c>
      <c r="O50" s="4">
        <v>0</v>
      </c>
      <c r="P50" s="27" t="s">
        <v>105</v>
      </c>
      <c r="Q50" s="4">
        <v>0</v>
      </c>
      <c r="R50" s="27" t="s">
        <v>105</v>
      </c>
      <c r="S50" s="4">
        <v>0</v>
      </c>
      <c r="T50" s="27" t="s">
        <v>105</v>
      </c>
      <c r="U50" s="4">
        <v>0</v>
      </c>
      <c r="V50" s="27" t="s">
        <v>105</v>
      </c>
      <c r="W50" s="4">
        <v>0</v>
      </c>
      <c r="X50" s="27" t="s">
        <v>105</v>
      </c>
      <c r="Y50" s="4">
        <v>0</v>
      </c>
      <c r="Z50" s="27" t="s">
        <v>105</v>
      </c>
      <c r="AA50" s="4">
        <v>0</v>
      </c>
      <c r="AB50" s="27" t="s">
        <v>105</v>
      </c>
      <c r="AC50" s="4">
        <v>0</v>
      </c>
      <c r="AD50" s="27" t="s">
        <v>105</v>
      </c>
      <c r="AE50" s="4">
        <v>0</v>
      </c>
      <c r="AF50" s="27" t="s">
        <v>105</v>
      </c>
      <c r="AG50" s="4">
        <v>0</v>
      </c>
      <c r="AH50" s="27" t="s">
        <v>105</v>
      </c>
      <c r="AI50" s="4">
        <v>0</v>
      </c>
      <c r="AJ50" s="27" t="s">
        <v>105</v>
      </c>
      <c r="AK50" s="4">
        <v>0</v>
      </c>
      <c r="AL50" s="27" t="s">
        <v>105</v>
      </c>
      <c r="AM50" s="4">
        <v>0</v>
      </c>
      <c r="AN50" s="27" t="s">
        <v>105</v>
      </c>
      <c r="AO50" s="4">
        <v>0</v>
      </c>
      <c r="AP50" s="27" t="s">
        <v>105</v>
      </c>
      <c r="AQ50" s="4">
        <v>0</v>
      </c>
      <c r="AR50" s="27" t="s">
        <v>105</v>
      </c>
      <c r="AS50" s="4">
        <v>0</v>
      </c>
      <c r="AT50" s="27" t="s">
        <v>105</v>
      </c>
      <c r="AU50" s="4">
        <v>0</v>
      </c>
      <c r="AV50" s="27" t="s">
        <v>105</v>
      </c>
      <c r="AW50" s="4">
        <v>0</v>
      </c>
      <c r="AX50" s="27" t="s">
        <v>105</v>
      </c>
      <c r="AY50" s="4">
        <v>0</v>
      </c>
      <c r="AZ50" s="27" t="s">
        <v>105</v>
      </c>
      <c r="BA50" s="4">
        <v>0</v>
      </c>
      <c r="BB50" s="27" t="s">
        <v>105</v>
      </c>
      <c r="BC50" s="4">
        <v>0</v>
      </c>
      <c r="BD50" s="27" t="s">
        <v>105</v>
      </c>
      <c r="BE50" s="4">
        <v>0</v>
      </c>
      <c r="BF50" s="27" t="s">
        <v>105</v>
      </c>
      <c r="BG50" s="4">
        <v>0</v>
      </c>
      <c r="BH50" s="27" t="s">
        <v>105</v>
      </c>
      <c r="BI50" s="4">
        <v>0</v>
      </c>
      <c r="BJ50" s="27" t="s">
        <v>105</v>
      </c>
      <c r="BK50" s="4">
        <v>0</v>
      </c>
      <c r="BL50" s="27" t="s">
        <v>105</v>
      </c>
      <c r="BM50" s="4">
        <v>0</v>
      </c>
      <c r="BN50" s="27" t="s">
        <v>105</v>
      </c>
      <c r="BO50" s="4">
        <v>0</v>
      </c>
      <c r="BP50" s="27" t="s">
        <v>105</v>
      </c>
      <c r="BQ50" s="4">
        <v>0</v>
      </c>
      <c r="BR50" s="27" t="s">
        <v>105</v>
      </c>
      <c r="BS50" s="4">
        <v>0</v>
      </c>
      <c r="BT50" s="27" t="s">
        <v>105</v>
      </c>
      <c r="BU50" s="4">
        <v>0</v>
      </c>
      <c r="BV50" s="27" t="s">
        <v>105</v>
      </c>
      <c r="BW50" s="4">
        <v>0</v>
      </c>
      <c r="BX50" s="27" t="s">
        <v>105</v>
      </c>
      <c r="BY50" s="4">
        <v>0</v>
      </c>
      <c r="BZ50" s="27" t="s">
        <v>105</v>
      </c>
      <c r="CA50" s="4">
        <v>0</v>
      </c>
      <c r="CB50" s="27" t="s">
        <v>105</v>
      </c>
      <c r="CC50" s="4">
        <v>0</v>
      </c>
      <c r="CD50" s="27" t="s">
        <v>105</v>
      </c>
      <c r="CE50" s="4">
        <v>0</v>
      </c>
      <c r="CF50" s="27" t="s">
        <v>105</v>
      </c>
      <c r="CG50" s="4">
        <v>0</v>
      </c>
      <c r="CH50" s="27" t="s">
        <v>105</v>
      </c>
      <c r="CI50" s="4">
        <v>0</v>
      </c>
      <c r="CJ50" s="27" t="s">
        <v>105</v>
      </c>
      <c r="CK50" s="4">
        <v>0</v>
      </c>
      <c r="CL50" s="27" t="s">
        <v>105</v>
      </c>
      <c r="CM50" s="4">
        <v>0</v>
      </c>
      <c r="CN50" s="27" t="s">
        <v>105</v>
      </c>
      <c r="CO50" s="4">
        <v>0</v>
      </c>
      <c r="CP50" s="27" t="s">
        <v>105</v>
      </c>
      <c r="CQ50" s="4">
        <v>0</v>
      </c>
      <c r="CR50" s="27" t="s">
        <v>105</v>
      </c>
      <c r="CS50" s="4">
        <v>0</v>
      </c>
      <c r="CT50" s="27" t="s">
        <v>105</v>
      </c>
      <c r="CU50" s="4">
        <v>0</v>
      </c>
      <c r="CV50" s="27" t="s">
        <v>105</v>
      </c>
      <c r="CW50" s="4">
        <v>0</v>
      </c>
      <c r="CX50" s="27" t="s">
        <v>105</v>
      </c>
      <c r="CY50" s="4">
        <v>0</v>
      </c>
      <c r="CZ50" s="27" t="s">
        <v>105</v>
      </c>
      <c r="DA50" s="4">
        <v>0</v>
      </c>
      <c r="DB50" s="27" t="s">
        <v>105</v>
      </c>
      <c r="DC50" s="4">
        <v>0</v>
      </c>
      <c r="DD50" s="27" t="s">
        <v>105</v>
      </c>
      <c r="DE50" s="4">
        <v>0</v>
      </c>
      <c r="DF50" s="27" t="s">
        <v>105</v>
      </c>
      <c r="DG50" s="4">
        <v>0</v>
      </c>
      <c r="DH50" s="27" t="s">
        <v>105</v>
      </c>
      <c r="DI50" s="4">
        <v>0</v>
      </c>
      <c r="DJ50" s="27" t="s">
        <v>105</v>
      </c>
      <c r="DK50" s="4">
        <v>0</v>
      </c>
      <c r="DL50" s="27" t="s">
        <v>105</v>
      </c>
      <c r="DM50" s="4">
        <v>0</v>
      </c>
      <c r="DN50" s="27" t="s">
        <v>105</v>
      </c>
      <c r="DO50" s="4">
        <v>0</v>
      </c>
      <c r="DP50" s="27" t="s">
        <v>105</v>
      </c>
      <c r="DQ50" s="4">
        <v>0</v>
      </c>
      <c r="DR50" s="27" t="s">
        <v>105</v>
      </c>
      <c r="DS50" s="4">
        <v>0</v>
      </c>
      <c r="DT50" s="27" t="s">
        <v>105</v>
      </c>
      <c r="DU50" s="4">
        <v>0</v>
      </c>
      <c r="DV50" s="27" t="s">
        <v>105</v>
      </c>
      <c r="DW50" s="4">
        <v>0</v>
      </c>
      <c r="DX50" s="27" t="s">
        <v>105</v>
      </c>
      <c r="DY50" s="4">
        <v>0</v>
      </c>
      <c r="DZ50" s="27" t="s">
        <v>105</v>
      </c>
      <c r="EA50" s="4">
        <v>0</v>
      </c>
      <c r="EB50" s="27" t="s">
        <v>105</v>
      </c>
      <c r="EC50" s="4">
        <v>0</v>
      </c>
      <c r="ED50" s="27" t="s">
        <v>105</v>
      </c>
      <c r="EE50" s="4">
        <v>0</v>
      </c>
      <c r="EF50" s="27" t="s">
        <v>105</v>
      </c>
      <c r="EG50" s="4">
        <v>0</v>
      </c>
      <c r="EH50" s="27" t="s">
        <v>105</v>
      </c>
      <c r="EI50" s="4">
        <v>0</v>
      </c>
      <c r="EJ50" s="27" t="s">
        <v>105</v>
      </c>
      <c r="EK50" s="4">
        <v>0</v>
      </c>
      <c r="EL50" s="27" t="s">
        <v>105</v>
      </c>
      <c r="EM50" s="4">
        <v>0</v>
      </c>
      <c r="EN50" s="27" t="s">
        <v>105</v>
      </c>
      <c r="EO50" s="4">
        <v>0</v>
      </c>
      <c r="EP50" s="27" t="s">
        <v>105</v>
      </c>
      <c r="EQ50" s="4">
        <v>0</v>
      </c>
      <c r="ER50" s="27" t="s">
        <v>105</v>
      </c>
      <c r="ES50" s="4">
        <f t="shared" ref="ES50:ES56" si="4">+$EY50</f>
        <v>0</v>
      </c>
      <c r="ET50" s="27" t="s">
        <v>105</v>
      </c>
      <c r="EU50" s="221">
        <f>IF( SUM($EQ50:ES50)&lt;0, "n/a", SUM($EQ50:ES50)/EU$74)</f>
        <v>0</v>
      </c>
      <c r="EV50" s="222" t="e">
        <f>EU50/EU57</f>
        <v>#DIV/0!</v>
      </c>
      <c r="EW50" s="62"/>
      <c r="EX50" s="96" t="s">
        <v>68</v>
      </c>
      <c r="EY50" s="35">
        <f>IF(ISERROR(VLOOKUP(EX50,IQSH01E!$A$1:$M$400,2,0)),0,VLOOKUP(EX50,IQSH01E!$A$1:$M$400,2,0))</f>
        <v>0</v>
      </c>
      <c r="EZ50" s="43"/>
      <c r="FA50" s="182" t="s">
        <v>123</v>
      </c>
    </row>
    <row r="51" spans="1:157" s="1" customFormat="1" ht="16.5" customHeight="1" thickBot="1" x14ac:dyDescent="0.35">
      <c r="A51" s="3"/>
      <c r="B51" s="14" t="s">
        <v>79</v>
      </c>
      <c r="C51" s="4">
        <v>0</v>
      </c>
      <c r="D51" s="28" t="s">
        <v>105</v>
      </c>
      <c r="E51" s="4">
        <v>0</v>
      </c>
      <c r="F51" s="28" t="s">
        <v>105</v>
      </c>
      <c r="G51" s="4">
        <v>0</v>
      </c>
      <c r="H51" s="28" t="s">
        <v>105</v>
      </c>
      <c r="I51" s="4">
        <v>0</v>
      </c>
      <c r="J51" s="28" t="s">
        <v>105</v>
      </c>
      <c r="K51" s="4">
        <v>0</v>
      </c>
      <c r="L51" s="28" t="s">
        <v>105</v>
      </c>
      <c r="M51" s="4">
        <v>0</v>
      </c>
      <c r="N51" s="28" t="s">
        <v>105</v>
      </c>
      <c r="O51" s="4">
        <v>0</v>
      </c>
      <c r="P51" s="28" t="s">
        <v>105</v>
      </c>
      <c r="Q51" s="4">
        <v>0</v>
      </c>
      <c r="R51" s="28" t="s">
        <v>105</v>
      </c>
      <c r="S51" s="4">
        <v>0</v>
      </c>
      <c r="T51" s="28" t="s">
        <v>105</v>
      </c>
      <c r="U51" s="4">
        <v>0</v>
      </c>
      <c r="V51" s="28" t="s">
        <v>105</v>
      </c>
      <c r="W51" s="4">
        <v>0</v>
      </c>
      <c r="X51" s="28" t="s">
        <v>105</v>
      </c>
      <c r="Y51" s="4">
        <v>0</v>
      </c>
      <c r="Z51" s="28" t="s">
        <v>105</v>
      </c>
      <c r="AA51" s="4">
        <v>0</v>
      </c>
      <c r="AB51" s="28" t="s">
        <v>105</v>
      </c>
      <c r="AC51" s="4">
        <v>0</v>
      </c>
      <c r="AD51" s="28" t="s">
        <v>105</v>
      </c>
      <c r="AE51" s="4">
        <v>0</v>
      </c>
      <c r="AF51" s="28" t="s">
        <v>105</v>
      </c>
      <c r="AG51" s="4">
        <v>0</v>
      </c>
      <c r="AH51" s="28" t="s">
        <v>105</v>
      </c>
      <c r="AI51" s="4">
        <v>0</v>
      </c>
      <c r="AJ51" s="28" t="s">
        <v>105</v>
      </c>
      <c r="AK51" s="4">
        <v>0</v>
      </c>
      <c r="AL51" s="28" t="s">
        <v>105</v>
      </c>
      <c r="AM51" s="4">
        <v>0</v>
      </c>
      <c r="AN51" s="28" t="s">
        <v>105</v>
      </c>
      <c r="AO51" s="4">
        <v>0</v>
      </c>
      <c r="AP51" s="28" t="s">
        <v>105</v>
      </c>
      <c r="AQ51" s="4">
        <v>0</v>
      </c>
      <c r="AR51" s="28" t="s">
        <v>105</v>
      </c>
      <c r="AS51" s="4">
        <v>0</v>
      </c>
      <c r="AT51" s="28" t="s">
        <v>105</v>
      </c>
      <c r="AU51" s="4">
        <v>0</v>
      </c>
      <c r="AV51" s="28" t="s">
        <v>105</v>
      </c>
      <c r="AW51" s="4">
        <v>0</v>
      </c>
      <c r="AX51" s="28" t="s">
        <v>105</v>
      </c>
      <c r="AY51" s="4">
        <v>0</v>
      </c>
      <c r="AZ51" s="28" t="s">
        <v>105</v>
      </c>
      <c r="BA51" s="4">
        <v>0</v>
      </c>
      <c r="BB51" s="28" t="s">
        <v>105</v>
      </c>
      <c r="BC51" s="4">
        <v>0</v>
      </c>
      <c r="BD51" s="28" t="s">
        <v>105</v>
      </c>
      <c r="BE51" s="4">
        <v>0</v>
      </c>
      <c r="BF51" s="28" t="s">
        <v>105</v>
      </c>
      <c r="BG51" s="4">
        <v>0</v>
      </c>
      <c r="BH51" s="28" t="s">
        <v>105</v>
      </c>
      <c r="BI51" s="4">
        <v>0</v>
      </c>
      <c r="BJ51" s="28" t="s">
        <v>105</v>
      </c>
      <c r="BK51" s="4">
        <v>0</v>
      </c>
      <c r="BL51" s="28" t="s">
        <v>105</v>
      </c>
      <c r="BM51" s="4">
        <v>0</v>
      </c>
      <c r="BN51" s="28" t="s">
        <v>105</v>
      </c>
      <c r="BO51" s="4">
        <v>0</v>
      </c>
      <c r="BP51" s="28" t="s">
        <v>105</v>
      </c>
      <c r="BQ51" s="4">
        <v>0</v>
      </c>
      <c r="BR51" s="28" t="s">
        <v>105</v>
      </c>
      <c r="BS51" s="4">
        <v>0</v>
      </c>
      <c r="BT51" s="28" t="s">
        <v>105</v>
      </c>
      <c r="BU51" s="4">
        <v>0</v>
      </c>
      <c r="BV51" s="28" t="s">
        <v>105</v>
      </c>
      <c r="BW51" s="4">
        <v>0</v>
      </c>
      <c r="BX51" s="28" t="s">
        <v>105</v>
      </c>
      <c r="BY51" s="4">
        <v>0</v>
      </c>
      <c r="BZ51" s="28" t="s">
        <v>105</v>
      </c>
      <c r="CA51" s="4">
        <v>0</v>
      </c>
      <c r="CB51" s="28" t="s">
        <v>105</v>
      </c>
      <c r="CC51" s="4">
        <v>0</v>
      </c>
      <c r="CD51" s="28" t="s">
        <v>105</v>
      </c>
      <c r="CE51" s="4">
        <v>0</v>
      </c>
      <c r="CF51" s="28" t="s">
        <v>105</v>
      </c>
      <c r="CG51" s="4">
        <v>0</v>
      </c>
      <c r="CH51" s="28" t="s">
        <v>105</v>
      </c>
      <c r="CI51" s="4">
        <v>0</v>
      </c>
      <c r="CJ51" s="28" t="s">
        <v>105</v>
      </c>
      <c r="CK51" s="4">
        <v>0</v>
      </c>
      <c r="CL51" s="28" t="s">
        <v>105</v>
      </c>
      <c r="CM51" s="4">
        <v>0</v>
      </c>
      <c r="CN51" s="28" t="s">
        <v>105</v>
      </c>
      <c r="CO51" s="4">
        <v>0</v>
      </c>
      <c r="CP51" s="28" t="s">
        <v>105</v>
      </c>
      <c r="CQ51" s="4">
        <v>0</v>
      </c>
      <c r="CR51" s="28" t="s">
        <v>105</v>
      </c>
      <c r="CS51" s="4">
        <v>0</v>
      </c>
      <c r="CT51" s="28" t="s">
        <v>105</v>
      </c>
      <c r="CU51" s="4">
        <v>0</v>
      </c>
      <c r="CV51" s="28" t="s">
        <v>105</v>
      </c>
      <c r="CW51" s="4">
        <v>0</v>
      </c>
      <c r="CX51" s="28" t="s">
        <v>105</v>
      </c>
      <c r="CY51" s="4">
        <v>0</v>
      </c>
      <c r="CZ51" s="28" t="s">
        <v>105</v>
      </c>
      <c r="DA51" s="4">
        <v>0</v>
      </c>
      <c r="DB51" s="28" t="s">
        <v>105</v>
      </c>
      <c r="DC51" s="4">
        <v>0</v>
      </c>
      <c r="DD51" s="28" t="s">
        <v>105</v>
      </c>
      <c r="DE51" s="4">
        <v>0</v>
      </c>
      <c r="DF51" s="28" t="s">
        <v>105</v>
      </c>
      <c r="DG51" s="4">
        <v>0</v>
      </c>
      <c r="DH51" s="28" t="s">
        <v>105</v>
      </c>
      <c r="DI51" s="4">
        <v>0</v>
      </c>
      <c r="DJ51" s="28" t="s">
        <v>105</v>
      </c>
      <c r="DK51" s="4">
        <v>0</v>
      </c>
      <c r="DL51" s="28" t="s">
        <v>105</v>
      </c>
      <c r="DM51" s="4">
        <v>0</v>
      </c>
      <c r="DN51" s="28" t="s">
        <v>105</v>
      </c>
      <c r="DO51" s="4">
        <v>0</v>
      </c>
      <c r="DP51" s="28" t="s">
        <v>105</v>
      </c>
      <c r="DQ51" s="4">
        <v>0</v>
      </c>
      <c r="DR51" s="28" t="s">
        <v>105</v>
      </c>
      <c r="DS51" s="4">
        <v>0</v>
      </c>
      <c r="DT51" s="28" t="s">
        <v>105</v>
      </c>
      <c r="DU51" s="4">
        <v>0</v>
      </c>
      <c r="DV51" s="28" t="s">
        <v>105</v>
      </c>
      <c r="DW51" s="4">
        <v>0</v>
      </c>
      <c r="DX51" s="28" t="s">
        <v>105</v>
      </c>
      <c r="DY51" s="4">
        <v>0</v>
      </c>
      <c r="DZ51" s="28" t="s">
        <v>105</v>
      </c>
      <c r="EA51" s="4">
        <v>0</v>
      </c>
      <c r="EB51" s="28" t="s">
        <v>105</v>
      </c>
      <c r="EC51" s="4">
        <v>0</v>
      </c>
      <c r="ED51" s="28" t="s">
        <v>105</v>
      </c>
      <c r="EE51" s="4">
        <v>0</v>
      </c>
      <c r="EF51" s="28" t="s">
        <v>105</v>
      </c>
      <c r="EG51" s="4">
        <v>0</v>
      </c>
      <c r="EH51" s="28" t="s">
        <v>105</v>
      </c>
      <c r="EI51" s="4">
        <v>0</v>
      </c>
      <c r="EJ51" s="28" t="s">
        <v>105</v>
      </c>
      <c r="EK51" s="4">
        <v>0</v>
      </c>
      <c r="EL51" s="28" t="s">
        <v>105</v>
      </c>
      <c r="EM51" s="4">
        <v>0</v>
      </c>
      <c r="EN51" s="28" t="s">
        <v>105</v>
      </c>
      <c r="EO51" s="4">
        <v>0</v>
      </c>
      <c r="EP51" s="28" t="s">
        <v>105</v>
      </c>
      <c r="EQ51" s="4">
        <v>0</v>
      </c>
      <c r="ER51" s="28" t="s">
        <v>105</v>
      </c>
      <c r="ES51" s="4">
        <f t="shared" si="4"/>
        <v>0</v>
      </c>
      <c r="ET51" s="28" t="s">
        <v>105</v>
      </c>
      <c r="EU51" s="221">
        <f>IF( SUM($EQ51:ES51)&lt;0, "n/a", SUM($EQ51:ES51)/EU$74)</f>
        <v>0</v>
      </c>
      <c r="EV51" s="223" t="e">
        <f>EU51/EU57</f>
        <v>#DIV/0!</v>
      </c>
      <c r="EW51" s="62"/>
      <c r="EX51" s="100" t="s">
        <v>113</v>
      </c>
      <c r="EY51" s="101">
        <f>+EY60-EY59-EY58-EY50-EY53-EY54-EY55-EY56</f>
        <v>0</v>
      </c>
      <c r="EZ51" s="102"/>
      <c r="FA51" s="186"/>
    </row>
    <row r="52" spans="1:157" s="1" customFormat="1" ht="16.5" customHeight="1" x14ac:dyDescent="0.3">
      <c r="A52" s="3"/>
      <c r="B52" s="14" t="s">
        <v>107</v>
      </c>
      <c r="C52" s="4">
        <v>0</v>
      </c>
      <c r="D52" s="28" t="s">
        <v>105</v>
      </c>
      <c r="E52" s="4">
        <v>0</v>
      </c>
      <c r="F52" s="28" t="s">
        <v>105</v>
      </c>
      <c r="G52" s="4">
        <v>0</v>
      </c>
      <c r="H52" s="28" t="s">
        <v>105</v>
      </c>
      <c r="I52" s="4">
        <v>0</v>
      </c>
      <c r="J52" s="28" t="s">
        <v>105</v>
      </c>
      <c r="K52" s="4">
        <v>0</v>
      </c>
      <c r="L52" s="28" t="s">
        <v>105</v>
      </c>
      <c r="M52" s="4">
        <v>0</v>
      </c>
      <c r="N52" s="28" t="s">
        <v>105</v>
      </c>
      <c r="O52" s="4">
        <v>0</v>
      </c>
      <c r="P52" s="28" t="s">
        <v>105</v>
      </c>
      <c r="Q52" s="4">
        <v>0</v>
      </c>
      <c r="R52" s="28" t="s">
        <v>105</v>
      </c>
      <c r="S52" s="4">
        <v>0</v>
      </c>
      <c r="T52" s="28" t="s">
        <v>105</v>
      </c>
      <c r="U52" s="4">
        <v>0</v>
      </c>
      <c r="V52" s="28" t="s">
        <v>105</v>
      </c>
      <c r="W52" s="4">
        <v>0</v>
      </c>
      <c r="X52" s="28" t="s">
        <v>105</v>
      </c>
      <c r="Y52" s="4">
        <v>0</v>
      </c>
      <c r="Z52" s="28" t="s">
        <v>105</v>
      </c>
      <c r="AA52" s="4">
        <v>0</v>
      </c>
      <c r="AB52" s="28" t="s">
        <v>105</v>
      </c>
      <c r="AC52" s="4">
        <v>0</v>
      </c>
      <c r="AD52" s="28" t="s">
        <v>105</v>
      </c>
      <c r="AE52" s="4">
        <v>0</v>
      </c>
      <c r="AF52" s="28" t="s">
        <v>105</v>
      </c>
      <c r="AG52" s="4">
        <v>0</v>
      </c>
      <c r="AH52" s="28" t="s">
        <v>105</v>
      </c>
      <c r="AI52" s="4">
        <v>0</v>
      </c>
      <c r="AJ52" s="28" t="s">
        <v>105</v>
      </c>
      <c r="AK52" s="4">
        <v>0</v>
      </c>
      <c r="AL52" s="28" t="s">
        <v>105</v>
      </c>
      <c r="AM52" s="4">
        <v>0</v>
      </c>
      <c r="AN52" s="28" t="s">
        <v>105</v>
      </c>
      <c r="AO52" s="4">
        <v>0</v>
      </c>
      <c r="AP52" s="28" t="s">
        <v>105</v>
      </c>
      <c r="AQ52" s="4">
        <v>0</v>
      </c>
      <c r="AR52" s="28" t="s">
        <v>105</v>
      </c>
      <c r="AS52" s="4">
        <v>0</v>
      </c>
      <c r="AT52" s="28" t="s">
        <v>105</v>
      </c>
      <c r="AU52" s="4">
        <v>0</v>
      </c>
      <c r="AV52" s="28" t="s">
        <v>105</v>
      </c>
      <c r="AW52" s="4">
        <v>0</v>
      </c>
      <c r="AX52" s="28" t="s">
        <v>105</v>
      </c>
      <c r="AY52" s="4">
        <v>0</v>
      </c>
      <c r="AZ52" s="28" t="s">
        <v>105</v>
      </c>
      <c r="BA52" s="4">
        <v>0</v>
      </c>
      <c r="BB52" s="28" t="s">
        <v>105</v>
      </c>
      <c r="BC52" s="4">
        <v>0</v>
      </c>
      <c r="BD52" s="28" t="s">
        <v>105</v>
      </c>
      <c r="BE52" s="4">
        <v>0</v>
      </c>
      <c r="BF52" s="28" t="s">
        <v>105</v>
      </c>
      <c r="BG52" s="4">
        <v>0</v>
      </c>
      <c r="BH52" s="28" t="s">
        <v>105</v>
      </c>
      <c r="BI52" s="4">
        <v>0</v>
      </c>
      <c r="BJ52" s="28" t="s">
        <v>105</v>
      </c>
      <c r="BK52" s="4">
        <v>0</v>
      </c>
      <c r="BL52" s="28" t="s">
        <v>105</v>
      </c>
      <c r="BM52" s="4">
        <v>0</v>
      </c>
      <c r="BN52" s="28" t="s">
        <v>105</v>
      </c>
      <c r="BO52" s="4">
        <v>0</v>
      </c>
      <c r="BP52" s="28" t="s">
        <v>105</v>
      </c>
      <c r="BQ52" s="4">
        <v>0</v>
      </c>
      <c r="BR52" s="28" t="s">
        <v>105</v>
      </c>
      <c r="BS52" s="4">
        <v>0</v>
      </c>
      <c r="BT52" s="28" t="s">
        <v>105</v>
      </c>
      <c r="BU52" s="4">
        <v>0</v>
      </c>
      <c r="BV52" s="28" t="s">
        <v>105</v>
      </c>
      <c r="BW52" s="4">
        <v>0</v>
      </c>
      <c r="BX52" s="28" t="s">
        <v>105</v>
      </c>
      <c r="BY52" s="4">
        <v>0</v>
      </c>
      <c r="BZ52" s="28" t="s">
        <v>105</v>
      </c>
      <c r="CA52" s="4">
        <v>0</v>
      </c>
      <c r="CB52" s="28" t="s">
        <v>105</v>
      </c>
      <c r="CC52" s="4">
        <v>0</v>
      </c>
      <c r="CD52" s="28" t="s">
        <v>105</v>
      </c>
      <c r="CE52" s="4">
        <v>0</v>
      </c>
      <c r="CF52" s="28" t="s">
        <v>105</v>
      </c>
      <c r="CG52" s="4">
        <v>0</v>
      </c>
      <c r="CH52" s="28" t="s">
        <v>105</v>
      </c>
      <c r="CI52" s="4">
        <v>0</v>
      </c>
      <c r="CJ52" s="28" t="s">
        <v>105</v>
      </c>
      <c r="CK52" s="4">
        <v>0</v>
      </c>
      <c r="CL52" s="28" t="s">
        <v>105</v>
      </c>
      <c r="CM52" s="4">
        <v>0</v>
      </c>
      <c r="CN52" s="28" t="s">
        <v>105</v>
      </c>
      <c r="CO52" s="4">
        <v>0</v>
      </c>
      <c r="CP52" s="28" t="s">
        <v>105</v>
      </c>
      <c r="CQ52" s="4">
        <v>0</v>
      </c>
      <c r="CR52" s="28" t="s">
        <v>105</v>
      </c>
      <c r="CS52" s="4">
        <v>0</v>
      </c>
      <c r="CT52" s="28" t="s">
        <v>105</v>
      </c>
      <c r="CU52" s="4">
        <v>0</v>
      </c>
      <c r="CV52" s="28" t="s">
        <v>105</v>
      </c>
      <c r="CW52" s="4">
        <v>0</v>
      </c>
      <c r="CX52" s="28" t="s">
        <v>105</v>
      </c>
      <c r="CY52" s="4">
        <v>0</v>
      </c>
      <c r="CZ52" s="28" t="s">
        <v>105</v>
      </c>
      <c r="DA52" s="4">
        <v>0</v>
      </c>
      <c r="DB52" s="28" t="s">
        <v>105</v>
      </c>
      <c r="DC52" s="4">
        <v>0</v>
      </c>
      <c r="DD52" s="28" t="s">
        <v>105</v>
      </c>
      <c r="DE52" s="4">
        <v>0</v>
      </c>
      <c r="DF52" s="28" t="s">
        <v>105</v>
      </c>
      <c r="DG52" s="4">
        <v>0</v>
      </c>
      <c r="DH52" s="28" t="s">
        <v>105</v>
      </c>
      <c r="DI52" s="4">
        <v>0</v>
      </c>
      <c r="DJ52" s="28" t="s">
        <v>105</v>
      </c>
      <c r="DK52" s="4">
        <v>0</v>
      </c>
      <c r="DL52" s="28" t="s">
        <v>105</v>
      </c>
      <c r="DM52" s="4">
        <v>0</v>
      </c>
      <c r="DN52" s="28" t="s">
        <v>105</v>
      </c>
      <c r="DO52" s="4">
        <v>0</v>
      </c>
      <c r="DP52" s="28" t="s">
        <v>105</v>
      </c>
      <c r="DQ52" s="4">
        <v>0</v>
      </c>
      <c r="DR52" s="28" t="s">
        <v>105</v>
      </c>
      <c r="DS52" s="4">
        <v>0</v>
      </c>
      <c r="DT52" s="28" t="s">
        <v>105</v>
      </c>
      <c r="DU52" s="4">
        <v>0</v>
      </c>
      <c r="DV52" s="28" t="s">
        <v>105</v>
      </c>
      <c r="DW52" s="4">
        <v>0</v>
      </c>
      <c r="DX52" s="28" t="s">
        <v>105</v>
      </c>
      <c r="DY52" s="4">
        <v>0</v>
      </c>
      <c r="DZ52" s="28" t="s">
        <v>105</v>
      </c>
      <c r="EA52" s="4">
        <v>0</v>
      </c>
      <c r="EB52" s="28" t="s">
        <v>105</v>
      </c>
      <c r="EC52" s="4">
        <v>0</v>
      </c>
      <c r="ED52" s="28" t="s">
        <v>105</v>
      </c>
      <c r="EE52" s="4">
        <v>0</v>
      </c>
      <c r="EF52" s="28" t="s">
        <v>105</v>
      </c>
      <c r="EG52" s="4">
        <v>0</v>
      </c>
      <c r="EH52" s="28" t="s">
        <v>105</v>
      </c>
      <c r="EI52" s="4">
        <v>0</v>
      </c>
      <c r="EJ52" s="28" t="s">
        <v>105</v>
      </c>
      <c r="EK52" s="4">
        <v>0</v>
      </c>
      <c r="EL52" s="28" t="s">
        <v>105</v>
      </c>
      <c r="EM52" s="4">
        <v>0</v>
      </c>
      <c r="EN52" s="28" t="s">
        <v>105</v>
      </c>
      <c r="EO52" s="4">
        <v>0</v>
      </c>
      <c r="EP52" s="28" t="s">
        <v>105</v>
      </c>
      <c r="EQ52" s="4">
        <v>0</v>
      </c>
      <c r="ER52" s="28" t="s">
        <v>105</v>
      </c>
      <c r="ES52" s="4">
        <f t="shared" si="4"/>
        <v>0</v>
      </c>
      <c r="ET52" s="28" t="s">
        <v>105</v>
      </c>
      <c r="EU52" s="221">
        <f>IF( SUM($EQ52:ES52)&lt;0, "n/a", SUM($EQ52:ES52)/EU$74)</f>
        <v>0</v>
      </c>
      <c r="EV52" s="224" t="e">
        <f>EU52/EU57</f>
        <v>#DIV/0!</v>
      </c>
      <c r="EW52" s="62"/>
      <c r="EX52" s="154" t="s">
        <v>143</v>
      </c>
      <c r="EY52" s="34">
        <f>IF(ISERROR(VLOOKUP(EX52,IQSH01E!$A$1:$M$400,2,0)),0,VLOOKUP(EX52,IQSH01E!$A$1:$M$400,2,0))</f>
        <v>0</v>
      </c>
      <c r="EZ52" s="52"/>
      <c r="FA52" s="187" t="s">
        <v>117</v>
      </c>
    </row>
    <row r="53" spans="1:157" s="1" customFormat="1" ht="16.5" customHeight="1" x14ac:dyDescent="0.3">
      <c r="A53" s="5"/>
      <c r="B53" s="14" t="s">
        <v>80</v>
      </c>
      <c r="C53" s="4">
        <v>0</v>
      </c>
      <c r="D53" s="28" t="s">
        <v>105</v>
      </c>
      <c r="E53" s="4">
        <v>0</v>
      </c>
      <c r="F53" s="28" t="s">
        <v>105</v>
      </c>
      <c r="G53" s="4">
        <v>0</v>
      </c>
      <c r="H53" s="28" t="s">
        <v>105</v>
      </c>
      <c r="I53" s="4">
        <v>0</v>
      </c>
      <c r="J53" s="28" t="s">
        <v>105</v>
      </c>
      <c r="K53" s="4">
        <v>0</v>
      </c>
      <c r="L53" s="28" t="s">
        <v>105</v>
      </c>
      <c r="M53" s="4">
        <v>0</v>
      </c>
      <c r="N53" s="28" t="s">
        <v>105</v>
      </c>
      <c r="O53" s="4">
        <v>0</v>
      </c>
      <c r="P53" s="28" t="s">
        <v>105</v>
      </c>
      <c r="Q53" s="4">
        <v>0</v>
      </c>
      <c r="R53" s="28" t="s">
        <v>105</v>
      </c>
      <c r="S53" s="4">
        <v>0</v>
      </c>
      <c r="T53" s="28" t="s">
        <v>105</v>
      </c>
      <c r="U53" s="4">
        <v>0</v>
      </c>
      <c r="V53" s="28" t="s">
        <v>105</v>
      </c>
      <c r="W53" s="4">
        <v>0</v>
      </c>
      <c r="X53" s="28" t="s">
        <v>105</v>
      </c>
      <c r="Y53" s="4">
        <v>0</v>
      </c>
      <c r="Z53" s="28" t="s">
        <v>105</v>
      </c>
      <c r="AA53" s="4">
        <v>0</v>
      </c>
      <c r="AB53" s="28" t="s">
        <v>105</v>
      </c>
      <c r="AC53" s="4">
        <v>0</v>
      </c>
      <c r="AD53" s="28" t="s">
        <v>105</v>
      </c>
      <c r="AE53" s="4">
        <v>0</v>
      </c>
      <c r="AF53" s="28" t="s">
        <v>105</v>
      </c>
      <c r="AG53" s="4">
        <v>0</v>
      </c>
      <c r="AH53" s="28" t="s">
        <v>105</v>
      </c>
      <c r="AI53" s="4">
        <v>0</v>
      </c>
      <c r="AJ53" s="28" t="s">
        <v>105</v>
      </c>
      <c r="AK53" s="4">
        <v>0</v>
      </c>
      <c r="AL53" s="28" t="s">
        <v>105</v>
      </c>
      <c r="AM53" s="4">
        <v>0</v>
      </c>
      <c r="AN53" s="28" t="s">
        <v>105</v>
      </c>
      <c r="AO53" s="4">
        <v>0</v>
      </c>
      <c r="AP53" s="28" t="s">
        <v>105</v>
      </c>
      <c r="AQ53" s="4">
        <v>0</v>
      </c>
      <c r="AR53" s="28" t="s">
        <v>105</v>
      </c>
      <c r="AS53" s="4">
        <v>0</v>
      </c>
      <c r="AT53" s="28" t="s">
        <v>105</v>
      </c>
      <c r="AU53" s="4">
        <v>0</v>
      </c>
      <c r="AV53" s="28" t="s">
        <v>105</v>
      </c>
      <c r="AW53" s="4">
        <v>0</v>
      </c>
      <c r="AX53" s="28" t="s">
        <v>105</v>
      </c>
      <c r="AY53" s="4">
        <v>0</v>
      </c>
      <c r="AZ53" s="28" t="s">
        <v>105</v>
      </c>
      <c r="BA53" s="4">
        <v>0</v>
      </c>
      <c r="BB53" s="28" t="s">
        <v>105</v>
      </c>
      <c r="BC53" s="4">
        <v>0</v>
      </c>
      <c r="BD53" s="28" t="s">
        <v>105</v>
      </c>
      <c r="BE53" s="4">
        <v>0</v>
      </c>
      <c r="BF53" s="28" t="s">
        <v>105</v>
      </c>
      <c r="BG53" s="4">
        <v>0</v>
      </c>
      <c r="BH53" s="28" t="s">
        <v>105</v>
      </c>
      <c r="BI53" s="4">
        <v>0</v>
      </c>
      <c r="BJ53" s="28" t="s">
        <v>105</v>
      </c>
      <c r="BK53" s="4">
        <v>0</v>
      </c>
      <c r="BL53" s="28" t="s">
        <v>105</v>
      </c>
      <c r="BM53" s="4">
        <v>0</v>
      </c>
      <c r="BN53" s="28" t="s">
        <v>105</v>
      </c>
      <c r="BO53" s="4">
        <v>0</v>
      </c>
      <c r="BP53" s="28" t="s">
        <v>105</v>
      </c>
      <c r="BQ53" s="4">
        <v>0</v>
      </c>
      <c r="BR53" s="28" t="s">
        <v>105</v>
      </c>
      <c r="BS53" s="4">
        <v>0</v>
      </c>
      <c r="BT53" s="28" t="s">
        <v>105</v>
      </c>
      <c r="BU53" s="4">
        <v>0</v>
      </c>
      <c r="BV53" s="28" t="s">
        <v>105</v>
      </c>
      <c r="BW53" s="4">
        <v>0</v>
      </c>
      <c r="BX53" s="28" t="s">
        <v>105</v>
      </c>
      <c r="BY53" s="4">
        <v>0</v>
      </c>
      <c r="BZ53" s="28" t="s">
        <v>105</v>
      </c>
      <c r="CA53" s="4">
        <v>0</v>
      </c>
      <c r="CB53" s="28" t="s">
        <v>105</v>
      </c>
      <c r="CC53" s="4">
        <v>0</v>
      </c>
      <c r="CD53" s="28" t="s">
        <v>105</v>
      </c>
      <c r="CE53" s="4">
        <v>0</v>
      </c>
      <c r="CF53" s="28" t="s">
        <v>105</v>
      </c>
      <c r="CG53" s="4">
        <v>0</v>
      </c>
      <c r="CH53" s="28" t="s">
        <v>105</v>
      </c>
      <c r="CI53" s="4">
        <v>0</v>
      </c>
      <c r="CJ53" s="28" t="s">
        <v>105</v>
      </c>
      <c r="CK53" s="4">
        <v>0</v>
      </c>
      <c r="CL53" s="28" t="s">
        <v>105</v>
      </c>
      <c r="CM53" s="4">
        <v>0</v>
      </c>
      <c r="CN53" s="28" t="s">
        <v>105</v>
      </c>
      <c r="CO53" s="4">
        <v>0</v>
      </c>
      <c r="CP53" s="28" t="s">
        <v>105</v>
      </c>
      <c r="CQ53" s="4">
        <v>0</v>
      </c>
      <c r="CR53" s="28" t="s">
        <v>105</v>
      </c>
      <c r="CS53" s="4">
        <v>0</v>
      </c>
      <c r="CT53" s="28" t="s">
        <v>105</v>
      </c>
      <c r="CU53" s="4">
        <v>0</v>
      </c>
      <c r="CV53" s="28" t="s">
        <v>105</v>
      </c>
      <c r="CW53" s="4">
        <v>0</v>
      </c>
      <c r="CX53" s="28" t="s">
        <v>105</v>
      </c>
      <c r="CY53" s="4">
        <v>0</v>
      </c>
      <c r="CZ53" s="28" t="s">
        <v>105</v>
      </c>
      <c r="DA53" s="4">
        <v>0</v>
      </c>
      <c r="DB53" s="28" t="s">
        <v>105</v>
      </c>
      <c r="DC53" s="4">
        <v>0</v>
      </c>
      <c r="DD53" s="28" t="s">
        <v>105</v>
      </c>
      <c r="DE53" s="4">
        <v>0</v>
      </c>
      <c r="DF53" s="28" t="s">
        <v>105</v>
      </c>
      <c r="DG53" s="4">
        <v>0</v>
      </c>
      <c r="DH53" s="28" t="s">
        <v>105</v>
      </c>
      <c r="DI53" s="4">
        <v>0</v>
      </c>
      <c r="DJ53" s="28" t="s">
        <v>105</v>
      </c>
      <c r="DK53" s="4">
        <v>0</v>
      </c>
      <c r="DL53" s="28" t="s">
        <v>105</v>
      </c>
      <c r="DM53" s="4">
        <v>0</v>
      </c>
      <c r="DN53" s="28" t="s">
        <v>105</v>
      </c>
      <c r="DO53" s="4">
        <v>0</v>
      </c>
      <c r="DP53" s="28" t="s">
        <v>105</v>
      </c>
      <c r="DQ53" s="4">
        <v>0</v>
      </c>
      <c r="DR53" s="28" t="s">
        <v>105</v>
      </c>
      <c r="DS53" s="4">
        <v>0</v>
      </c>
      <c r="DT53" s="28" t="s">
        <v>105</v>
      </c>
      <c r="DU53" s="4">
        <v>0</v>
      </c>
      <c r="DV53" s="28" t="s">
        <v>105</v>
      </c>
      <c r="DW53" s="4">
        <v>0</v>
      </c>
      <c r="DX53" s="28" t="s">
        <v>105</v>
      </c>
      <c r="DY53" s="4">
        <v>0</v>
      </c>
      <c r="DZ53" s="28" t="s">
        <v>105</v>
      </c>
      <c r="EA53" s="4">
        <v>0</v>
      </c>
      <c r="EB53" s="28" t="s">
        <v>105</v>
      </c>
      <c r="EC53" s="4">
        <v>0</v>
      </c>
      <c r="ED53" s="28" t="s">
        <v>105</v>
      </c>
      <c r="EE53" s="4">
        <v>0</v>
      </c>
      <c r="EF53" s="28" t="s">
        <v>105</v>
      </c>
      <c r="EG53" s="4">
        <v>0</v>
      </c>
      <c r="EH53" s="28" t="s">
        <v>105</v>
      </c>
      <c r="EI53" s="4">
        <v>0</v>
      </c>
      <c r="EJ53" s="28" t="s">
        <v>105</v>
      </c>
      <c r="EK53" s="4">
        <v>0</v>
      </c>
      <c r="EL53" s="28" t="s">
        <v>105</v>
      </c>
      <c r="EM53" s="4">
        <v>0</v>
      </c>
      <c r="EN53" s="28" t="s">
        <v>105</v>
      </c>
      <c r="EO53" s="4">
        <v>0</v>
      </c>
      <c r="EP53" s="28" t="s">
        <v>105</v>
      </c>
      <c r="EQ53" s="4">
        <v>0</v>
      </c>
      <c r="ER53" s="28" t="s">
        <v>105</v>
      </c>
      <c r="ES53" s="4">
        <f t="shared" si="4"/>
        <v>0</v>
      </c>
      <c r="ET53" s="28" t="s">
        <v>105</v>
      </c>
      <c r="EU53" s="221">
        <f>IF( SUM($EQ53:ES53)&lt;0, "n/a", SUM($EQ53:ES53)/EU$74)</f>
        <v>0</v>
      </c>
      <c r="EV53" s="224" t="e">
        <f>EU53/EU57</f>
        <v>#DIV/0!</v>
      </c>
      <c r="EW53" s="62"/>
      <c r="EX53" s="96" t="s">
        <v>69</v>
      </c>
      <c r="EY53" s="35">
        <f>IF(ISERROR(VLOOKUP(EX53,IQSH01E!$A$1:$M$400,2,0)),0,VLOOKUP(EX53,IQSH01E!$A$1:$M$400,2,0))</f>
        <v>0</v>
      </c>
      <c r="EZ53" s="43"/>
      <c r="FA53" s="182" t="s">
        <v>118</v>
      </c>
    </row>
    <row r="54" spans="1:157" s="1" customFormat="1" ht="16.5" customHeight="1" x14ac:dyDescent="0.3">
      <c r="A54" s="5"/>
      <c r="B54" s="14" t="s">
        <v>81</v>
      </c>
      <c r="C54" s="4">
        <v>0</v>
      </c>
      <c r="D54" s="28" t="s">
        <v>105</v>
      </c>
      <c r="E54" s="4">
        <v>0</v>
      </c>
      <c r="F54" s="28" t="s">
        <v>105</v>
      </c>
      <c r="G54" s="4">
        <v>0</v>
      </c>
      <c r="H54" s="28" t="s">
        <v>105</v>
      </c>
      <c r="I54" s="4">
        <v>0</v>
      </c>
      <c r="J54" s="28" t="s">
        <v>105</v>
      </c>
      <c r="K54" s="4">
        <v>0</v>
      </c>
      <c r="L54" s="28" t="s">
        <v>105</v>
      </c>
      <c r="M54" s="4">
        <v>0</v>
      </c>
      <c r="N54" s="28" t="s">
        <v>105</v>
      </c>
      <c r="O54" s="4">
        <v>0</v>
      </c>
      <c r="P54" s="28" t="s">
        <v>105</v>
      </c>
      <c r="Q54" s="4">
        <v>0</v>
      </c>
      <c r="R54" s="28" t="s">
        <v>105</v>
      </c>
      <c r="S54" s="4">
        <v>0</v>
      </c>
      <c r="T54" s="28" t="s">
        <v>105</v>
      </c>
      <c r="U54" s="4">
        <v>0</v>
      </c>
      <c r="V54" s="28" t="s">
        <v>105</v>
      </c>
      <c r="W54" s="4">
        <v>0</v>
      </c>
      <c r="X54" s="28" t="s">
        <v>105</v>
      </c>
      <c r="Y54" s="4">
        <v>0</v>
      </c>
      <c r="Z54" s="28" t="s">
        <v>105</v>
      </c>
      <c r="AA54" s="4">
        <v>0</v>
      </c>
      <c r="AB54" s="28" t="s">
        <v>105</v>
      </c>
      <c r="AC54" s="4">
        <v>0</v>
      </c>
      <c r="AD54" s="28" t="s">
        <v>105</v>
      </c>
      <c r="AE54" s="4">
        <v>0</v>
      </c>
      <c r="AF54" s="28" t="s">
        <v>105</v>
      </c>
      <c r="AG54" s="4">
        <v>0</v>
      </c>
      <c r="AH54" s="28" t="s">
        <v>105</v>
      </c>
      <c r="AI54" s="4">
        <v>0</v>
      </c>
      <c r="AJ54" s="28" t="s">
        <v>105</v>
      </c>
      <c r="AK54" s="4">
        <v>0</v>
      </c>
      <c r="AL54" s="28" t="s">
        <v>105</v>
      </c>
      <c r="AM54" s="4">
        <v>0</v>
      </c>
      <c r="AN54" s="28" t="s">
        <v>105</v>
      </c>
      <c r="AO54" s="4">
        <v>0</v>
      </c>
      <c r="AP54" s="28" t="s">
        <v>105</v>
      </c>
      <c r="AQ54" s="4">
        <v>0</v>
      </c>
      <c r="AR54" s="28" t="s">
        <v>105</v>
      </c>
      <c r="AS54" s="4">
        <v>0</v>
      </c>
      <c r="AT54" s="28" t="s">
        <v>105</v>
      </c>
      <c r="AU54" s="4">
        <v>0</v>
      </c>
      <c r="AV54" s="28" t="s">
        <v>105</v>
      </c>
      <c r="AW54" s="4">
        <v>0</v>
      </c>
      <c r="AX54" s="28" t="s">
        <v>105</v>
      </c>
      <c r="AY54" s="4">
        <v>0</v>
      </c>
      <c r="AZ54" s="28" t="s">
        <v>105</v>
      </c>
      <c r="BA54" s="4">
        <v>0</v>
      </c>
      <c r="BB54" s="28" t="s">
        <v>105</v>
      </c>
      <c r="BC54" s="4">
        <v>0</v>
      </c>
      <c r="BD54" s="28" t="s">
        <v>105</v>
      </c>
      <c r="BE54" s="4">
        <v>0</v>
      </c>
      <c r="BF54" s="28" t="s">
        <v>105</v>
      </c>
      <c r="BG54" s="4">
        <v>0</v>
      </c>
      <c r="BH54" s="28" t="s">
        <v>105</v>
      </c>
      <c r="BI54" s="4">
        <v>0</v>
      </c>
      <c r="BJ54" s="28" t="s">
        <v>105</v>
      </c>
      <c r="BK54" s="4">
        <v>0</v>
      </c>
      <c r="BL54" s="28" t="s">
        <v>105</v>
      </c>
      <c r="BM54" s="4">
        <v>0</v>
      </c>
      <c r="BN54" s="28" t="s">
        <v>105</v>
      </c>
      <c r="BO54" s="4">
        <v>0</v>
      </c>
      <c r="BP54" s="28" t="s">
        <v>105</v>
      </c>
      <c r="BQ54" s="4">
        <v>0</v>
      </c>
      <c r="BR54" s="28" t="s">
        <v>105</v>
      </c>
      <c r="BS54" s="4">
        <v>0</v>
      </c>
      <c r="BT54" s="28" t="s">
        <v>105</v>
      </c>
      <c r="BU54" s="4">
        <v>0</v>
      </c>
      <c r="BV54" s="28" t="s">
        <v>105</v>
      </c>
      <c r="BW54" s="4">
        <v>0</v>
      </c>
      <c r="BX54" s="28" t="s">
        <v>105</v>
      </c>
      <c r="BY54" s="4">
        <v>0</v>
      </c>
      <c r="BZ54" s="28" t="s">
        <v>105</v>
      </c>
      <c r="CA54" s="4">
        <v>0</v>
      </c>
      <c r="CB54" s="28" t="s">
        <v>105</v>
      </c>
      <c r="CC54" s="4">
        <v>0</v>
      </c>
      <c r="CD54" s="28" t="s">
        <v>105</v>
      </c>
      <c r="CE54" s="4">
        <v>0</v>
      </c>
      <c r="CF54" s="28" t="s">
        <v>105</v>
      </c>
      <c r="CG54" s="4">
        <v>0</v>
      </c>
      <c r="CH54" s="28" t="s">
        <v>105</v>
      </c>
      <c r="CI54" s="4">
        <v>0</v>
      </c>
      <c r="CJ54" s="28" t="s">
        <v>105</v>
      </c>
      <c r="CK54" s="4">
        <v>0</v>
      </c>
      <c r="CL54" s="28" t="s">
        <v>105</v>
      </c>
      <c r="CM54" s="4">
        <v>0</v>
      </c>
      <c r="CN54" s="28" t="s">
        <v>105</v>
      </c>
      <c r="CO54" s="4">
        <v>0</v>
      </c>
      <c r="CP54" s="28" t="s">
        <v>105</v>
      </c>
      <c r="CQ54" s="4">
        <v>0</v>
      </c>
      <c r="CR54" s="28" t="s">
        <v>105</v>
      </c>
      <c r="CS54" s="4">
        <v>0</v>
      </c>
      <c r="CT54" s="28" t="s">
        <v>105</v>
      </c>
      <c r="CU54" s="4">
        <v>0</v>
      </c>
      <c r="CV54" s="28" t="s">
        <v>105</v>
      </c>
      <c r="CW54" s="4">
        <v>0</v>
      </c>
      <c r="CX54" s="28" t="s">
        <v>105</v>
      </c>
      <c r="CY54" s="4">
        <v>0</v>
      </c>
      <c r="CZ54" s="28" t="s">
        <v>105</v>
      </c>
      <c r="DA54" s="4">
        <v>0</v>
      </c>
      <c r="DB54" s="28" t="s">
        <v>105</v>
      </c>
      <c r="DC54" s="4">
        <v>0</v>
      </c>
      <c r="DD54" s="28" t="s">
        <v>105</v>
      </c>
      <c r="DE54" s="4">
        <v>0</v>
      </c>
      <c r="DF54" s="28" t="s">
        <v>105</v>
      </c>
      <c r="DG54" s="4">
        <v>0</v>
      </c>
      <c r="DH54" s="28" t="s">
        <v>105</v>
      </c>
      <c r="DI54" s="4">
        <v>0</v>
      </c>
      <c r="DJ54" s="28" t="s">
        <v>105</v>
      </c>
      <c r="DK54" s="4">
        <v>0</v>
      </c>
      <c r="DL54" s="28" t="s">
        <v>105</v>
      </c>
      <c r="DM54" s="4">
        <v>0</v>
      </c>
      <c r="DN54" s="28" t="s">
        <v>105</v>
      </c>
      <c r="DO54" s="4">
        <v>0</v>
      </c>
      <c r="DP54" s="28" t="s">
        <v>105</v>
      </c>
      <c r="DQ54" s="4">
        <v>0</v>
      </c>
      <c r="DR54" s="28" t="s">
        <v>105</v>
      </c>
      <c r="DS54" s="4">
        <v>0</v>
      </c>
      <c r="DT54" s="28" t="s">
        <v>105</v>
      </c>
      <c r="DU54" s="4">
        <v>0</v>
      </c>
      <c r="DV54" s="28" t="s">
        <v>105</v>
      </c>
      <c r="DW54" s="4">
        <v>0</v>
      </c>
      <c r="DX54" s="28" t="s">
        <v>105</v>
      </c>
      <c r="DY54" s="4">
        <v>0</v>
      </c>
      <c r="DZ54" s="28" t="s">
        <v>105</v>
      </c>
      <c r="EA54" s="4">
        <v>0</v>
      </c>
      <c r="EB54" s="28" t="s">
        <v>105</v>
      </c>
      <c r="EC54" s="4">
        <v>0</v>
      </c>
      <c r="ED54" s="28" t="s">
        <v>105</v>
      </c>
      <c r="EE54" s="4">
        <v>0</v>
      </c>
      <c r="EF54" s="28" t="s">
        <v>105</v>
      </c>
      <c r="EG54" s="4">
        <v>0</v>
      </c>
      <c r="EH54" s="28" t="s">
        <v>105</v>
      </c>
      <c r="EI54" s="4">
        <v>0</v>
      </c>
      <c r="EJ54" s="28" t="s">
        <v>105</v>
      </c>
      <c r="EK54" s="4">
        <v>0</v>
      </c>
      <c r="EL54" s="28" t="s">
        <v>105</v>
      </c>
      <c r="EM54" s="4">
        <v>0</v>
      </c>
      <c r="EN54" s="28" t="s">
        <v>105</v>
      </c>
      <c r="EO54" s="4">
        <v>0</v>
      </c>
      <c r="EP54" s="28" t="s">
        <v>105</v>
      </c>
      <c r="EQ54" s="4">
        <v>0</v>
      </c>
      <c r="ER54" s="28" t="s">
        <v>105</v>
      </c>
      <c r="ES54" s="4">
        <f t="shared" si="4"/>
        <v>0</v>
      </c>
      <c r="ET54" s="28" t="s">
        <v>105</v>
      </c>
      <c r="EU54" s="221">
        <f>IF( SUM($EQ54:ES54)&lt;0, "n/a", SUM($EQ54:ES54)/EU$74)</f>
        <v>0</v>
      </c>
      <c r="EV54" s="224" t="e">
        <f>EU54/EU57</f>
        <v>#DIV/0!</v>
      </c>
      <c r="EW54" s="62"/>
      <c r="EX54" s="96" t="s">
        <v>25</v>
      </c>
      <c r="EY54" s="35">
        <f>IF(ISERROR(VLOOKUP(EX54,IQSH01E!$A$1:$M$400,2,0)),0,VLOOKUP(EX54,IQSH01E!$A$1:$M$400,2,0))</f>
        <v>0</v>
      </c>
      <c r="EZ54" s="43"/>
      <c r="FA54" s="182" t="s">
        <v>123</v>
      </c>
    </row>
    <row r="55" spans="1:157" s="1" customFormat="1" ht="16.5" customHeight="1" x14ac:dyDescent="0.3">
      <c r="A55" s="5" t="s">
        <v>75</v>
      </c>
      <c r="B55" s="14" t="s">
        <v>82</v>
      </c>
      <c r="C55" s="4">
        <v>0</v>
      </c>
      <c r="D55" s="28" t="s">
        <v>105</v>
      </c>
      <c r="E55" s="4">
        <v>0</v>
      </c>
      <c r="F55" s="28" t="s">
        <v>105</v>
      </c>
      <c r="G55" s="4">
        <v>0</v>
      </c>
      <c r="H55" s="28" t="s">
        <v>105</v>
      </c>
      <c r="I55" s="4">
        <v>0</v>
      </c>
      <c r="J55" s="28" t="s">
        <v>105</v>
      </c>
      <c r="K55" s="4">
        <v>0</v>
      </c>
      <c r="L55" s="28" t="s">
        <v>105</v>
      </c>
      <c r="M55" s="4">
        <v>0</v>
      </c>
      <c r="N55" s="28" t="s">
        <v>105</v>
      </c>
      <c r="O55" s="4">
        <v>0</v>
      </c>
      <c r="P55" s="28" t="s">
        <v>105</v>
      </c>
      <c r="Q55" s="4">
        <v>0</v>
      </c>
      <c r="R55" s="28" t="s">
        <v>105</v>
      </c>
      <c r="S55" s="4">
        <v>0</v>
      </c>
      <c r="T55" s="28" t="s">
        <v>105</v>
      </c>
      <c r="U55" s="4">
        <v>0</v>
      </c>
      <c r="V55" s="28" t="s">
        <v>105</v>
      </c>
      <c r="W55" s="4">
        <v>0</v>
      </c>
      <c r="X55" s="28" t="s">
        <v>105</v>
      </c>
      <c r="Y55" s="4">
        <v>0</v>
      </c>
      <c r="Z55" s="28" t="s">
        <v>105</v>
      </c>
      <c r="AA55" s="4">
        <v>0</v>
      </c>
      <c r="AB55" s="28" t="s">
        <v>105</v>
      </c>
      <c r="AC55" s="4">
        <v>0</v>
      </c>
      <c r="AD55" s="28" t="s">
        <v>105</v>
      </c>
      <c r="AE55" s="4">
        <v>0</v>
      </c>
      <c r="AF55" s="28" t="s">
        <v>105</v>
      </c>
      <c r="AG55" s="4">
        <v>0</v>
      </c>
      <c r="AH55" s="28" t="s">
        <v>105</v>
      </c>
      <c r="AI55" s="4">
        <v>0</v>
      </c>
      <c r="AJ55" s="28" t="s">
        <v>105</v>
      </c>
      <c r="AK55" s="4">
        <v>0</v>
      </c>
      <c r="AL55" s="28" t="s">
        <v>105</v>
      </c>
      <c r="AM55" s="4">
        <v>0</v>
      </c>
      <c r="AN55" s="28" t="s">
        <v>105</v>
      </c>
      <c r="AO55" s="4">
        <v>0</v>
      </c>
      <c r="AP55" s="28" t="s">
        <v>105</v>
      </c>
      <c r="AQ55" s="4">
        <v>0</v>
      </c>
      <c r="AR55" s="28" t="s">
        <v>105</v>
      </c>
      <c r="AS55" s="4">
        <v>0</v>
      </c>
      <c r="AT55" s="28" t="s">
        <v>105</v>
      </c>
      <c r="AU55" s="4">
        <v>0</v>
      </c>
      <c r="AV55" s="28" t="s">
        <v>105</v>
      </c>
      <c r="AW55" s="4">
        <v>0</v>
      </c>
      <c r="AX55" s="28" t="s">
        <v>105</v>
      </c>
      <c r="AY55" s="4">
        <v>0</v>
      </c>
      <c r="AZ55" s="28" t="s">
        <v>105</v>
      </c>
      <c r="BA55" s="4">
        <v>0</v>
      </c>
      <c r="BB55" s="28" t="s">
        <v>105</v>
      </c>
      <c r="BC55" s="4">
        <v>0</v>
      </c>
      <c r="BD55" s="28" t="s">
        <v>105</v>
      </c>
      <c r="BE55" s="4">
        <v>0</v>
      </c>
      <c r="BF55" s="28" t="s">
        <v>105</v>
      </c>
      <c r="BG55" s="4">
        <v>0</v>
      </c>
      <c r="BH55" s="28" t="s">
        <v>105</v>
      </c>
      <c r="BI55" s="4">
        <v>0</v>
      </c>
      <c r="BJ55" s="28" t="s">
        <v>105</v>
      </c>
      <c r="BK55" s="4">
        <v>0</v>
      </c>
      <c r="BL55" s="28" t="s">
        <v>105</v>
      </c>
      <c r="BM55" s="4">
        <v>0</v>
      </c>
      <c r="BN55" s="28" t="s">
        <v>105</v>
      </c>
      <c r="BO55" s="4">
        <v>0</v>
      </c>
      <c r="BP55" s="28" t="s">
        <v>105</v>
      </c>
      <c r="BQ55" s="4">
        <v>0</v>
      </c>
      <c r="BR55" s="28" t="s">
        <v>105</v>
      </c>
      <c r="BS55" s="4">
        <v>0</v>
      </c>
      <c r="BT55" s="28" t="s">
        <v>105</v>
      </c>
      <c r="BU55" s="4">
        <v>0</v>
      </c>
      <c r="BV55" s="28" t="s">
        <v>105</v>
      </c>
      <c r="BW55" s="4">
        <v>0</v>
      </c>
      <c r="BX55" s="28" t="s">
        <v>105</v>
      </c>
      <c r="BY55" s="4">
        <v>0</v>
      </c>
      <c r="BZ55" s="28" t="s">
        <v>105</v>
      </c>
      <c r="CA55" s="4">
        <v>0</v>
      </c>
      <c r="CB55" s="28" t="s">
        <v>105</v>
      </c>
      <c r="CC55" s="4">
        <v>0</v>
      </c>
      <c r="CD55" s="28" t="s">
        <v>105</v>
      </c>
      <c r="CE55" s="4">
        <v>0</v>
      </c>
      <c r="CF55" s="28" t="s">
        <v>105</v>
      </c>
      <c r="CG55" s="4">
        <v>0</v>
      </c>
      <c r="CH55" s="28" t="s">
        <v>105</v>
      </c>
      <c r="CI55" s="4">
        <v>0</v>
      </c>
      <c r="CJ55" s="28" t="s">
        <v>105</v>
      </c>
      <c r="CK55" s="4">
        <v>0</v>
      </c>
      <c r="CL55" s="28" t="s">
        <v>105</v>
      </c>
      <c r="CM55" s="4">
        <v>0</v>
      </c>
      <c r="CN55" s="28" t="s">
        <v>105</v>
      </c>
      <c r="CO55" s="4">
        <v>0</v>
      </c>
      <c r="CP55" s="28" t="s">
        <v>105</v>
      </c>
      <c r="CQ55" s="4">
        <v>0</v>
      </c>
      <c r="CR55" s="28" t="s">
        <v>105</v>
      </c>
      <c r="CS55" s="4">
        <v>0</v>
      </c>
      <c r="CT55" s="28" t="s">
        <v>105</v>
      </c>
      <c r="CU55" s="4">
        <v>0</v>
      </c>
      <c r="CV55" s="28" t="s">
        <v>105</v>
      </c>
      <c r="CW55" s="4">
        <v>0</v>
      </c>
      <c r="CX55" s="28" t="s">
        <v>105</v>
      </c>
      <c r="CY55" s="4">
        <v>0</v>
      </c>
      <c r="CZ55" s="28" t="s">
        <v>105</v>
      </c>
      <c r="DA55" s="4">
        <v>0</v>
      </c>
      <c r="DB55" s="28" t="s">
        <v>105</v>
      </c>
      <c r="DC55" s="4">
        <v>0</v>
      </c>
      <c r="DD55" s="28" t="s">
        <v>105</v>
      </c>
      <c r="DE55" s="4">
        <v>0</v>
      </c>
      <c r="DF55" s="28" t="s">
        <v>105</v>
      </c>
      <c r="DG55" s="4">
        <v>0</v>
      </c>
      <c r="DH55" s="28" t="s">
        <v>105</v>
      </c>
      <c r="DI55" s="4">
        <v>0</v>
      </c>
      <c r="DJ55" s="28" t="s">
        <v>105</v>
      </c>
      <c r="DK55" s="4">
        <v>0</v>
      </c>
      <c r="DL55" s="28" t="s">
        <v>105</v>
      </c>
      <c r="DM55" s="4">
        <v>0</v>
      </c>
      <c r="DN55" s="28" t="s">
        <v>105</v>
      </c>
      <c r="DO55" s="4">
        <v>0</v>
      </c>
      <c r="DP55" s="28" t="s">
        <v>105</v>
      </c>
      <c r="DQ55" s="4">
        <v>0</v>
      </c>
      <c r="DR55" s="28" t="s">
        <v>105</v>
      </c>
      <c r="DS55" s="4">
        <v>0</v>
      </c>
      <c r="DT55" s="28" t="s">
        <v>105</v>
      </c>
      <c r="DU55" s="4">
        <v>0</v>
      </c>
      <c r="DV55" s="28" t="s">
        <v>105</v>
      </c>
      <c r="DW55" s="4">
        <v>0</v>
      </c>
      <c r="DX55" s="28" t="s">
        <v>105</v>
      </c>
      <c r="DY55" s="4">
        <v>0</v>
      </c>
      <c r="DZ55" s="28" t="s">
        <v>105</v>
      </c>
      <c r="EA55" s="4">
        <v>0</v>
      </c>
      <c r="EB55" s="28" t="s">
        <v>105</v>
      </c>
      <c r="EC55" s="4">
        <v>0</v>
      </c>
      <c r="ED55" s="28" t="s">
        <v>105</v>
      </c>
      <c r="EE55" s="4">
        <v>0</v>
      </c>
      <c r="EF55" s="28" t="s">
        <v>105</v>
      </c>
      <c r="EG55" s="4">
        <v>0</v>
      </c>
      <c r="EH55" s="28" t="s">
        <v>105</v>
      </c>
      <c r="EI55" s="4">
        <v>0</v>
      </c>
      <c r="EJ55" s="28" t="s">
        <v>105</v>
      </c>
      <c r="EK55" s="4">
        <v>0</v>
      </c>
      <c r="EL55" s="28" t="s">
        <v>105</v>
      </c>
      <c r="EM55" s="4">
        <v>0</v>
      </c>
      <c r="EN55" s="28" t="s">
        <v>105</v>
      </c>
      <c r="EO55" s="4">
        <v>0</v>
      </c>
      <c r="EP55" s="28" t="s">
        <v>105</v>
      </c>
      <c r="EQ55" s="4">
        <v>0</v>
      </c>
      <c r="ER55" s="28" t="s">
        <v>105</v>
      </c>
      <c r="ES55" s="4">
        <f t="shared" si="4"/>
        <v>0</v>
      </c>
      <c r="ET55" s="28" t="s">
        <v>105</v>
      </c>
      <c r="EU55" s="221">
        <f>IF( SUM($EQ55:ES55)&lt;0, "n/a", SUM($EQ55:ES55)/EU$74)</f>
        <v>0</v>
      </c>
      <c r="EV55" s="224" t="e">
        <f>EU55/EU57</f>
        <v>#DIV/0!</v>
      </c>
      <c r="EW55" s="62"/>
      <c r="EX55" s="96" t="s">
        <v>70</v>
      </c>
      <c r="EY55" s="35">
        <f>IF(ISERROR(VLOOKUP(EX55,IQSH01E!$A$1:$M$400,2,0)),0,VLOOKUP(EX55,IQSH01E!$A$1:$M$400,2,0))</f>
        <v>0</v>
      </c>
      <c r="EZ55" s="43"/>
      <c r="FA55" s="182" t="s">
        <v>118</v>
      </c>
    </row>
    <row r="56" spans="1:157" s="1" customFormat="1" ht="16.5" customHeight="1" x14ac:dyDescent="0.3">
      <c r="A56" s="3"/>
      <c r="B56" s="14" t="s">
        <v>102</v>
      </c>
      <c r="C56" s="4">
        <v>0</v>
      </c>
      <c r="D56" s="28" t="s">
        <v>105</v>
      </c>
      <c r="E56" s="4">
        <v>0</v>
      </c>
      <c r="F56" s="28" t="s">
        <v>105</v>
      </c>
      <c r="G56" s="4">
        <v>0</v>
      </c>
      <c r="H56" s="28" t="s">
        <v>105</v>
      </c>
      <c r="I56" s="4">
        <v>0</v>
      </c>
      <c r="J56" s="28" t="s">
        <v>105</v>
      </c>
      <c r="K56" s="4">
        <v>0</v>
      </c>
      <c r="L56" s="28" t="s">
        <v>105</v>
      </c>
      <c r="M56" s="4">
        <v>0</v>
      </c>
      <c r="N56" s="28" t="s">
        <v>105</v>
      </c>
      <c r="O56" s="4">
        <v>0</v>
      </c>
      <c r="P56" s="28" t="s">
        <v>105</v>
      </c>
      <c r="Q56" s="4">
        <v>0</v>
      </c>
      <c r="R56" s="28" t="s">
        <v>105</v>
      </c>
      <c r="S56" s="4">
        <v>0</v>
      </c>
      <c r="T56" s="28" t="s">
        <v>105</v>
      </c>
      <c r="U56" s="4">
        <v>0</v>
      </c>
      <c r="V56" s="28" t="s">
        <v>105</v>
      </c>
      <c r="W56" s="4">
        <v>0</v>
      </c>
      <c r="X56" s="28" t="s">
        <v>105</v>
      </c>
      <c r="Y56" s="4">
        <v>0</v>
      </c>
      <c r="Z56" s="28" t="s">
        <v>105</v>
      </c>
      <c r="AA56" s="4">
        <v>0</v>
      </c>
      <c r="AB56" s="28" t="s">
        <v>105</v>
      </c>
      <c r="AC56" s="4">
        <v>0</v>
      </c>
      <c r="AD56" s="28" t="s">
        <v>105</v>
      </c>
      <c r="AE56" s="4">
        <v>0</v>
      </c>
      <c r="AF56" s="28" t="s">
        <v>105</v>
      </c>
      <c r="AG56" s="4">
        <v>0</v>
      </c>
      <c r="AH56" s="28" t="s">
        <v>105</v>
      </c>
      <c r="AI56" s="4">
        <v>0</v>
      </c>
      <c r="AJ56" s="28" t="s">
        <v>105</v>
      </c>
      <c r="AK56" s="4">
        <v>0</v>
      </c>
      <c r="AL56" s="28" t="s">
        <v>105</v>
      </c>
      <c r="AM56" s="4">
        <v>0</v>
      </c>
      <c r="AN56" s="28" t="s">
        <v>105</v>
      </c>
      <c r="AO56" s="4">
        <v>0</v>
      </c>
      <c r="AP56" s="28" t="s">
        <v>105</v>
      </c>
      <c r="AQ56" s="4">
        <v>0</v>
      </c>
      <c r="AR56" s="28" t="s">
        <v>105</v>
      </c>
      <c r="AS56" s="4">
        <v>0</v>
      </c>
      <c r="AT56" s="28" t="s">
        <v>105</v>
      </c>
      <c r="AU56" s="4">
        <v>0</v>
      </c>
      <c r="AV56" s="28" t="s">
        <v>105</v>
      </c>
      <c r="AW56" s="4">
        <v>0</v>
      </c>
      <c r="AX56" s="28" t="s">
        <v>105</v>
      </c>
      <c r="AY56" s="4">
        <v>0</v>
      </c>
      <c r="AZ56" s="28" t="s">
        <v>105</v>
      </c>
      <c r="BA56" s="4">
        <v>0</v>
      </c>
      <c r="BB56" s="28" t="s">
        <v>105</v>
      </c>
      <c r="BC56" s="4">
        <v>0</v>
      </c>
      <c r="BD56" s="28" t="s">
        <v>105</v>
      </c>
      <c r="BE56" s="4">
        <v>0</v>
      </c>
      <c r="BF56" s="28" t="s">
        <v>105</v>
      </c>
      <c r="BG56" s="4">
        <v>0</v>
      </c>
      <c r="BH56" s="28" t="s">
        <v>105</v>
      </c>
      <c r="BI56" s="4">
        <v>0</v>
      </c>
      <c r="BJ56" s="28" t="s">
        <v>105</v>
      </c>
      <c r="BK56" s="4">
        <v>0</v>
      </c>
      <c r="BL56" s="28" t="s">
        <v>105</v>
      </c>
      <c r="BM56" s="4">
        <v>0</v>
      </c>
      <c r="BN56" s="28" t="s">
        <v>105</v>
      </c>
      <c r="BO56" s="4">
        <v>0</v>
      </c>
      <c r="BP56" s="28" t="s">
        <v>105</v>
      </c>
      <c r="BQ56" s="4">
        <v>0</v>
      </c>
      <c r="BR56" s="28" t="s">
        <v>105</v>
      </c>
      <c r="BS56" s="4">
        <v>0</v>
      </c>
      <c r="BT56" s="28" t="s">
        <v>105</v>
      </c>
      <c r="BU56" s="4">
        <v>0</v>
      </c>
      <c r="BV56" s="28" t="s">
        <v>105</v>
      </c>
      <c r="BW56" s="4">
        <v>0</v>
      </c>
      <c r="BX56" s="28" t="s">
        <v>105</v>
      </c>
      <c r="BY56" s="4">
        <v>0</v>
      </c>
      <c r="BZ56" s="28" t="s">
        <v>105</v>
      </c>
      <c r="CA56" s="4">
        <v>0</v>
      </c>
      <c r="CB56" s="28" t="s">
        <v>105</v>
      </c>
      <c r="CC56" s="4">
        <v>0</v>
      </c>
      <c r="CD56" s="28" t="s">
        <v>105</v>
      </c>
      <c r="CE56" s="4">
        <v>0</v>
      </c>
      <c r="CF56" s="28" t="s">
        <v>105</v>
      </c>
      <c r="CG56" s="4">
        <v>0</v>
      </c>
      <c r="CH56" s="28" t="s">
        <v>105</v>
      </c>
      <c r="CI56" s="4">
        <v>0</v>
      </c>
      <c r="CJ56" s="28" t="s">
        <v>105</v>
      </c>
      <c r="CK56" s="4">
        <v>0</v>
      </c>
      <c r="CL56" s="28" t="s">
        <v>105</v>
      </c>
      <c r="CM56" s="4">
        <v>0</v>
      </c>
      <c r="CN56" s="28" t="s">
        <v>105</v>
      </c>
      <c r="CO56" s="4">
        <v>0</v>
      </c>
      <c r="CP56" s="28" t="s">
        <v>105</v>
      </c>
      <c r="CQ56" s="4">
        <v>0</v>
      </c>
      <c r="CR56" s="28" t="s">
        <v>105</v>
      </c>
      <c r="CS56" s="4">
        <v>0</v>
      </c>
      <c r="CT56" s="28" t="s">
        <v>105</v>
      </c>
      <c r="CU56" s="4">
        <v>0</v>
      </c>
      <c r="CV56" s="28" t="s">
        <v>105</v>
      </c>
      <c r="CW56" s="4">
        <v>0</v>
      </c>
      <c r="CX56" s="28" t="s">
        <v>105</v>
      </c>
      <c r="CY56" s="4">
        <v>0</v>
      </c>
      <c r="CZ56" s="28" t="s">
        <v>105</v>
      </c>
      <c r="DA56" s="4">
        <v>0</v>
      </c>
      <c r="DB56" s="28" t="s">
        <v>105</v>
      </c>
      <c r="DC56" s="4">
        <v>0</v>
      </c>
      <c r="DD56" s="28" t="s">
        <v>105</v>
      </c>
      <c r="DE56" s="4">
        <v>0</v>
      </c>
      <c r="DF56" s="28" t="s">
        <v>105</v>
      </c>
      <c r="DG56" s="4">
        <v>0</v>
      </c>
      <c r="DH56" s="28" t="s">
        <v>105</v>
      </c>
      <c r="DI56" s="4">
        <v>0</v>
      </c>
      <c r="DJ56" s="28" t="s">
        <v>105</v>
      </c>
      <c r="DK56" s="4">
        <v>0</v>
      </c>
      <c r="DL56" s="28" t="s">
        <v>105</v>
      </c>
      <c r="DM56" s="4">
        <v>0</v>
      </c>
      <c r="DN56" s="28" t="s">
        <v>105</v>
      </c>
      <c r="DO56" s="4">
        <v>0</v>
      </c>
      <c r="DP56" s="28" t="s">
        <v>105</v>
      </c>
      <c r="DQ56" s="4">
        <v>0</v>
      </c>
      <c r="DR56" s="28" t="s">
        <v>105</v>
      </c>
      <c r="DS56" s="4">
        <v>0</v>
      </c>
      <c r="DT56" s="28" t="s">
        <v>105</v>
      </c>
      <c r="DU56" s="4">
        <v>0</v>
      </c>
      <c r="DV56" s="28" t="s">
        <v>105</v>
      </c>
      <c r="DW56" s="4">
        <v>0</v>
      </c>
      <c r="DX56" s="28" t="s">
        <v>105</v>
      </c>
      <c r="DY56" s="4">
        <v>0</v>
      </c>
      <c r="DZ56" s="28" t="s">
        <v>105</v>
      </c>
      <c r="EA56" s="4">
        <v>0</v>
      </c>
      <c r="EB56" s="28" t="s">
        <v>105</v>
      </c>
      <c r="EC56" s="4">
        <v>0</v>
      </c>
      <c r="ED56" s="28" t="s">
        <v>105</v>
      </c>
      <c r="EE56" s="4">
        <v>0</v>
      </c>
      <c r="EF56" s="28" t="s">
        <v>105</v>
      </c>
      <c r="EG56" s="4">
        <v>0</v>
      </c>
      <c r="EH56" s="28" t="s">
        <v>105</v>
      </c>
      <c r="EI56" s="4">
        <v>0</v>
      </c>
      <c r="EJ56" s="28" t="s">
        <v>105</v>
      </c>
      <c r="EK56" s="4">
        <v>0</v>
      </c>
      <c r="EL56" s="28" t="s">
        <v>105</v>
      </c>
      <c r="EM56" s="4">
        <v>0</v>
      </c>
      <c r="EN56" s="28" t="s">
        <v>105</v>
      </c>
      <c r="EO56" s="4">
        <v>0</v>
      </c>
      <c r="EP56" s="28" t="s">
        <v>105</v>
      </c>
      <c r="EQ56" s="4">
        <v>0</v>
      </c>
      <c r="ER56" s="28" t="s">
        <v>105</v>
      </c>
      <c r="ES56" s="4">
        <f t="shared" si="4"/>
        <v>0</v>
      </c>
      <c r="ET56" s="28" t="s">
        <v>105</v>
      </c>
      <c r="EU56" s="221">
        <f>IF( SUM($EQ56:ES56)&lt;0, "n/a", SUM($EQ56:ES56)/EU$74)</f>
        <v>0</v>
      </c>
      <c r="EV56" s="224" t="e">
        <f>EU56/EU57</f>
        <v>#DIV/0!</v>
      </c>
      <c r="EW56" s="62"/>
      <c r="EX56" s="96" t="s">
        <v>145</v>
      </c>
      <c r="EY56" s="35">
        <f>IF(ISERROR(VLOOKUP(EX56,IQSH01E!$A$1:$M$400,2,0)),0,VLOOKUP(EX56,IQSH01E!$A$1:$M$400,2,0))</f>
        <v>0</v>
      </c>
      <c r="EZ56" s="43"/>
      <c r="FA56" s="182" t="s">
        <v>123</v>
      </c>
    </row>
    <row r="57" spans="1:157" s="1" customFormat="1" ht="16.5" customHeight="1" thickBot="1" x14ac:dyDescent="0.35">
      <c r="A57" s="3"/>
      <c r="B57" s="15" t="s">
        <v>83</v>
      </c>
      <c r="C57" s="6">
        <v>0</v>
      </c>
      <c r="D57" s="29" t="s">
        <v>105</v>
      </c>
      <c r="E57" s="6">
        <v>0</v>
      </c>
      <c r="F57" s="29" t="s">
        <v>105</v>
      </c>
      <c r="G57" s="6">
        <v>0</v>
      </c>
      <c r="H57" s="29" t="s">
        <v>105</v>
      </c>
      <c r="I57" s="6">
        <v>0</v>
      </c>
      <c r="J57" s="29" t="s">
        <v>105</v>
      </c>
      <c r="K57" s="6">
        <v>0</v>
      </c>
      <c r="L57" s="29" t="s">
        <v>105</v>
      </c>
      <c r="M57" s="6">
        <v>0</v>
      </c>
      <c r="N57" s="29" t="s">
        <v>105</v>
      </c>
      <c r="O57" s="6">
        <v>0</v>
      </c>
      <c r="P57" s="29" t="s">
        <v>105</v>
      </c>
      <c r="Q57" s="6">
        <v>0</v>
      </c>
      <c r="R57" s="29" t="s">
        <v>105</v>
      </c>
      <c r="S57" s="6">
        <v>0</v>
      </c>
      <c r="T57" s="29" t="s">
        <v>105</v>
      </c>
      <c r="U57" s="6">
        <v>0</v>
      </c>
      <c r="V57" s="29" t="s">
        <v>105</v>
      </c>
      <c r="W57" s="6">
        <v>0</v>
      </c>
      <c r="X57" s="29" t="s">
        <v>105</v>
      </c>
      <c r="Y57" s="6">
        <v>0</v>
      </c>
      <c r="Z57" s="29" t="s">
        <v>105</v>
      </c>
      <c r="AA57" s="6">
        <v>0</v>
      </c>
      <c r="AB57" s="29" t="s">
        <v>105</v>
      </c>
      <c r="AC57" s="6">
        <v>0</v>
      </c>
      <c r="AD57" s="29" t="s">
        <v>105</v>
      </c>
      <c r="AE57" s="6">
        <v>0</v>
      </c>
      <c r="AF57" s="29" t="s">
        <v>105</v>
      </c>
      <c r="AG57" s="6">
        <v>0</v>
      </c>
      <c r="AH57" s="29" t="s">
        <v>105</v>
      </c>
      <c r="AI57" s="6">
        <v>0</v>
      </c>
      <c r="AJ57" s="29" t="s">
        <v>105</v>
      </c>
      <c r="AK57" s="6">
        <v>0</v>
      </c>
      <c r="AL57" s="29" t="s">
        <v>105</v>
      </c>
      <c r="AM57" s="6">
        <v>0</v>
      </c>
      <c r="AN57" s="29" t="s">
        <v>105</v>
      </c>
      <c r="AO57" s="6">
        <v>0</v>
      </c>
      <c r="AP57" s="29" t="s">
        <v>105</v>
      </c>
      <c r="AQ57" s="6">
        <v>0</v>
      </c>
      <c r="AR57" s="29" t="s">
        <v>105</v>
      </c>
      <c r="AS57" s="6">
        <v>0</v>
      </c>
      <c r="AT57" s="29" t="s">
        <v>105</v>
      </c>
      <c r="AU57" s="6">
        <v>0</v>
      </c>
      <c r="AV57" s="29" t="s">
        <v>105</v>
      </c>
      <c r="AW57" s="6">
        <v>0</v>
      </c>
      <c r="AX57" s="29" t="s">
        <v>105</v>
      </c>
      <c r="AY57" s="6">
        <v>0</v>
      </c>
      <c r="AZ57" s="29" t="s">
        <v>105</v>
      </c>
      <c r="BA57" s="6">
        <v>0</v>
      </c>
      <c r="BB57" s="29" t="s">
        <v>105</v>
      </c>
      <c r="BC57" s="6">
        <v>0</v>
      </c>
      <c r="BD57" s="29" t="s">
        <v>105</v>
      </c>
      <c r="BE57" s="6">
        <v>0</v>
      </c>
      <c r="BF57" s="29" t="s">
        <v>105</v>
      </c>
      <c r="BG57" s="6">
        <v>0</v>
      </c>
      <c r="BH57" s="29" t="s">
        <v>105</v>
      </c>
      <c r="BI57" s="6">
        <v>0</v>
      </c>
      <c r="BJ57" s="29" t="s">
        <v>105</v>
      </c>
      <c r="BK57" s="6">
        <v>0</v>
      </c>
      <c r="BL57" s="29" t="s">
        <v>105</v>
      </c>
      <c r="BM57" s="6">
        <v>0</v>
      </c>
      <c r="BN57" s="29" t="s">
        <v>105</v>
      </c>
      <c r="BO57" s="6">
        <v>0</v>
      </c>
      <c r="BP57" s="29" t="s">
        <v>105</v>
      </c>
      <c r="BQ57" s="6">
        <v>0</v>
      </c>
      <c r="BR57" s="29" t="s">
        <v>105</v>
      </c>
      <c r="BS57" s="6">
        <v>0</v>
      </c>
      <c r="BT57" s="29" t="s">
        <v>105</v>
      </c>
      <c r="BU57" s="6">
        <v>0</v>
      </c>
      <c r="BV57" s="29" t="s">
        <v>105</v>
      </c>
      <c r="BW57" s="6">
        <v>0</v>
      </c>
      <c r="BX57" s="29" t="s">
        <v>105</v>
      </c>
      <c r="BY57" s="6">
        <v>0</v>
      </c>
      <c r="BZ57" s="29" t="s">
        <v>105</v>
      </c>
      <c r="CA57" s="6">
        <v>0</v>
      </c>
      <c r="CB57" s="29" t="s">
        <v>105</v>
      </c>
      <c r="CC57" s="6">
        <v>0</v>
      </c>
      <c r="CD57" s="29" t="s">
        <v>105</v>
      </c>
      <c r="CE57" s="6">
        <v>0</v>
      </c>
      <c r="CF57" s="29" t="s">
        <v>105</v>
      </c>
      <c r="CG57" s="6">
        <v>0</v>
      </c>
      <c r="CH57" s="29" t="s">
        <v>105</v>
      </c>
      <c r="CI57" s="6">
        <v>0</v>
      </c>
      <c r="CJ57" s="29" t="s">
        <v>105</v>
      </c>
      <c r="CK57" s="6">
        <v>0</v>
      </c>
      <c r="CL57" s="29" t="s">
        <v>105</v>
      </c>
      <c r="CM57" s="6">
        <v>0</v>
      </c>
      <c r="CN57" s="29" t="s">
        <v>105</v>
      </c>
      <c r="CO57" s="6">
        <v>0</v>
      </c>
      <c r="CP57" s="29" t="s">
        <v>105</v>
      </c>
      <c r="CQ57" s="6">
        <v>0</v>
      </c>
      <c r="CR57" s="29" t="s">
        <v>105</v>
      </c>
      <c r="CS57" s="6">
        <v>0</v>
      </c>
      <c r="CT57" s="29" t="s">
        <v>105</v>
      </c>
      <c r="CU57" s="6">
        <v>0</v>
      </c>
      <c r="CV57" s="29" t="s">
        <v>105</v>
      </c>
      <c r="CW57" s="6">
        <v>0</v>
      </c>
      <c r="CX57" s="29" t="s">
        <v>105</v>
      </c>
      <c r="CY57" s="6">
        <v>0</v>
      </c>
      <c r="CZ57" s="29" t="s">
        <v>105</v>
      </c>
      <c r="DA57" s="6">
        <v>0</v>
      </c>
      <c r="DB57" s="29" t="s">
        <v>105</v>
      </c>
      <c r="DC57" s="6">
        <v>0</v>
      </c>
      <c r="DD57" s="29" t="s">
        <v>105</v>
      </c>
      <c r="DE57" s="6">
        <v>0</v>
      </c>
      <c r="DF57" s="29" t="s">
        <v>105</v>
      </c>
      <c r="DG57" s="6">
        <v>0</v>
      </c>
      <c r="DH57" s="29" t="s">
        <v>105</v>
      </c>
      <c r="DI57" s="6">
        <v>0</v>
      </c>
      <c r="DJ57" s="29" t="s">
        <v>105</v>
      </c>
      <c r="DK57" s="6">
        <v>0</v>
      </c>
      <c r="DL57" s="29" t="s">
        <v>105</v>
      </c>
      <c r="DM57" s="6">
        <v>0</v>
      </c>
      <c r="DN57" s="29" t="s">
        <v>105</v>
      </c>
      <c r="DO57" s="6">
        <v>0</v>
      </c>
      <c r="DP57" s="29" t="s">
        <v>105</v>
      </c>
      <c r="DQ57" s="6">
        <v>0</v>
      </c>
      <c r="DR57" s="29" t="s">
        <v>105</v>
      </c>
      <c r="DS57" s="6">
        <v>0</v>
      </c>
      <c r="DT57" s="29" t="s">
        <v>105</v>
      </c>
      <c r="DU57" s="6">
        <v>0</v>
      </c>
      <c r="DV57" s="29" t="s">
        <v>105</v>
      </c>
      <c r="DW57" s="6">
        <v>0</v>
      </c>
      <c r="DX57" s="29" t="s">
        <v>105</v>
      </c>
      <c r="DY57" s="6">
        <v>0</v>
      </c>
      <c r="DZ57" s="29" t="s">
        <v>105</v>
      </c>
      <c r="EA57" s="6">
        <v>0</v>
      </c>
      <c r="EB57" s="29" t="s">
        <v>105</v>
      </c>
      <c r="EC57" s="6">
        <v>0</v>
      </c>
      <c r="ED57" s="29" t="s">
        <v>105</v>
      </c>
      <c r="EE57" s="6">
        <v>0</v>
      </c>
      <c r="EF57" s="29" t="s">
        <v>105</v>
      </c>
      <c r="EG57" s="6">
        <v>0</v>
      </c>
      <c r="EH57" s="29" t="s">
        <v>105</v>
      </c>
      <c r="EI57" s="6">
        <v>0</v>
      </c>
      <c r="EJ57" s="29" t="s">
        <v>105</v>
      </c>
      <c r="EK57" s="6">
        <v>0</v>
      </c>
      <c r="EL57" s="29" t="s">
        <v>105</v>
      </c>
      <c r="EM57" s="6">
        <v>0</v>
      </c>
      <c r="EN57" s="29" t="s">
        <v>105</v>
      </c>
      <c r="EO57" s="6">
        <v>0</v>
      </c>
      <c r="EP57" s="29" t="s">
        <v>105</v>
      </c>
      <c r="EQ57" s="6">
        <v>0</v>
      </c>
      <c r="ER57" s="29" t="s">
        <v>105</v>
      </c>
      <c r="ES57" s="6">
        <f>SUM(ES50:ES56)</f>
        <v>0</v>
      </c>
      <c r="ET57" s="29" t="s">
        <v>105</v>
      </c>
      <c r="EU57" s="225">
        <f>IF( SUM($EQ57:ES57)&lt;0, "n/a", SUM($EQ57:ES57)/EU$74)</f>
        <v>0</v>
      </c>
      <c r="EV57" s="226" t="e">
        <f>EU57/EU57</f>
        <v>#DIV/0!</v>
      </c>
      <c r="EW57" s="62"/>
      <c r="EX57" s="100" t="s">
        <v>148</v>
      </c>
      <c r="EY57" s="103">
        <f>IF(ISERROR(VLOOKUP(EX57,IQSH01E!$A$1:$M$400,2,0)),0,VLOOKUP(EX57,IQSH01E!$A$1:$M$400,2,0))</f>
        <v>0</v>
      </c>
      <c r="EZ57" s="102"/>
      <c r="FA57" s="186"/>
    </row>
    <row r="58" spans="1:157" s="1" customFormat="1" ht="16.5" customHeight="1" x14ac:dyDescent="0.3">
      <c r="A58" s="3"/>
      <c r="B58" s="14" t="s">
        <v>88</v>
      </c>
      <c r="C58" s="4">
        <v>0</v>
      </c>
      <c r="D58" s="24"/>
      <c r="E58" s="4">
        <v>0</v>
      </c>
      <c r="F58" s="24"/>
      <c r="G58" s="4">
        <v>0</v>
      </c>
      <c r="H58" s="24"/>
      <c r="I58" s="4">
        <v>0</v>
      </c>
      <c r="J58" s="24"/>
      <c r="K58" s="4">
        <v>0</v>
      </c>
      <c r="L58" s="24"/>
      <c r="M58" s="4">
        <v>0</v>
      </c>
      <c r="N58" s="24"/>
      <c r="O58" s="4">
        <v>0</v>
      </c>
      <c r="P58" s="24"/>
      <c r="Q58" s="4">
        <v>0</v>
      </c>
      <c r="R58" s="24"/>
      <c r="S58" s="4">
        <v>0</v>
      </c>
      <c r="T58" s="24"/>
      <c r="U58" s="4">
        <v>0</v>
      </c>
      <c r="V58" s="24"/>
      <c r="W58" s="4">
        <v>0</v>
      </c>
      <c r="X58" s="24"/>
      <c r="Y58" s="4">
        <v>0</v>
      </c>
      <c r="Z58" s="24"/>
      <c r="AA58" s="4">
        <v>0</v>
      </c>
      <c r="AB58" s="24"/>
      <c r="AC58" s="4">
        <v>0</v>
      </c>
      <c r="AD58" s="24"/>
      <c r="AE58" s="4">
        <v>0</v>
      </c>
      <c r="AF58" s="24"/>
      <c r="AG58" s="4">
        <v>0</v>
      </c>
      <c r="AH58" s="24"/>
      <c r="AI58" s="4">
        <v>0</v>
      </c>
      <c r="AJ58" s="24"/>
      <c r="AK58" s="4">
        <v>0</v>
      </c>
      <c r="AL58" s="24"/>
      <c r="AM58" s="4">
        <v>0</v>
      </c>
      <c r="AN58" s="24"/>
      <c r="AO58" s="4">
        <v>0</v>
      </c>
      <c r="AP58" s="24"/>
      <c r="AQ58" s="4">
        <v>0</v>
      </c>
      <c r="AR58" s="24"/>
      <c r="AS58" s="4">
        <v>0</v>
      </c>
      <c r="AT58" s="24"/>
      <c r="AU58" s="4">
        <v>0</v>
      </c>
      <c r="AV58" s="24"/>
      <c r="AW58" s="4">
        <v>0</v>
      </c>
      <c r="AX58" s="24"/>
      <c r="AY58" s="4">
        <v>0</v>
      </c>
      <c r="AZ58" s="24"/>
      <c r="BA58" s="4">
        <v>0</v>
      </c>
      <c r="BB58" s="24"/>
      <c r="BC58" s="4">
        <v>0</v>
      </c>
      <c r="BD58" s="24"/>
      <c r="BE58" s="4">
        <v>0</v>
      </c>
      <c r="BF58" s="24"/>
      <c r="BG58" s="4">
        <v>0</v>
      </c>
      <c r="BH58" s="24"/>
      <c r="BI58" s="4">
        <v>0</v>
      </c>
      <c r="BJ58" s="24"/>
      <c r="BK58" s="4">
        <v>0</v>
      </c>
      <c r="BL58" s="24"/>
      <c r="BM58" s="4">
        <v>0</v>
      </c>
      <c r="BN58" s="24"/>
      <c r="BO58" s="4">
        <v>0</v>
      </c>
      <c r="BP58" s="24"/>
      <c r="BQ58" s="4">
        <v>0</v>
      </c>
      <c r="BR58" s="24"/>
      <c r="BS58" s="4">
        <v>0</v>
      </c>
      <c r="BT58" s="24"/>
      <c r="BU58" s="4">
        <v>0</v>
      </c>
      <c r="BV58" s="24"/>
      <c r="BW58" s="4">
        <v>0</v>
      </c>
      <c r="BX58" s="24"/>
      <c r="BY58" s="4">
        <v>0</v>
      </c>
      <c r="BZ58" s="24"/>
      <c r="CA58" s="4">
        <v>0</v>
      </c>
      <c r="CB58" s="24"/>
      <c r="CC58" s="4">
        <v>0</v>
      </c>
      <c r="CD58" s="24"/>
      <c r="CE58" s="4">
        <v>0</v>
      </c>
      <c r="CF58" s="24"/>
      <c r="CG58" s="4">
        <v>0</v>
      </c>
      <c r="CH58" s="24"/>
      <c r="CI58" s="4">
        <v>0</v>
      </c>
      <c r="CJ58" s="24"/>
      <c r="CK58" s="4">
        <v>0</v>
      </c>
      <c r="CL58" s="24"/>
      <c r="CM58" s="4">
        <v>0</v>
      </c>
      <c r="CN58" s="24"/>
      <c r="CO58" s="4">
        <v>0</v>
      </c>
      <c r="CP58" s="24"/>
      <c r="CQ58" s="4">
        <v>0</v>
      </c>
      <c r="CR58" s="24"/>
      <c r="CS58" s="4">
        <v>0</v>
      </c>
      <c r="CT58" s="24"/>
      <c r="CU58" s="4">
        <v>0</v>
      </c>
      <c r="CV58" s="24"/>
      <c r="CW58" s="4">
        <v>0</v>
      </c>
      <c r="CX58" s="24"/>
      <c r="CY58" s="4">
        <v>0</v>
      </c>
      <c r="CZ58" s="24"/>
      <c r="DA58" s="4">
        <v>0</v>
      </c>
      <c r="DB58" s="24"/>
      <c r="DC58" s="4">
        <v>0</v>
      </c>
      <c r="DD58" s="24"/>
      <c r="DE58" s="4">
        <v>0</v>
      </c>
      <c r="DF58" s="24"/>
      <c r="DG58" s="4">
        <v>0</v>
      </c>
      <c r="DH58" s="24"/>
      <c r="DI58" s="4">
        <v>0</v>
      </c>
      <c r="DJ58" s="24"/>
      <c r="DK58" s="4">
        <v>0</v>
      </c>
      <c r="DL58" s="24"/>
      <c r="DM58" s="4">
        <v>0</v>
      </c>
      <c r="DN58" s="24"/>
      <c r="DO58" s="4">
        <v>0</v>
      </c>
      <c r="DP58" s="24"/>
      <c r="DQ58" s="4">
        <v>0</v>
      </c>
      <c r="DR58" s="24"/>
      <c r="DS58" s="4">
        <v>0</v>
      </c>
      <c r="DT58" s="24"/>
      <c r="DU58" s="4">
        <v>0</v>
      </c>
      <c r="DV58" s="24"/>
      <c r="DW58" s="4">
        <v>0</v>
      </c>
      <c r="DX58" s="24"/>
      <c r="DY58" s="4">
        <v>0</v>
      </c>
      <c r="DZ58" s="24"/>
      <c r="EA58" s="4">
        <v>0</v>
      </c>
      <c r="EB58" s="24"/>
      <c r="EC58" s="4">
        <v>0</v>
      </c>
      <c r="ED58" s="24"/>
      <c r="EE58" s="4">
        <v>0</v>
      </c>
      <c r="EF58" s="24"/>
      <c r="EG58" s="4">
        <v>0</v>
      </c>
      <c r="EH58" s="24"/>
      <c r="EI58" s="4">
        <v>0</v>
      </c>
      <c r="EJ58" s="24"/>
      <c r="EK58" s="4">
        <v>0</v>
      </c>
      <c r="EL58" s="24"/>
      <c r="EM58" s="4">
        <v>0</v>
      </c>
      <c r="EN58" s="24"/>
      <c r="EO58" s="4">
        <v>0</v>
      </c>
      <c r="EP58" s="24"/>
      <c r="EQ58" s="4">
        <v>0</v>
      </c>
      <c r="ER58" s="24"/>
      <c r="ES58" s="4">
        <f>+$EY58</f>
        <v>0</v>
      </c>
      <c r="ET58" s="24"/>
      <c r="EU58" s="221">
        <f>IF( SUM($EQ58:ES58)&lt;0, "n/a", SUM($EQ58:ES58)/EU$74)</f>
        <v>0</v>
      </c>
      <c r="EV58" s="227"/>
      <c r="EW58" s="22"/>
      <c r="EX58" s="96" t="s">
        <v>8</v>
      </c>
      <c r="EY58" s="35">
        <f>IF(ISERROR(VLOOKUP(EX58,IQSH01E!$A$1:$M$400,2,0)),0,VLOOKUP(EX58,IQSH01E!$A$1:$M$400,2,0))</f>
        <v>0</v>
      </c>
      <c r="EZ58" s="43"/>
      <c r="FA58" s="182" t="s">
        <v>118</v>
      </c>
    </row>
    <row r="59" spans="1:157" s="1" customFormat="1" ht="16.5" customHeight="1" x14ac:dyDescent="0.3">
      <c r="A59" s="3"/>
      <c r="B59" s="14" t="s">
        <v>71</v>
      </c>
      <c r="C59" s="4">
        <v>0</v>
      </c>
      <c r="D59" s="24"/>
      <c r="E59" s="4">
        <v>0</v>
      </c>
      <c r="F59" s="24"/>
      <c r="G59" s="4">
        <v>0</v>
      </c>
      <c r="H59" s="24"/>
      <c r="I59" s="4">
        <v>0</v>
      </c>
      <c r="J59" s="24"/>
      <c r="K59" s="4">
        <v>0</v>
      </c>
      <c r="L59" s="24"/>
      <c r="M59" s="4">
        <v>0</v>
      </c>
      <c r="N59" s="24"/>
      <c r="O59" s="4">
        <v>0</v>
      </c>
      <c r="P59" s="24"/>
      <c r="Q59" s="4">
        <v>0</v>
      </c>
      <c r="R59" s="24"/>
      <c r="S59" s="4">
        <v>0</v>
      </c>
      <c r="T59" s="24"/>
      <c r="U59" s="4">
        <v>0</v>
      </c>
      <c r="V59" s="24"/>
      <c r="W59" s="4">
        <v>0</v>
      </c>
      <c r="X59" s="24"/>
      <c r="Y59" s="4">
        <v>0</v>
      </c>
      <c r="Z59" s="24"/>
      <c r="AA59" s="4">
        <v>0</v>
      </c>
      <c r="AB59" s="24"/>
      <c r="AC59" s="4">
        <v>0</v>
      </c>
      <c r="AD59" s="24"/>
      <c r="AE59" s="4">
        <v>0</v>
      </c>
      <c r="AF59" s="24"/>
      <c r="AG59" s="4">
        <v>0</v>
      </c>
      <c r="AH59" s="24"/>
      <c r="AI59" s="4">
        <v>0</v>
      </c>
      <c r="AJ59" s="24"/>
      <c r="AK59" s="4">
        <v>0</v>
      </c>
      <c r="AL59" s="24"/>
      <c r="AM59" s="4">
        <v>0</v>
      </c>
      <c r="AN59" s="24"/>
      <c r="AO59" s="4">
        <v>0</v>
      </c>
      <c r="AP59" s="24"/>
      <c r="AQ59" s="4">
        <v>0</v>
      </c>
      <c r="AR59" s="24"/>
      <c r="AS59" s="4">
        <v>0</v>
      </c>
      <c r="AT59" s="24"/>
      <c r="AU59" s="4">
        <v>0</v>
      </c>
      <c r="AV59" s="24"/>
      <c r="AW59" s="4">
        <v>0</v>
      </c>
      <c r="AX59" s="24"/>
      <c r="AY59" s="4">
        <v>0</v>
      </c>
      <c r="AZ59" s="24"/>
      <c r="BA59" s="4">
        <v>0</v>
      </c>
      <c r="BB59" s="24"/>
      <c r="BC59" s="4">
        <v>0</v>
      </c>
      <c r="BD59" s="24"/>
      <c r="BE59" s="4">
        <v>0</v>
      </c>
      <c r="BF59" s="24"/>
      <c r="BG59" s="4">
        <v>0</v>
      </c>
      <c r="BH59" s="24"/>
      <c r="BI59" s="4">
        <v>0</v>
      </c>
      <c r="BJ59" s="24"/>
      <c r="BK59" s="4">
        <v>0</v>
      </c>
      <c r="BL59" s="24"/>
      <c r="BM59" s="4">
        <v>0</v>
      </c>
      <c r="BN59" s="24"/>
      <c r="BO59" s="4">
        <v>0</v>
      </c>
      <c r="BP59" s="24"/>
      <c r="BQ59" s="4">
        <v>0</v>
      </c>
      <c r="BR59" s="24"/>
      <c r="BS59" s="4">
        <v>0</v>
      </c>
      <c r="BT59" s="24"/>
      <c r="BU59" s="4">
        <v>0</v>
      </c>
      <c r="BV59" s="24"/>
      <c r="BW59" s="4">
        <v>0</v>
      </c>
      <c r="BX59" s="24"/>
      <c r="BY59" s="4">
        <v>0</v>
      </c>
      <c r="BZ59" s="24"/>
      <c r="CA59" s="4">
        <v>0</v>
      </c>
      <c r="CB59" s="24"/>
      <c r="CC59" s="4">
        <v>0</v>
      </c>
      <c r="CD59" s="24"/>
      <c r="CE59" s="4">
        <v>0</v>
      </c>
      <c r="CF59" s="24"/>
      <c r="CG59" s="4">
        <v>0</v>
      </c>
      <c r="CH59" s="24"/>
      <c r="CI59" s="4">
        <v>0</v>
      </c>
      <c r="CJ59" s="24"/>
      <c r="CK59" s="4">
        <v>0</v>
      </c>
      <c r="CL59" s="24"/>
      <c r="CM59" s="4">
        <v>0</v>
      </c>
      <c r="CN59" s="24"/>
      <c r="CO59" s="4">
        <v>0</v>
      </c>
      <c r="CP59" s="24"/>
      <c r="CQ59" s="4">
        <v>0</v>
      </c>
      <c r="CR59" s="24"/>
      <c r="CS59" s="4">
        <v>0</v>
      </c>
      <c r="CT59" s="24"/>
      <c r="CU59" s="4">
        <v>0</v>
      </c>
      <c r="CV59" s="24"/>
      <c r="CW59" s="4">
        <v>0</v>
      </c>
      <c r="CX59" s="24"/>
      <c r="CY59" s="4">
        <v>0</v>
      </c>
      <c r="CZ59" s="24"/>
      <c r="DA59" s="4">
        <v>0</v>
      </c>
      <c r="DB59" s="24"/>
      <c r="DC59" s="4">
        <v>0</v>
      </c>
      <c r="DD59" s="24"/>
      <c r="DE59" s="4">
        <v>0</v>
      </c>
      <c r="DF59" s="24"/>
      <c r="DG59" s="4">
        <v>0</v>
      </c>
      <c r="DH59" s="24"/>
      <c r="DI59" s="4">
        <v>0</v>
      </c>
      <c r="DJ59" s="24"/>
      <c r="DK59" s="4">
        <v>0</v>
      </c>
      <c r="DL59" s="24"/>
      <c r="DM59" s="4">
        <v>0</v>
      </c>
      <c r="DN59" s="24"/>
      <c r="DO59" s="4">
        <v>197355.51</v>
      </c>
      <c r="DP59" s="24"/>
      <c r="DQ59" s="4">
        <v>289241.53999999998</v>
      </c>
      <c r="DR59" s="24"/>
      <c r="DS59" s="4">
        <v>282097.96999999997</v>
      </c>
      <c r="DT59" s="24"/>
      <c r="DU59" s="4">
        <v>192850.72</v>
      </c>
      <c r="DV59" s="24"/>
      <c r="DW59" s="4">
        <v>249797.34</v>
      </c>
      <c r="DX59" s="24"/>
      <c r="DY59" s="4">
        <v>233734.48</v>
      </c>
      <c r="DZ59" s="24"/>
      <c r="EA59" s="4">
        <v>310837.96000000002</v>
      </c>
      <c r="EB59" s="24"/>
      <c r="EC59" s="4">
        <v>256271.7</v>
      </c>
      <c r="ED59" s="24"/>
      <c r="EE59" s="4">
        <v>336756.01</v>
      </c>
      <c r="EF59" s="24"/>
      <c r="EG59" s="4">
        <v>303293.36</v>
      </c>
      <c r="EH59" s="24"/>
      <c r="EI59" s="4">
        <v>257856.43</v>
      </c>
      <c r="EJ59" s="24"/>
      <c r="EK59" s="4">
        <v>271889.43</v>
      </c>
      <c r="EL59" s="24"/>
      <c r="EM59" s="4">
        <v>117398.45</v>
      </c>
      <c r="EN59" s="24"/>
      <c r="EO59" s="4">
        <v>0</v>
      </c>
      <c r="EP59" s="24"/>
      <c r="EQ59" s="4">
        <v>0</v>
      </c>
      <c r="ER59" s="24"/>
      <c r="ES59" s="4">
        <f>+$EY59</f>
        <v>0</v>
      </c>
      <c r="ET59" s="24"/>
      <c r="EU59" s="221">
        <f>IF( SUM($EQ59:ES59)&lt;0, "n/a", SUM($EQ59:ES59)/EU$74)</f>
        <v>0</v>
      </c>
      <c r="EV59" s="224"/>
      <c r="EW59" s="22"/>
      <c r="EX59" s="154" t="s">
        <v>144</v>
      </c>
      <c r="EY59" s="34">
        <f>IF(ISERROR(VLOOKUP(EX59,IQSH01E!$A$1:$M$400,2,0)),0,VLOOKUP(EX59,IQSH01E!$A$1:$M$400,2,0))</f>
        <v>0</v>
      </c>
      <c r="EZ59" s="52"/>
      <c r="FA59" s="187" t="s">
        <v>117</v>
      </c>
    </row>
    <row r="60" spans="1:157" s="1" customFormat="1" ht="16.5" customHeight="1" thickBot="1" x14ac:dyDescent="0.35">
      <c r="A60" s="7"/>
      <c r="B60" s="16" t="s">
        <v>84</v>
      </c>
      <c r="C60" s="6">
        <v>0</v>
      </c>
      <c r="D60" s="25"/>
      <c r="E60" s="6">
        <v>0</v>
      </c>
      <c r="F60" s="25"/>
      <c r="G60" s="6">
        <v>0</v>
      </c>
      <c r="H60" s="25"/>
      <c r="I60" s="6">
        <v>0</v>
      </c>
      <c r="J60" s="25"/>
      <c r="K60" s="6">
        <v>0</v>
      </c>
      <c r="L60" s="25"/>
      <c r="M60" s="6">
        <v>0</v>
      </c>
      <c r="N60" s="25"/>
      <c r="O60" s="6">
        <v>0</v>
      </c>
      <c r="P60" s="25"/>
      <c r="Q60" s="6">
        <v>0</v>
      </c>
      <c r="R60" s="25"/>
      <c r="S60" s="6">
        <v>0</v>
      </c>
      <c r="T60" s="25"/>
      <c r="U60" s="6">
        <v>0</v>
      </c>
      <c r="V60" s="25"/>
      <c r="W60" s="6">
        <v>0</v>
      </c>
      <c r="X60" s="25"/>
      <c r="Y60" s="6">
        <v>0</v>
      </c>
      <c r="Z60" s="25"/>
      <c r="AA60" s="6">
        <v>0</v>
      </c>
      <c r="AB60" s="25"/>
      <c r="AC60" s="6">
        <v>0</v>
      </c>
      <c r="AD60" s="25"/>
      <c r="AE60" s="6">
        <v>0</v>
      </c>
      <c r="AF60" s="25"/>
      <c r="AG60" s="6">
        <v>0</v>
      </c>
      <c r="AH60" s="25"/>
      <c r="AI60" s="6">
        <v>0</v>
      </c>
      <c r="AJ60" s="25"/>
      <c r="AK60" s="6">
        <v>0</v>
      </c>
      <c r="AL60" s="25"/>
      <c r="AM60" s="6">
        <v>0</v>
      </c>
      <c r="AN60" s="25"/>
      <c r="AO60" s="6">
        <v>0</v>
      </c>
      <c r="AP60" s="25"/>
      <c r="AQ60" s="6">
        <v>0</v>
      </c>
      <c r="AR60" s="25"/>
      <c r="AS60" s="6">
        <v>0</v>
      </c>
      <c r="AT60" s="25"/>
      <c r="AU60" s="6">
        <v>0</v>
      </c>
      <c r="AV60" s="25"/>
      <c r="AW60" s="6">
        <v>0</v>
      </c>
      <c r="AX60" s="25"/>
      <c r="AY60" s="6">
        <v>0</v>
      </c>
      <c r="AZ60" s="25"/>
      <c r="BA60" s="6">
        <v>0</v>
      </c>
      <c r="BB60" s="25"/>
      <c r="BC60" s="6">
        <v>0</v>
      </c>
      <c r="BD60" s="25"/>
      <c r="BE60" s="6">
        <v>0</v>
      </c>
      <c r="BF60" s="25"/>
      <c r="BG60" s="6">
        <v>0</v>
      </c>
      <c r="BH60" s="25"/>
      <c r="BI60" s="6">
        <v>0</v>
      </c>
      <c r="BJ60" s="25"/>
      <c r="BK60" s="6">
        <v>0</v>
      </c>
      <c r="BL60" s="25"/>
      <c r="BM60" s="6">
        <v>0</v>
      </c>
      <c r="BN60" s="25"/>
      <c r="BO60" s="6">
        <v>0</v>
      </c>
      <c r="BP60" s="25"/>
      <c r="BQ60" s="6">
        <v>0</v>
      </c>
      <c r="BR60" s="25"/>
      <c r="BS60" s="6">
        <v>0</v>
      </c>
      <c r="BT60" s="25"/>
      <c r="BU60" s="6">
        <v>0</v>
      </c>
      <c r="BV60" s="25"/>
      <c r="BW60" s="6">
        <v>0</v>
      </c>
      <c r="BX60" s="25"/>
      <c r="BY60" s="6">
        <v>0</v>
      </c>
      <c r="BZ60" s="25"/>
      <c r="CA60" s="6">
        <v>0</v>
      </c>
      <c r="CB60" s="25"/>
      <c r="CC60" s="6">
        <v>0</v>
      </c>
      <c r="CD60" s="25"/>
      <c r="CE60" s="6">
        <v>0</v>
      </c>
      <c r="CF60" s="25"/>
      <c r="CG60" s="6">
        <v>0</v>
      </c>
      <c r="CH60" s="25"/>
      <c r="CI60" s="6">
        <v>0</v>
      </c>
      <c r="CJ60" s="25"/>
      <c r="CK60" s="6">
        <v>0</v>
      </c>
      <c r="CL60" s="25"/>
      <c r="CM60" s="6">
        <v>0</v>
      </c>
      <c r="CN60" s="25"/>
      <c r="CO60" s="6">
        <v>0</v>
      </c>
      <c r="CP60" s="25"/>
      <c r="CQ60" s="6">
        <v>0</v>
      </c>
      <c r="CR60" s="25"/>
      <c r="CS60" s="6">
        <v>0</v>
      </c>
      <c r="CT60" s="25"/>
      <c r="CU60" s="6">
        <v>0</v>
      </c>
      <c r="CV60" s="25"/>
      <c r="CW60" s="6">
        <v>0</v>
      </c>
      <c r="CX60" s="25"/>
      <c r="CY60" s="6">
        <v>0</v>
      </c>
      <c r="CZ60" s="25"/>
      <c r="DA60" s="6">
        <v>0</v>
      </c>
      <c r="DB60" s="25"/>
      <c r="DC60" s="6">
        <v>0</v>
      </c>
      <c r="DD60" s="25"/>
      <c r="DE60" s="6">
        <v>0</v>
      </c>
      <c r="DF60" s="25"/>
      <c r="DG60" s="6">
        <v>0</v>
      </c>
      <c r="DH60" s="25"/>
      <c r="DI60" s="6">
        <v>0</v>
      </c>
      <c r="DJ60" s="25"/>
      <c r="DK60" s="6">
        <v>0</v>
      </c>
      <c r="DL60" s="25"/>
      <c r="DM60" s="6">
        <v>0</v>
      </c>
      <c r="DN60" s="25"/>
      <c r="DO60" s="6">
        <v>197355.51</v>
      </c>
      <c r="DP60" s="25"/>
      <c r="DQ60" s="6">
        <v>289241.53999999998</v>
      </c>
      <c r="DR60" s="25"/>
      <c r="DS60" s="6">
        <v>282097.96999999997</v>
      </c>
      <c r="DT60" s="25"/>
      <c r="DU60" s="6">
        <v>192850.72</v>
      </c>
      <c r="DV60" s="25"/>
      <c r="DW60" s="6">
        <v>249797.34</v>
      </c>
      <c r="DX60" s="25"/>
      <c r="DY60" s="6">
        <v>233734.48</v>
      </c>
      <c r="DZ60" s="25"/>
      <c r="EA60" s="6">
        <v>310837.96000000002</v>
      </c>
      <c r="EB60" s="25"/>
      <c r="EC60" s="6">
        <v>256271.7</v>
      </c>
      <c r="ED60" s="25"/>
      <c r="EE60" s="6">
        <v>336756.01</v>
      </c>
      <c r="EF60" s="25"/>
      <c r="EG60" s="6">
        <v>303293.36</v>
      </c>
      <c r="EH60" s="25"/>
      <c r="EI60" s="6">
        <v>257856.43</v>
      </c>
      <c r="EJ60" s="25"/>
      <c r="EK60" s="6">
        <v>271889.43</v>
      </c>
      <c r="EL60" s="25"/>
      <c r="EM60" s="6">
        <v>117398.45</v>
      </c>
      <c r="EN60" s="25"/>
      <c r="EO60" s="6">
        <v>0</v>
      </c>
      <c r="EP60" s="25"/>
      <c r="EQ60" s="6">
        <v>0</v>
      </c>
      <c r="ER60" s="25"/>
      <c r="ES60" s="6">
        <f>SUM(ES57:ES59)</f>
        <v>0</v>
      </c>
      <c r="ET60" s="25"/>
      <c r="EU60" s="225">
        <f>IF( SUM($EQ60:ES60)&lt;0, "n/a", SUM($EQ60:ES60)/EU$74)</f>
        <v>0</v>
      </c>
      <c r="EV60" s="228"/>
      <c r="EW60" s="61"/>
      <c r="EX60" s="37" t="s">
        <v>47</v>
      </c>
      <c r="EY60" s="38">
        <f>IF(ISERROR(VLOOKUP(EX60,IQSH01E!$A$1:$M$400,2,0)),0,VLOOKUP(EX60,IQSH01E!$A$1:$M$400,2,0))</f>
        <v>0</v>
      </c>
      <c r="EZ60" s="41">
        <f>SUM(EY50:EY59)</f>
        <v>0</v>
      </c>
      <c r="FA60" s="188" t="s">
        <v>118</v>
      </c>
    </row>
    <row r="61" spans="1:157" ht="16.5" customHeight="1" x14ac:dyDescent="0.3">
      <c r="A61" s="10"/>
      <c r="B61" s="14" t="s">
        <v>89</v>
      </c>
      <c r="C61" s="4">
        <v>0</v>
      </c>
      <c r="D61" s="92">
        <v>0</v>
      </c>
      <c r="E61" s="4">
        <v>0</v>
      </c>
      <c r="F61" s="92">
        <v>0</v>
      </c>
      <c r="G61" s="4">
        <v>0</v>
      </c>
      <c r="H61" s="92">
        <v>0</v>
      </c>
      <c r="I61" s="4">
        <v>0</v>
      </c>
      <c r="J61" s="92">
        <v>0</v>
      </c>
      <c r="K61" s="4">
        <v>0</v>
      </c>
      <c r="L61" s="92">
        <v>0</v>
      </c>
      <c r="M61" s="4">
        <v>0</v>
      </c>
      <c r="N61" s="92">
        <v>0</v>
      </c>
      <c r="O61" s="4">
        <v>0</v>
      </c>
      <c r="P61" s="92">
        <v>0</v>
      </c>
      <c r="Q61" s="4">
        <v>0</v>
      </c>
      <c r="R61" s="92">
        <v>0</v>
      </c>
      <c r="S61" s="4">
        <v>0</v>
      </c>
      <c r="T61" s="92">
        <v>0</v>
      </c>
      <c r="U61" s="4">
        <v>0</v>
      </c>
      <c r="V61" s="92">
        <v>0</v>
      </c>
      <c r="W61" s="4">
        <v>0</v>
      </c>
      <c r="X61" s="92">
        <v>0</v>
      </c>
      <c r="Y61" s="4">
        <v>0</v>
      </c>
      <c r="Z61" s="92">
        <v>0</v>
      </c>
      <c r="AA61" s="4">
        <v>0</v>
      </c>
      <c r="AB61" s="92">
        <v>0</v>
      </c>
      <c r="AC61" s="4">
        <v>0</v>
      </c>
      <c r="AD61" s="92">
        <v>0</v>
      </c>
      <c r="AE61" s="4">
        <v>0</v>
      </c>
      <c r="AF61" s="92">
        <v>0</v>
      </c>
      <c r="AG61" s="4">
        <v>0</v>
      </c>
      <c r="AH61" s="92">
        <v>0</v>
      </c>
      <c r="AI61" s="4">
        <v>0</v>
      </c>
      <c r="AJ61" s="92">
        <v>0</v>
      </c>
      <c r="AK61" s="4">
        <v>0</v>
      </c>
      <c r="AL61" s="92">
        <v>0</v>
      </c>
      <c r="AM61" s="4">
        <v>0</v>
      </c>
      <c r="AN61" s="92">
        <v>0</v>
      </c>
      <c r="AO61" s="4">
        <v>0</v>
      </c>
      <c r="AP61" s="92">
        <v>0</v>
      </c>
      <c r="AQ61" s="4">
        <v>0</v>
      </c>
      <c r="AR61" s="92">
        <v>0</v>
      </c>
      <c r="AS61" s="4">
        <v>0</v>
      </c>
      <c r="AT61" s="92">
        <v>0</v>
      </c>
      <c r="AU61" s="4">
        <v>0</v>
      </c>
      <c r="AV61" s="92">
        <v>0</v>
      </c>
      <c r="AW61" s="4">
        <v>0</v>
      </c>
      <c r="AX61" s="92">
        <v>0</v>
      </c>
      <c r="AY61" s="4">
        <v>0</v>
      </c>
      <c r="AZ61" s="92">
        <v>0</v>
      </c>
      <c r="BA61" s="4">
        <v>0</v>
      </c>
      <c r="BB61" s="92">
        <v>0</v>
      </c>
      <c r="BC61" s="4">
        <v>0</v>
      </c>
      <c r="BD61" s="92">
        <v>0</v>
      </c>
      <c r="BE61" s="4">
        <v>0</v>
      </c>
      <c r="BF61" s="92">
        <v>0</v>
      </c>
      <c r="BG61" s="4">
        <v>0</v>
      </c>
      <c r="BH61" s="92">
        <v>0</v>
      </c>
      <c r="BI61" s="4">
        <v>0</v>
      </c>
      <c r="BJ61" s="92">
        <v>0</v>
      </c>
      <c r="BK61" s="4">
        <v>0</v>
      </c>
      <c r="BL61" s="92">
        <v>0</v>
      </c>
      <c r="BM61" s="4">
        <v>0</v>
      </c>
      <c r="BN61" s="92">
        <v>0</v>
      </c>
      <c r="BO61" s="4">
        <v>0</v>
      </c>
      <c r="BP61" s="92">
        <v>0</v>
      </c>
      <c r="BQ61" s="4">
        <v>0</v>
      </c>
      <c r="BR61" s="92">
        <v>0</v>
      </c>
      <c r="BS61" s="4">
        <v>0</v>
      </c>
      <c r="BT61" s="92">
        <v>0</v>
      </c>
      <c r="BU61" s="4">
        <v>0</v>
      </c>
      <c r="BV61" s="92">
        <v>0</v>
      </c>
      <c r="BW61" s="4">
        <v>0</v>
      </c>
      <c r="BX61" s="92">
        <v>0</v>
      </c>
      <c r="BY61" s="4">
        <v>0</v>
      </c>
      <c r="BZ61" s="92">
        <v>0</v>
      </c>
      <c r="CA61" s="4">
        <v>0</v>
      </c>
      <c r="CB61" s="92">
        <v>0</v>
      </c>
      <c r="CC61" s="4">
        <v>0</v>
      </c>
      <c r="CD61" s="92">
        <v>0</v>
      </c>
      <c r="CE61" s="4">
        <v>0</v>
      </c>
      <c r="CF61" s="92">
        <v>0</v>
      </c>
      <c r="CG61" s="4">
        <v>0</v>
      </c>
      <c r="CH61" s="92">
        <v>0</v>
      </c>
      <c r="CI61" s="4">
        <v>0</v>
      </c>
      <c r="CJ61" s="92">
        <v>0</v>
      </c>
      <c r="CK61" s="4">
        <v>0</v>
      </c>
      <c r="CL61" s="92">
        <v>0</v>
      </c>
      <c r="CM61" s="4">
        <v>0</v>
      </c>
      <c r="CN61" s="92">
        <v>0</v>
      </c>
      <c r="CO61" s="4">
        <v>0</v>
      </c>
      <c r="CP61" s="92">
        <v>0</v>
      </c>
      <c r="CQ61" s="4">
        <v>0</v>
      </c>
      <c r="CR61" s="92">
        <v>0</v>
      </c>
      <c r="CS61" s="4">
        <v>0</v>
      </c>
      <c r="CT61" s="92">
        <v>0</v>
      </c>
      <c r="CU61" s="4">
        <v>0</v>
      </c>
      <c r="CV61" s="92">
        <v>0</v>
      </c>
      <c r="CW61" s="4">
        <v>0</v>
      </c>
      <c r="CX61" s="92">
        <v>0</v>
      </c>
      <c r="CY61" s="4">
        <v>0</v>
      </c>
      <c r="CZ61" s="92">
        <v>0</v>
      </c>
      <c r="DA61" s="4">
        <v>0</v>
      </c>
      <c r="DB61" s="92">
        <v>0</v>
      </c>
      <c r="DC61" s="4">
        <v>0</v>
      </c>
      <c r="DD61" s="92">
        <v>0</v>
      </c>
      <c r="DE61" s="4">
        <v>0</v>
      </c>
      <c r="DF61" s="92">
        <v>0</v>
      </c>
      <c r="DG61" s="4">
        <v>0</v>
      </c>
      <c r="DH61" s="92">
        <v>0</v>
      </c>
      <c r="DI61" s="4">
        <v>0</v>
      </c>
      <c r="DJ61" s="92">
        <v>0</v>
      </c>
      <c r="DK61" s="4">
        <v>0</v>
      </c>
      <c r="DL61" s="92">
        <v>0</v>
      </c>
      <c r="DM61" s="4">
        <v>0</v>
      </c>
      <c r="DN61" s="92">
        <v>0</v>
      </c>
      <c r="DO61" s="4">
        <v>0</v>
      </c>
      <c r="DP61" s="92">
        <v>0</v>
      </c>
      <c r="DQ61" s="4">
        <v>0</v>
      </c>
      <c r="DR61" s="92">
        <v>0</v>
      </c>
      <c r="DS61" s="4">
        <v>0</v>
      </c>
      <c r="DT61" s="92">
        <v>0</v>
      </c>
      <c r="DU61" s="4">
        <v>0</v>
      </c>
      <c r="DV61" s="92">
        <v>0</v>
      </c>
      <c r="DW61" s="4">
        <v>0</v>
      </c>
      <c r="DX61" s="92">
        <v>0</v>
      </c>
      <c r="DY61" s="4">
        <v>0</v>
      </c>
      <c r="DZ61" s="92">
        <v>0</v>
      </c>
      <c r="EA61" s="4">
        <v>0</v>
      </c>
      <c r="EB61" s="92">
        <v>0</v>
      </c>
      <c r="EC61" s="4">
        <v>0</v>
      </c>
      <c r="ED61" s="92">
        <v>0</v>
      </c>
      <c r="EE61" s="4">
        <v>3385</v>
      </c>
      <c r="EF61" s="92">
        <v>1.1701704713503526E-4</v>
      </c>
      <c r="EG61" s="4">
        <v>0</v>
      </c>
      <c r="EH61" s="92">
        <v>0</v>
      </c>
      <c r="EI61" s="4">
        <v>0</v>
      </c>
      <c r="EJ61" s="92">
        <v>0</v>
      </c>
      <c r="EK61" s="4">
        <v>0</v>
      </c>
      <c r="EL61" s="92">
        <v>0</v>
      </c>
      <c r="EM61" s="4">
        <v>0</v>
      </c>
      <c r="EN61" s="92">
        <v>0</v>
      </c>
      <c r="EO61" s="4">
        <v>0</v>
      </c>
      <c r="EP61" s="92">
        <v>0</v>
      </c>
      <c r="EQ61" s="4">
        <v>0</v>
      </c>
      <c r="ER61" s="92">
        <v>0</v>
      </c>
      <c r="ES61" s="4">
        <f t="shared" ref="ES61:ES67" si="5">ES6+ES17+ES28+ES39+ES50</f>
        <v>0</v>
      </c>
      <c r="ET61" s="92">
        <f>ES61/ES68</f>
        <v>0</v>
      </c>
      <c r="EU61" s="221">
        <f>IF( SUM($EQ61:ES61)&lt;0, "n/a", SUM($EQ61:ES61)/EU$74)</f>
        <v>0</v>
      </c>
      <c r="EV61" s="222">
        <f>EU61/EU68</f>
        <v>0</v>
      </c>
      <c r="EW61" s="22"/>
      <c r="EX61" s="98"/>
      <c r="EY61" s="204"/>
      <c r="EZ61" s="204"/>
      <c r="FA61" s="209"/>
    </row>
    <row r="62" spans="1:157" ht="16.5" customHeight="1" x14ac:dyDescent="0.3">
      <c r="A62" s="10"/>
      <c r="B62" s="14" t="s">
        <v>79</v>
      </c>
      <c r="C62" s="4">
        <v>31752365.929999996</v>
      </c>
      <c r="D62" s="92">
        <v>0.89960421692595194</v>
      </c>
      <c r="E62" s="4">
        <v>30258018.789999999</v>
      </c>
      <c r="F62" s="92">
        <v>0.91418207839738697</v>
      </c>
      <c r="G62" s="4">
        <v>38298690.410000004</v>
      </c>
      <c r="H62" s="92">
        <v>0.92133603482658066</v>
      </c>
      <c r="I62" s="4">
        <v>26336569.77999999</v>
      </c>
      <c r="J62" s="92">
        <v>0.93253371010581487</v>
      </c>
      <c r="K62" s="4">
        <v>26586041.73</v>
      </c>
      <c r="L62" s="92">
        <v>0.92488144586377463</v>
      </c>
      <c r="M62" s="4">
        <v>32225080.879999999</v>
      </c>
      <c r="N62" s="92">
        <v>0.92366643935232928</v>
      </c>
      <c r="O62" s="4">
        <v>30478137.149999999</v>
      </c>
      <c r="P62" s="92">
        <v>0.90599226117068765</v>
      </c>
      <c r="Q62" s="4">
        <v>29357365.200000003</v>
      </c>
      <c r="R62" s="92">
        <v>0.91576111731762877</v>
      </c>
      <c r="S62" s="4">
        <v>30713950.48</v>
      </c>
      <c r="T62" s="92">
        <v>0.92009064427464504</v>
      </c>
      <c r="U62" s="4">
        <v>32609338.510000002</v>
      </c>
      <c r="V62" s="92">
        <v>0.92441805226221518</v>
      </c>
      <c r="W62" s="4">
        <v>31354101.549999997</v>
      </c>
      <c r="X62" s="92">
        <v>0.92259198459022962</v>
      </c>
      <c r="Y62" s="4">
        <v>30650777.420000002</v>
      </c>
      <c r="Z62" s="92">
        <v>0.91746985643034928</v>
      </c>
      <c r="AA62" s="4">
        <v>28899593.120000005</v>
      </c>
      <c r="AB62" s="92">
        <v>0.91607085527700094</v>
      </c>
      <c r="AC62" s="4">
        <v>25907499.060000002</v>
      </c>
      <c r="AD62" s="92">
        <v>0.9185605511806274</v>
      </c>
      <c r="AE62" s="4">
        <v>34424851.189999998</v>
      </c>
      <c r="AF62" s="92">
        <v>0.91671019119395947</v>
      </c>
      <c r="AG62" s="4">
        <v>33634108.120000005</v>
      </c>
      <c r="AH62" s="92">
        <v>0.93204877801216157</v>
      </c>
      <c r="AI62" s="4">
        <v>29964092.940000005</v>
      </c>
      <c r="AJ62" s="92">
        <v>0.93806479434183287</v>
      </c>
      <c r="AK62" s="4">
        <v>31725447.329999991</v>
      </c>
      <c r="AL62" s="92">
        <v>0.91889401255131387</v>
      </c>
      <c r="AM62" s="4">
        <v>31571996.189999994</v>
      </c>
      <c r="AN62" s="92">
        <v>0.90683858111982341</v>
      </c>
      <c r="AO62" s="4">
        <v>32173314.039999999</v>
      </c>
      <c r="AP62" s="92">
        <v>0.92527487106366046</v>
      </c>
      <c r="AQ62" s="4">
        <v>32942230.380000006</v>
      </c>
      <c r="AR62" s="92">
        <v>0.92598879798240652</v>
      </c>
      <c r="AS62" s="4">
        <v>32718102.209999997</v>
      </c>
      <c r="AT62" s="92">
        <v>0.91874139940460686</v>
      </c>
      <c r="AU62" s="4">
        <v>32529205.070000004</v>
      </c>
      <c r="AV62" s="92">
        <v>0.92217561422315342</v>
      </c>
      <c r="AW62" s="4">
        <v>29738545.34</v>
      </c>
      <c r="AX62" s="92">
        <v>0.91116371446473166</v>
      </c>
      <c r="AY62" s="4">
        <v>28217918.849999994</v>
      </c>
      <c r="AZ62" s="92">
        <v>0.90582478745233552</v>
      </c>
      <c r="BA62" s="4">
        <v>27761186.329999998</v>
      </c>
      <c r="BB62" s="92">
        <v>0.91897269113396718</v>
      </c>
      <c r="BC62" s="4">
        <v>32530863.799999993</v>
      </c>
      <c r="BD62" s="92">
        <v>0.90683123450865932</v>
      </c>
      <c r="BE62" s="4">
        <v>30983263.069999997</v>
      </c>
      <c r="BF62" s="92">
        <v>0.91607002508726465</v>
      </c>
      <c r="BG62" s="4">
        <v>30961355.979999993</v>
      </c>
      <c r="BH62" s="92">
        <v>0.91123429637776254</v>
      </c>
      <c r="BI62" s="4">
        <v>31474397.769999996</v>
      </c>
      <c r="BJ62" s="92">
        <v>0.90736076241681318</v>
      </c>
      <c r="BK62" s="4">
        <v>31569197.509999998</v>
      </c>
      <c r="BL62" s="92">
        <v>0.91516725180591263</v>
      </c>
      <c r="BM62" s="4">
        <v>35839522.269999996</v>
      </c>
      <c r="BN62" s="92">
        <v>0.9329637531943159</v>
      </c>
      <c r="BO62" s="4">
        <v>34832072.5</v>
      </c>
      <c r="BP62" s="92">
        <v>0.94218457929043353</v>
      </c>
      <c r="BQ62" s="4">
        <v>35582158.589999996</v>
      </c>
      <c r="BR62" s="92">
        <v>0.93618189840916033</v>
      </c>
      <c r="BS62" s="4">
        <v>33764401.880000003</v>
      </c>
      <c r="BT62" s="92">
        <v>0.94291198326720116</v>
      </c>
      <c r="BU62" s="4">
        <v>29193390.519999996</v>
      </c>
      <c r="BV62" s="92">
        <v>0.95094350901334623</v>
      </c>
      <c r="BW62" s="4">
        <v>31735384.359999999</v>
      </c>
      <c r="BX62" s="92">
        <v>0.94975347438260649</v>
      </c>
      <c r="BY62" s="4">
        <v>25926995.060000002</v>
      </c>
      <c r="BZ62" s="92">
        <v>0.93988816099456451</v>
      </c>
      <c r="CA62" s="4">
        <v>33134773.460000001</v>
      </c>
      <c r="CB62" s="92">
        <v>0.95141650909116027</v>
      </c>
      <c r="CC62" s="4">
        <v>29039447.980000004</v>
      </c>
      <c r="CD62" s="92">
        <v>0.95340630666851822</v>
      </c>
      <c r="CE62" s="4">
        <v>32328790.190000001</v>
      </c>
      <c r="CF62" s="92">
        <v>0.94691559394791658</v>
      </c>
      <c r="CG62" s="4">
        <v>32458638.16</v>
      </c>
      <c r="CH62" s="92">
        <v>0.93744392160235801</v>
      </c>
      <c r="CI62" s="4">
        <v>30022534.959999997</v>
      </c>
      <c r="CJ62" s="92">
        <v>0.94805150134632987</v>
      </c>
      <c r="CK62" s="4">
        <v>35061373.390000001</v>
      </c>
      <c r="CL62" s="92">
        <v>0.94896751385152067</v>
      </c>
      <c r="CM62" s="4">
        <v>32579631.189999998</v>
      </c>
      <c r="CN62" s="92">
        <v>0.95412089486723184</v>
      </c>
      <c r="CO62" s="4">
        <v>33412812.639999997</v>
      </c>
      <c r="CP62" s="92">
        <v>0.94516934611364278</v>
      </c>
      <c r="CQ62" s="4">
        <v>30522892.550000001</v>
      </c>
      <c r="CR62" s="92">
        <v>0.94076184139762187</v>
      </c>
      <c r="CS62" s="4">
        <v>29629422.639999993</v>
      </c>
      <c r="CT62" s="92">
        <v>0.96014970575214398</v>
      </c>
      <c r="CU62" s="4">
        <v>29566358.479999997</v>
      </c>
      <c r="CV62" s="92">
        <v>0.94185043247848377</v>
      </c>
      <c r="CW62" s="4">
        <v>26871704.950000003</v>
      </c>
      <c r="CX62" s="92">
        <v>0.94990119197612433</v>
      </c>
      <c r="CY62" s="4">
        <v>27482807.960000005</v>
      </c>
      <c r="CZ62" s="92">
        <v>0.94077705829975788</v>
      </c>
      <c r="DA62" s="4">
        <v>30812445.350000005</v>
      </c>
      <c r="DB62" s="92">
        <v>0.95386035085673249</v>
      </c>
      <c r="DC62" s="4">
        <v>30483350.800000004</v>
      </c>
      <c r="DD62" s="92">
        <v>0.95793178131391188</v>
      </c>
      <c r="DE62" s="4">
        <v>28604597.470000003</v>
      </c>
      <c r="DF62" s="92">
        <v>0.96749589057905494</v>
      </c>
      <c r="DG62" s="4">
        <v>28831952.190000001</v>
      </c>
      <c r="DH62" s="92">
        <v>0.9519445371311398</v>
      </c>
      <c r="DI62" s="4">
        <v>30483367.539999999</v>
      </c>
      <c r="DJ62" s="92">
        <v>0.9634721680556827</v>
      </c>
      <c r="DK62" s="4">
        <v>26666570.319999997</v>
      </c>
      <c r="DL62" s="92">
        <v>0.96058720531467989</v>
      </c>
      <c r="DM62" s="4">
        <v>32483860.640000004</v>
      </c>
      <c r="DN62" s="92">
        <v>0.96381476467941429</v>
      </c>
      <c r="DO62" s="4">
        <v>29587501.649999999</v>
      </c>
      <c r="DP62" s="92">
        <v>0.96701879018281722</v>
      </c>
      <c r="DQ62" s="4">
        <v>27413756.940000001</v>
      </c>
      <c r="DR62" s="92">
        <v>0.95643804134514621</v>
      </c>
      <c r="DS62" s="4">
        <v>29431678.580000002</v>
      </c>
      <c r="DT62" s="92">
        <v>0.95700430701090811</v>
      </c>
      <c r="DU62" s="4">
        <v>25901311.75</v>
      </c>
      <c r="DV62" s="92">
        <v>0.96919881261945573</v>
      </c>
      <c r="DW62" s="4">
        <v>25609261.729999997</v>
      </c>
      <c r="DX62" s="92">
        <v>0.9590285037112789</v>
      </c>
      <c r="DY62" s="4">
        <v>23887896.369999997</v>
      </c>
      <c r="DZ62" s="92">
        <v>0.96226153448062202</v>
      </c>
      <c r="EA62" s="4">
        <v>25381578.520000003</v>
      </c>
      <c r="EB62" s="92">
        <v>0.95777483814701525</v>
      </c>
      <c r="EC62" s="4">
        <v>24263731.430000003</v>
      </c>
      <c r="ED62" s="92">
        <v>0.96111733264057853</v>
      </c>
      <c r="EE62" s="4">
        <v>28042771.640000001</v>
      </c>
      <c r="EF62" s="92">
        <v>0.96941870924517282</v>
      </c>
      <c r="EG62" s="4">
        <v>26855825.100000005</v>
      </c>
      <c r="EH62" s="92">
        <v>0.95810903227571587</v>
      </c>
      <c r="EI62" s="4">
        <v>27073806.149999995</v>
      </c>
      <c r="EJ62" s="92">
        <v>0.95809114081943825</v>
      </c>
      <c r="EK62" s="4">
        <v>28024588.550000001</v>
      </c>
      <c r="EL62" s="92">
        <v>0.95836707068632321</v>
      </c>
      <c r="EM62" s="4">
        <v>20830144.059999991</v>
      </c>
      <c r="EN62" s="92">
        <v>0.95215290668714991</v>
      </c>
      <c r="EO62" s="4">
        <v>22555290.120000001</v>
      </c>
      <c r="EP62" s="92">
        <v>0.95175388879041789</v>
      </c>
      <c r="EQ62" s="4">
        <v>24830017.02</v>
      </c>
      <c r="ER62" s="92">
        <v>0.95809774944185244</v>
      </c>
      <c r="ES62" s="4">
        <f t="shared" si="5"/>
        <v>21747667.100000001</v>
      </c>
      <c r="ET62" s="92">
        <f>ES62/ES68</f>
        <v>0.94802775493038871</v>
      </c>
      <c r="EU62" s="221">
        <f>IF( SUM($EQ62:ES62)&lt;0, "n/a", SUM($EQ62:ES62)/EU$74)</f>
        <v>23288842.539048873</v>
      </c>
      <c r="EV62" s="223">
        <f>EU62/EU68</f>
        <v>0.95336945848639065</v>
      </c>
      <c r="EW62" s="22"/>
      <c r="EX62" s="98"/>
      <c r="EY62" s="204"/>
      <c r="EZ62" s="204"/>
      <c r="FA62" s="209"/>
    </row>
    <row r="63" spans="1:157" ht="16.5" customHeight="1" x14ac:dyDescent="0.3">
      <c r="A63" s="10"/>
      <c r="B63" s="14" t="s">
        <v>107</v>
      </c>
      <c r="C63" s="4">
        <v>0</v>
      </c>
      <c r="D63" s="92">
        <v>0</v>
      </c>
      <c r="E63" s="4">
        <v>0</v>
      </c>
      <c r="F63" s="92">
        <v>0</v>
      </c>
      <c r="G63" s="4">
        <v>0</v>
      </c>
      <c r="H63" s="92">
        <v>0</v>
      </c>
      <c r="I63" s="4">
        <v>0</v>
      </c>
      <c r="J63" s="92">
        <v>0</v>
      </c>
      <c r="K63" s="4">
        <v>0</v>
      </c>
      <c r="L63" s="92">
        <v>0</v>
      </c>
      <c r="M63" s="4">
        <v>0</v>
      </c>
      <c r="N63" s="92">
        <v>0</v>
      </c>
      <c r="O63" s="4">
        <v>0</v>
      </c>
      <c r="P63" s="92">
        <v>0</v>
      </c>
      <c r="Q63" s="4">
        <v>0</v>
      </c>
      <c r="R63" s="92">
        <v>0</v>
      </c>
      <c r="S63" s="4">
        <v>0</v>
      </c>
      <c r="T63" s="92">
        <v>0</v>
      </c>
      <c r="U63" s="4">
        <v>0</v>
      </c>
      <c r="V63" s="92">
        <v>0</v>
      </c>
      <c r="W63" s="4">
        <v>0</v>
      </c>
      <c r="X63" s="92">
        <v>0</v>
      </c>
      <c r="Y63" s="4">
        <v>0</v>
      </c>
      <c r="Z63" s="92">
        <v>0</v>
      </c>
      <c r="AA63" s="4">
        <v>0</v>
      </c>
      <c r="AB63" s="92">
        <v>0</v>
      </c>
      <c r="AC63" s="4">
        <v>0</v>
      </c>
      <c r="AD63" s="92">
        <v>0</v>
      </c>
      <c r="AE63" s="4">
        <v>0</v>
      </c>
      <c r="AF63" s="92">
        <v>0</v>
      </c>
      <c r="AG63" s="4">
        <v>0</v>
      </c>
      <c r="AH63" s="92">
        <v>0</v>
      </c>
      <c r="AI63" s="4">
        <v>0</v>
      </c>
      <c r="AJ63" s="92">
        <v>0</v>
      </c>
      <c r="AK63" s="4">
        <v>0</v>
      </c>
      <c r="AL63" s="92">
        <v>0</v>
      </c>
      <c r="AM63" s="4">
        <v>0</v>
      </c>
      <c r="AN63" s="92">
        <v>0</v>
      </c>
      <c r="AO63" s="4">
        <v>0</v>
      </c>
      <c r="AP63" s="92">
        <v>0</v>
      </c>
      <c r="AQ63" s="4">
        <v>0</v>
      </c>
      <c r="AR63" s="92">
        <v>0</v>
      </c>
      <c r="AS63" s="4">
        <v>0</v>
      </c>
      <c r="AT63" s="92">
        <v>0</v>
      </c>
      <c r="AU63" s="4">
        <v>0</v>
      </c>
      <c r="AV63" s="92">
        <v>0</v>
      </c>
      <c r="AW63" s="4">
        <v>0</v>
      </c>
      <c r="AX63" s="92">
        <v>0</v>
      </c>
      <c r="AY63" s="4">
        <v>0</v>
      </c>
      <c r="AZ63" s="92">
        <v>0</v>
      </c>
      <c r="BA63" s="4">
        <v>0</v>
      </c>
      <c r="BB63" s="92">
        <v>0</v>
      </c>
      <c r="BC63" s="4">
        <v>0</v>
      </c>
      <c r="BD63" s="92">
        <v>0</v>
      </c>
      <c r="BE63" s="4">
        <v>0</v>
      </c>
      <c r="BF63" s="92">
        <v>0</v>
      </c>
      <c r="BG63" s="4">
        <v>0</v>
      </c>
      <c r="BH63" s="92">
        <v>0</v>
      </c>
      <c r="BI63" s="4">
        <v>0</v>
      </c>
      <c r="BJ63" s="92">
        <v>0</v>
      </c>
      <c r="BK63" s="4">
        <v>0</v>
      </c>
      <c r="BL63" s="92">
        <v>0</v>
      </c>
      <c r="BM63" s="4">
        <v>0</v>
      </c>
      <c r="BN63" s="92">
        <v>0</v>
      </c>
      <c r="BO63" s="4">
        <v>0</v>
      </c>
      <c r="BP63" s="92">
        <v>0</v>
      </c>
      <c r="BQ63" s="4">
        <v>0</v>
      </c>
      <c r="BR63" s="92">
        <v>0</v>
      </c>
      <c r="BS63" s="4">
        <v>0</v>
      </c>
      <c r="BT63" s="92">
        <v>0</v>
      </c>
      <c r="BU63" s="4">
        <v>0</v>
      </c>
      <c r="BV63" s="92">
        <v>0</v>
      </c>
      <c r="BW63" s="4">
        <v>0</v>
      </c>
      <c r="BX63" s="92">
        <v>0</v>
      </c>
      <c r="BY63" s="4">
        <v>0</v>
      </c>
      <c r="BZ63" s="92">
        <v>0</v>
      </c>
      <c r="CA63" s="4">
        <v>0</v>
      </c>
      <c r="CB63" s="92">
        <v>0</v>
      </c>
      <c r="CC63" s="4">
        <v>0</v>
      </c>
      <c r="CD63" s="92">
        <v>0</v>
      </c>
      <c r="CE63" s="4">
        <v>0</v>
      </c>
      <c r="CF63" s="92">
        <v>0</v>
      </c>
      <c r="CG63" s="4">
        <v>0</v>
      </c>
      <c r="CH63" s="92">
        <v>0</v>
      </c>
      <c r="CI63" s="4">
        <v>0</v>
      </c>
      <c r="CJ63" s="92">
        <v>0</v>
      </c>
      <c r="CK63" s="4">
        <v>0</v>
      </c>
      <c r="CL63" s="92">
        <v>0</v>
      </c>
      <c r="CM63" s="4">
        <v>0</v>
      </c>
      <c r="CN63" s="92">
        <v>0</v>
      </c>
      <c r="CO63" s="4">
        <v>0</v>
      </c>
      <c r="CP63" s="92">
        <v>0</v>
      </c>
      <c r="CQ63" s="4">
        <v>0</v>
      </c>
      <c r="CR63" s="92">
        <v>0</v>
      </c>
      <c r="CS63" s="4">
        <v>0</v>
      </c>
      <c r="CT63" s="92">
        <v>0</v>
      </c>
      <c r="CU63" s="4">
        <v>0</v>
      </c>
      <c r="CV63" s="92">
        <v>0</v>
      </c>
      <c r="CW63" s="4">
        <v>0</v>
      </c>
      <c r="CX63" s="92">
        <v>0</v>
      </c>
      <c r="CY63" s="4">
        <v>0</v>
      </c>
      <c r="CZ63" s="92">
        <v>0</v>
      </c>
      <c r="DA63" s="4">
        <v>0</v>
      </c>
      <c r="DB63" s="92">
        <v>0</v>
      </c>
      <c r="DC63" s="4">
        <v>0</v>
      </c>
      <c r="DD63" s="92">
        <v>0</v>
      </c>
      <c r="DE63" s="4">
        <v>0</v>
      </c>
      <c r="DF63" s="92">
        <v>0</v>
      </c>
      <c r="DG63" s="4">
        <v>0</v>
      </c>
      <c r="DH63" s="92">
        <v>0</v>
      </c>
      <c r="DI63" s="4">
        <v>0</v>
      </c>
      <c r="DJ63" s="92">
        <v>0</v>
      </c>
      <c r="DK63" s="4">
        <v>0</v>
      </c>
      <c r="DL63" s="92">
        <v>0</v>
      </c>
      <c r="DM63" s="4">
        <v>0</v>
      </c>
      <c r="DN63" s="92">
        <v>0</v>
      </c>
      <c r="DO63" s="4">
        <v>0</v>
      </c>
      <c r="DP63" s="92">
        <v>0</v>
      </c>
      <c r="DQ63" s="4">
        <v>0</v>
      </c>
      <c r="DR63" s="92">
        <v>0</v>
      </c>
      <c r="DS63" s="4">
        <v>0</v>
      </c>
      <c r="DT63" s="92">
        <v>0</v>
      </c>
      <c r="DU63" s="4">
        <v>0</v>
      </c>
      <c r="DV63" s="92">
        <v>0</v>
      </c>
      <c r="DW63" s="4">
        <v>0</v>
      </c>
      <c r="DX63" s="92">
        <v>0</v>
      </c>
      <c r="DY63" s="4">
        <v>0</v>
      </c>
      <c r="DZ63" s="92">
        <v>0</v>
      </c>
      <c r="EA63" s="4">
        <v>0</v>
      </c>
      <c r="EB63" s="92">
        <v>0</v>
      </c>
      <c r="EC63" s="4">
        <v>0</v>
      </c>
      <c r="ED63" s="92">
        <v>0</v>
      </c>
      <c r="EE63" s="4">
        <v>0</v>
      </c>
      <c r="EF63" s="92">
        <v>0</v>
      </c>
      <c r="EG63" s="4">
        <v>0</v>
      </c>
      <c r="EH63" s="92">
        <v>0</v>
      </c>
      <c r="EI63" s="4">
        <v>0</v>
      </c>
      <c r="EJ63" s="92">
        <v>0</v>
      </c>
      <c r="EK63" s="4">
        <v>0</v>
      </c>
      <c r="EL63" s="92">
        <v>0</v>
      </c>
      <c r="EM63" s="4">
        <v>0</v>
      </c>
      <c r="EN63" s="92">
        <v>0</v>
      </c>
      <c r="EO63" s="4">
        <v>0</v>
      </c>
      <c r="EP63" s="92">
        <v>0</v>
      </c>
      <c r="EQ63" s="4">
        <v>0</v>
      </c>
      <c r="ER63" s="92">
        <v>0</v>
      </c>
      <c r="ES63" s="4">
        <f t="shared" si="5"/>
        <v>0</v>
      </c>
      <c r="ET63" s="92">
        <f>ES63/ES68</f>
        <v>0</v>
      </c>
      <c r="EU63" s="221">
        <f>IF( SUM($EQ63:ES63)&lt;0, "n/a", SUM($EQ63:ES63)/EU$74)</f>
        <v>0</v>
      </c>
      <c r="EV63" s="224">
        <f>EU63/EU68</f>
        <v>0</v>
      </c>
      <c r="EW63" s="22"/>
      <c r="EX63" s="98"/>
      <c r="EY63" s="204"/>
      <c r="EZ63" s="204"/>
      <c r="FA63" s="209"/>
    </row>
    <row r="64" spans="1:157" ht="16.5" customHeight="1" x14ac:dyDescent="0.3">
      <c r="A64" s="11"/>
      <c r="B64" s="14" t="s">
        <v>80</v>
      </c>
      <c r="C64" s="4">
        <v>3538572.6</v>
      </c>
      <c r="D64" s="92">
        <v>0.10025441379317809</v>
      </c>
      <c r="E64" s="4">
        <v>2829419.05</v>
      </c>
      <c r="F64" s="92">
        <v>8.5484915775153436E-2</v>
      </c>
      <c r="G64" s="4">
        <v>3268058.38</v>
      </c>
      <c r="H64" s="92">
        <v>7.8618352668915148E-2</v>
      </c>
      <c r="I64" s="4">
        <v>1865299.32</v>
      </c>
      <c r="J64" s="92">
        <v>6.60471166088758E-2</v>
      </c>
      <c r="K64" s="4">
        <v>2156594.0299999998</v>
      </c>
      <c r="L64" s="92">
        <v>7.5024098166402153E-2</v>
      </c>
      <c r="M64" s="4">
        <v>2660686.27</v>
      </c>
      <c r="N64" s="92">
        <v>7.6263163540104373E-2</v>
      </c>
      <c r="O64" s="4">
        <v>3159630.88</v>
      </c>
      <c r="P64" s="92">
        <v>9.392310006833636E-2</v>
      </c>
      <c r="Q64" s="4">
        <v>2697848.31</v>
      </c>
      <c r="R64" s="92">
        <v>8.415552846408289E-2</v>
      </c>
      <c r="S64" s="4">
        <v>2664319.44</v>
      </c>
      <c r="T64" s="92">
        <v>7.9814395471508925E-2</v>
      </c>
      <c r="U64" s="4">
        <v>2620936.04</v>
      </c>
      <c r="V64" s="92">
        <v>7.4298979982609994E-2</v>
      </c>
      <c r="W64" s="4">
        <v>2629621.3199999998</v>
      </c>
      <c r="X64" s="92">
        <v>7.7376401568093389E-2</v>
      </c>
      <c r="Y64" s="4">
        <v>2755156.96</v>
      </c>
      <c r="Z64" s="92">
        <v>8.2470125501119429E-2</v>
      </c>
      <c r="AA64" s="4">
        <v>2646746.35</v>
      </c>
      <c r="AB64" s="92">
        <v>8.3897623834289475E-2</v>
      </c>
      <c r="AC64" s="4">
        <v>2296516.4900000002</v>
      </c>
      <c r="AD64" s="92">
        <v>8.1423893829518867E-2</v>
      </c>
      <c r="AE64" s="4">
        <v>3125276.89</v>
      </c>
      <c r="AF64" s="92">
        <v>8.3223981406728736E-2</v>
      </c>
      <c r="AG64" s="4">
        <v>2451736.4</v>
      </c>
      <c r="AH64" s="92">
        <v>6.7941088477060402E-2</v>
      </c>
      <c r="AI64" s="4">
        <v>1977084.55</v>
      </c>
      <c r="AJ64" s="92">
        <v>6.1895196210540286E-2</v>
      </c>
      <c r="AK64" s="4">
        <v>2799340.39</v>
      </c>
      <c r="AL64" s="92">
        <v>8.1079932355489992E-2</v>
      </c>
      <c r="AM64" s="4">
        <v>3241865.54</v>
      </c>
      <c r="AN64" s="92">
        <v>9.3115706994985878E-2</v>
      </c>
      <c r="AO64" s="4">
        <v>2597839.37</v>
      </c>
      <c r="AP64" s="92">
        <v>7.471146693599523E-2</v>
      </c>
      <c r="AQ64" s="4">
        <v>2632539.54</v>
      </c>
      <c r="AR64" s="92">
        <v>7.3999304120152806E-2</v>
      </c>
      <c r="AS64" s="4">
        <v>2892670.59</v>
      </c>
      <c r="AT64" s="92">
        <v>8.1227701069436498E-2</v>
      </c>
      <c r="AU64" s="4">
        <v>2744859.25</v>
      </c>
      <c r="AV64" s="92">
        <v>7.7814451947960064E-2</v>
      </c>
      <c r="AW64" s="4">
        <v>2898940.83</v>
      </c>
      <c r="AX64" s="92">
        <v>8.8821079325740557E-2</v>
      </c>
      <c r="AY64" s="4">
        <v>2932807.73</v>
      </c>
      <c r="AZ64" s="92">
        <v>9.414620379297807E-2</v>
      </c>
      <c r="BA64" s="4">
        <v>2446701.3899999997</v>
      </c>
      <c r="BB64" s="92">
        <v>8.0992639653145473E-2</v>
      </c>
      <c r="BC64" s="4">
        <v>3341498.65</v>
      </c>
      <c r="BD64" s="92">
        <v>9.3147706268055477E-2</v>
      </c>
      <c r="BE64" s="4">
        <v>2838160.8400000003</v>
      </c>
      <c r="BF64" s="92">
        <v>8.3914791867675698E-2</v>
      </c>
      <c r="BG64" s="4">
        <v>3015662.08</v>
      </c>
      <c r="BH64" s="92">
        <v>8.8754985904267253E-2</v>
      </c>
      <c r="BI64" s="4">
        <v>3213226.48</v>
      </c>
      <c r="BJ64" s="92">
        <v>9.2632610479672833E-2</v>
      </c>
      <c r="BK64" s="4">
        <v>2925956.31</v>
      </c>
      <c r="BL64" s="92">
        <v>8.4821269032215874E-2</v>
      </c>
      <c r="BM64" s="4">
        <v>2574769.85</v>
      </c>
      <c r="BN64" s="92">
        <v>6.7025640709455978E-2</v>
      </c>
      <c r="BO64" s="4">
        <v>2137112.36</v>
      </c>
      <c r="BP64" s="92">
        <v>5.7807479293774014E-2</v>
      </c>
      <c r="BQ64" s="4">
        <v>2425551.02</v>
      </c>
      <c r="BR64" s="92">
        <v>6.3817290703382129E-2</v>
      </c>
      <c r="BS64" s="4">
        <v>2044175.76</v>
      </c>
      <c r="BT64" s="92">
        <v>5.7086094012820644E-2</v>
      </c>
      <c r="BU64" s="4">
        <v>1505814.67</v>
      </c>
      <c r="BV64" s="92">
        <v>4.9050304219805101E-2</v>
      </c>
      <c r="BW64" s="4">
        <v>1678094.82</v>
      </c>
      <c r="BX64" s="92">
        <v>5.0220799835255403E-2</v>
      </c>
      <c r="BY64" s="4">
        <v>1657629.85</v>
      </c>
      <c r="BZ64" s="92">
        <v>6.0091293561815327E-2</v>
      </c>
      <c r="CA64" s="4">
        <v>1690532.72</v>
      </c>
      <c r="CB64" s="92">
        <v>4.8541172038143877E-2</v>
      </c>
      <c r="CC64" s="4">
        <v>1418804.98</v>
      </c>
      <c r="CD64" s="92">
        <v>4.6581381877380326E-2</v>
      </c>
      <c r="CE64" s="4">
        <v>1811286.53</v>
      </c>
      <c r="CF64" s="92">
        <v>5.3052881047659484E-2</v>
      </c>
      <c r="CG64" s="4">
        <v>2164039.86</v>
      </c>
      <c r="CH64" s="92">
        <v>6.2500034747675251E-2</v>
      </c>
      <c r="CI64" s="4">
        <v>1644032.78</v>
      </c>
      <c r="CJ64" s="92">
        <v>5.1915261233543106E-2</v>
      </c>
      <c r="CK64" s="4">
        <v>1884824.93</v>
      </c>
      <c r="CL64" s="92">
        <v>5.1014477042066221E-2</v>
      </c>
      <c r="CM64" s="4">
        <v>1565970.41</v>
      </c>
      <c r="CN64" s="92">
        <v>4.586071217968278E-2</v>
      </c>
      <c r="CO64" s="4">
        <v>1937893.1</v>
      </c>
      <c r="CP64" s="92">
        <v>5.4818406756107808E-2</v>
      </c>
      <c r="CQ64" s="4">
        <v>1921623.02</v>
      </c>
      <c r="CR64" s="92">
        <v>5.922733593501639E-2</v>
      </c>
      <c r="CS64" s="4">
        <v>1229308.44</v>
      </c>
      <c r="CT64" s="92">
        <v>3.9836082912772797E-2</v>
      </c>
      <c r="CU64" s="4">
        <v>1824030.26</v>
      </c>
      <c r="CV64" s="92">
        <v>5.8105352757491201E-2</v>
      </c>
      <c r="CW64" s="4">
        <v>1416695.47</v>
      </c>
      <c r="CX64" s="92">
        <v>5.0079469022309864E-2</v>
      </c>
      <c r="CY64" s="4">
        <v>1691746.27</v>
      </c>
      <c r="CZ64" s="92">
        <v>5.7910970436377038E-2</v>
      </c>
      <c r="DA64" s="4">
        <v>1489397.87</v>
      </c>
      <c r="DB64" s="92">
        <v>4.6107264733646659E-2</v>
      </c>
      <c r="DC64" s="4">
        <v>1338028.1499999999</v>
      </c>
      <c r="DD64" s="92">
        <v>4.2047204639250414E-2</v>
      </c>
      <c r="DE64" s="4">
        <v>960791.66</v>
      </c>
      <c r="DF64" s="92">
        <v>3.249694332274862E-2</v>
      </c>
      <c r="DG64" s="4">
        <v>1455476.4</v>
      </c>
      <c r="DH64" s="92">
        <v>4.8055462868860199E-2</v>
      </c>
      <c r="DI64" s="4">
        <v>1154870.53</v>
      </c>
      <c r="DJ64" s="92">
        <v>3.6501400703273984E-2</v>
      </c>
      <c r="DK64" s="4">
        <v>993283.41</v>
      </c>
      <c r="DL64" s="92">
        <v>3.5780204332528334E-2</v>
      </c>
      <c r="DM64" s="4">
        <v>1218811.8400000001</v>
      </c>
      <c r="DN64" s="92">
        <v>3.6162845906054959E-2</v>
      </c>
      <c r="DO64" s="4">
        <v>1007922</v>
      </c>
      <c r="DP64" s="92">
        <v>3.2942271522903167E-2</v>
      </c>
      <c r="DQ64" s="4">
        <v>1247931.3500000001</v>
      </c>
      <c r="DR64" s="92">
        <v>4.3539052992245732E-2</v>
      </c>
      <c r="DS64" s="4">
        <v>1321790.75</v>
      </c>
      <c r="DT64" s="92">
        <v>4.2979520766334024E-2</v>
      </c>
      <c r="DU64" s="4">
        <v>785105.13</v>
      </c>
      <c r="DV64" s="92">
        <v>2.937777696828206E-2</v>
      </c>
      <c r="DW64" s="4">
        <v>1060490.58</v>
      </c>
      <c r="DX64" s="92">
        <v>3.971378421057304E-2</v>
      </c>
      <c r="DY64" s="4">
        <v>936213.5</v>
      </c>
      <c r="DZ64" s="92">
        <v>3.7712916414141075E-2</v>
      </c>
      <c r="EA64" s="4">
        <v>1117992.83</v>
      </c>
      <c r="EB64" s="92">
        <v>4.2187502284738651E-2</v>
      </c>
      <c r="EC64" s="4">
        <v>980623.69</v>
      </c>
      <c r="ED64" s="92">
        <v>3.8843754431424703E-2</v>
      </c>
      <c r="EE64" s="4">
        <v>880504.13</v>
      </c>
      <c r="EF64" s="92">
        <v>3.0438402742334773E-2</v>
      </c>
      <c r="EG64" s="4">
        <v>1172880.1399999999</v>
      </c>
      <c r="EH64" s="92">
        <v>4.1843698777692957E-2</v>
      </c>
      <c r="EI64" s="4">
        <v>1184056</v>
      </c>
      <c r="EJ64" s="92">
        <v>4.1901517560880557E-2</v>
      </c>
      <c r="EK64" s="4">
        <v>1215019.8700000001</v>
      </c>
      <c r="EL64" s="92">
        <v>4.1550477415932562E-2</v>
      </c>
      <c r="EM64" s="4">
        <v>1046259.89</v>
      </c>
      <c r="EN64" s="92">
        <v>4.7824892259227043E-2</v>
      </c>
      <c r="EO64" s="4">
        <v>1142630.8600000001</v>
      </c>
      <c r="EP64" s="92">
        <v>4.8215002275348237E-2</v>
      </c>
      <c r="EQ64" s="4">
        <v>1084608.68</v>
      </c>
      <c r="ER64" s="92">
        <v>4.1851003746637715E-2</v>
      </c>
      <c r="ES64" s="4">
        <f t="shared" si="5"/>
        <v>1191397.3500000001</v>
      </c>
      <c r="ET64" s="92">
        <f>ES64/ES68</f>
        <v>5.1935582320483224E-2</v>
      </c>
      <c r="EU64" s="221">
        <f>IF( SUM($EQ64:ES64)&lt;0, "n/a", SUM($EQ64:ES64)/EU$74)</f>
        <v>1138003.035925502</v>
      </c>
      <c r="EV64" s="224">
        <f>EU64/EU68</f>
        <v>4.6586142540017951E-2</v>
      </c>
      <c r="EW64" s="22"/>
      <c r="EX64" s="98"/>
      <c r="EY64" s="204"/>
      <c r="EZ64" s="204"/>
      <c r="FA64" s="209"/>
    </row>
    <row r="65" spans="1:157" ht="16.5" customHeight="1" x14ac:dyDescent="0.3">
      <c r="A65" s="11"/>
      <c r="B65" s="14" t="s">
        <v>81</v>
      </c>
      <c r="C65" s="4">
        <v>0</v>
      </c>
      <c r="D65" s="92">
        <v>0</v>
      </c>
      <c r="E65" s="4">
        <v>0</v>
      </c>
      <c r="F65" s="92">
        <v>0</v>
      </c>
      <c r="G65" s="4">
        <v>0</v>
      </c>
      <c r="H65" s="92">
        <v>0</v>
      </c>
      <c r="I65" s="4">
        <v>0</v>
      </c>
      <c r="J65" s="92">
        <v>0</v>
      </c>
      <c r="K65" s="4">
        <v>0</v>
      </c>
      <c r="L65" s="92">
        <v>0</v>
      </c>
      <c r="M65" s="4">
        <v>0</v>
      </c>
      <c r="N65" s="92">
        <v>0</v>
      </c>
      <c r="O65" s="4">
        <v>0</v>
      </c>
      <c r="P65" s="92">
        <v>0</v>
      </c>
      <c r="Q65" s="4">
        <v>0</v>
      </c>
      <c r="R65" s="92">
        <v>0</v>
      </c>
      <c r="S65" s="4">
        <v>0</v>
      </c>
      <c r="T65" s="92">
        <v>0</v>
      </c>
      <c r="U65" s="4">
        <v>0</v>
      </c>
      <c r="V65" s="92">
        <v>0</v>
      </c>
      <c r="W65" s="4">
        <v>0</v>
      </c>
      <c r="X65" s="92">
        <v>0</v>
      </c>
      <c r="Y65" s="4">
        <v>0</v>
      </c>
      <c r="Z65" s="92">
        <v>0</v>
      </c>
      <c r="AA65" s="4">
        <v>0</v>
      </c>
      <c r="AB65" s="92">
        <v>0</v>
      </c>
      <c r="AC65" s="4">
        <v>0</v>
      </c>
      <c r="AD65" s="92">
        <v>0</v>
      </c>
      <c r="AE65" s="4">
        <v>0</v>
      </c>
      <c r="AF65" s="92">
        <v>0</v>
      </c>
      <c r="AG65" s="4">
        <v>0</v>
      </c>
      <c r="AH65" s="92">
        <v>0</v>
      </c>
      <c r="AI65" s="4">
        <v>0</v>
      </c>
      <c r="AJ65" s="92">
        <v>0</v>
      </c>
      <c r="AK65" s="4">
        <v>0</v>
      </c>
      <c r="AL65" s="92">
        <v>0</v>
      </c>
      <c r="AM65" s="4">
        <v>0</v>
      </c>
      <c r="AN65" s="92">
        <v>0</v>
      </c>
      <c r="AO65" s="4">
        <v>0</v>
      </c>
      <c r="AP65" s="92">
        <v>0</v>
      </c>
      <c r="AQ65" s="4">
        <v>0</v>
      </c>
      <c r="AR65" s="92">
        <v>0</v>
      </c>
      <c r="AS65" s="4">
        <v>0</v>
      </c>
      <c r="AT65" s="92">
        <v>0</v>
      </c>
      <c r="AU65" s="4">
        <v>0</v>
      </c>
      <c r="AV65" s="92">
        <v>0</v>
      </c>
      <c r="AW65" s="4">
        <v>0</v>
      </c>
      <c r="AX65" s="92">
        <v>0</v>
      </c>
      <c r="AY65" s="4">
        <v>0</v>
      </c>
      <c r="AZ65" s="92">
        <v>0</v>
      </c>
      <c r="BA65" s="4">
        <v>0</v>
      </c>
      <c r="BB65" s="92">
        <v>0</v>
      </c>
      <c r="BC65" s="4">
        <v>0</v>
      </c>
      <c r="BD65" s="92">
        <v>0</v>
      </c>
      <c r="BE65" s="4">
        <v>0</v>
      </c>
      <c r="BF65" s="92">
        <v>0</v>
      </c>
      <c r="BG65" s="4">
        <v>0</v>
      </c>
      <c r="BH65" s="92">
        <v>0</v>
      </c>
      <c r="BI65" s="4">
        <v>0</v>
      </c>
      <c r="BJ65" s="92">
        <v>0</v>
      </c>
      <c r="BK65" s="4">
        <v>0</v>
      </c>
      <c r="BL65" s="92">
        <v>0</v>
      </c>
      <c r="BM65" s="4">
        <v>0</v>
      </c>
      <c r="BN65" s="92">
        <v>0</v>
      </c>
      <c r="BO65" s="4">
        <v>0</v>
      </c>
      <c r="BP65" s="92">
        <v>0</v>
      </c>
      <c r="BQ65" s="4">
        <v>0</v>
      </c>
      <c r="BR65" s="92">
        <v>0</v>
      </c>
      <c r="BS65" s="4">
        <v>0</v>
      </c>
      <c r="BT65" s="92">
        <v>0</v>
      </c>
      <c r="BU65" s="4">
        <v>0</v>
      </c>
      <c r="BV65" s="92">
        <v>0</v>
      </c>
      <c r="BW65" s="4">
        <v>0</v>
      </c>
      <c r="BX65" s="92">
        <v>0</v>
      </c>
      <c r="BY65" s="4">
        <v>0</v>
      </c>
      <c r="BZ65" s="92">
        <v>0</v>
      </c>
      <c r="CA65" s="4">
        <v>0</v>
      </c>
      <c r="CB65" s="92">
        <v>0</v>
      </c>
      <c r="CC65" s="4">
        <v>0</v>
      </c>
      <c r="CD65" s="92">
        <v>0</v>
      </c>
      <c r="CE65" s="4">
        <v>0</v>
      </c>
      <c r="CF65" s="92">
        <v>0</v>
      </c>
      <c r="CG65" s="4">
        <v>0</v>
      </c>
      <c r="CH65" s="92">
        <v>0</v>
      </c>
      <c r="CI65" s="4">
        <v>0</v>
      </c>
      <c r="CJ65" s="92">
        <v>0</v>
      </c>
      <c r="CK65" s="4">
        <v>0</v>
      </c>
      <c r="CL65" s="92">
        <v>0</v>
      </c>
      <c r="CM65" s="4">
        <v>0</v>
      </c>
      <c r="CN65" s="92">
        <v>0</v>
      </c>
      <c r="CO65" s="4">
        <v>0</v>
      </c>
      <c r="CP65" s="92">
        <v>0</v>
      </c>
      <c r="CQ65" s="4">
        <v>0</v>
      </c>
      <c r="CR65" s="92">
        <v>0</v>
      </c>
      <c r="CS65" s="4">
        <v>0</v>
      </c>
      <c r="CT65" s="92">
        <v>0</v>
      </c>
      <c r="CU65" s="4">
        <v>0</v>
      </c>
      <c r="CV65" s="92">
        <v>0</v>
      </c>
      <c r="CW65" s="4">
        <v>0</v>
      </c>
      <c r="CX65" s="92">
        <v>0</v>
      </c>
      <c r="CY65" s="4">
        <v>0</v>
      </c>
      <c r="CZ65" s="92">
        <v>0</v>
      </c>
      <c r="DA65" s="4">
        <v>0</v>
      </c>
      <c r="DB65" s="92">
        <v>0</v>
      </c>
      <c r="DC65" s="4">
        <v>0</v>
      </c>
      <c r="DD65" s="92">
        <v>0</v>
      </c>
      <c r="DE65" s="4">
        <v>0</v>
      </c>
      <c r="DF65" s="92">
        <v>0</v>
      </c>
      <c r="DG65" s="4">
        <v>0</v>
      </c>
      <c r="DH65" s="92">
        <v>0</v>
      </c>
      <c r="DI65" s="4">
        <v>0</v>
      </c>
      <c r="DJ65" s="92">
        <v>0</v>
      </c>
      <c r="DK65" s="4">
        <v>0</v>
      </c>
      <c r="DL65" s="92">
        <v>0</v>
      </c>
      <c r="DM65" s="4">
        <v>0</v>
      </c>
      <c r="DN65" s="92">
        <v>0</v>
      </c>
      <c r="DO65" s="4">
        <v>0</v>
      </c>
      <c r="DP65" s="92">
        <v>0</v>
      </c>
      <c r="DQ65" s="4">
        <v>0</v>
      </c>
      <c r="DR65" s="92">
        <v>0</v>
      </c>
      <c r="DS65" s="4">
        <v>0</v>
      </c>
      <c r="DT65" s="92">
        <v>0</v>
      </c>
      <c r="DU65" s="4">
        <v>0</v>
      </c>
      <c r="DV65" s="92">
        <v>0</v>
      </c>
      <c r="DW65" s="4">
        <v>0</v>
      </c>
      <c r="DX65" s="92">
        <v>0</v>
      </c>
      <c r="DY65" s="4">
        <v>0</v>
      </c>
      <c r="DZ65" s="92">
        <v>0</v>
      </c>
      <c r="EA65" s="4">
        <v>0</v>
      </c>
      <c r="EB65" s="92">
        <v>0</v>
      </c>
      <c r="EC65" s="4">
        <v>0</v>
      </c>
      <c r="ED65" s="92">
        <v>0</v>
      </c>
      <c r="EE65" s="4">
        <v>0</v>
      </c>
      <c r="EF65" s="92">
        <v>0</v>
      </c>
      <c r="EG65" s="4">
        <v>0</v>
      </c>
      <c r="EH65" s="92">
        <v>0</v>
      </c>
      <c r="EI65" s="4">
        <v>0</v>
      </c>
      <c r="EJ65" s="92">
        <v>0</v>
      </c>
      <c r="EK65" s="4">
        <v>0</v>
      </c>
      <c r="EL65" s="92">
        <v>0</v>
      </c>
      <c r="EM65" s="4">
        <v>0</v>
      </c>
      <c r="EN65" s="92">
        <v>0</v>
      </c>
      <c r="EO65" s="4">
        <v>0</v>
      </c>
      <c r="EP65" s="92">
        <v>0</v>
      </c>
      <c r="EQ65" s="4">
        <v>0</v>
      </c>
      <c r="ER65" s="92">
        <v>0</v>
      </c>
      <c r="ES65" s="4">
        <f t="shared" si="5"/>
        <v>0</v>
      </c>
      <c r="ET65" s="92">
        <f>ES65/ES68</f>
        <v>0</v>
      </c>
      <c r="EU65" s="221">
        <f>IF( SUM($EQ65:ES65)&lt;0, "n/a", SUM($EQ65:ES65)/EU$74)</f>
        <v>0</v>
      </c>
      <c r="EV65" s="224">
        <f>EU65/EU68</f>
        <v>0</v>
      </c>
      <c r="EW65" s="22"/>
      <c r="EX65" s="98"/>
      <c r="EY65" s="204"/>
      <c r="EZ65" s="204"/>
      <c r="FA65" s="209"/>
    </row>
    <row r="66" spans="1:157" ht="16.5" customHeight="1" x14ac:dyDescent="0.3">
      <c r="A66" s="11" t="s">
        <v>92</v>
      </c>
      <c r="B66" s="14" t="s">
        <v>82</v>
      </c>
      <c r="C66" s="4">
        <v>4989.76</v>
      </c>
      <c r="D66" s="92">
        <v>1.4136928087010234E-4</v>
      </c>
      <c r="E66" s="4">
        <v>1310.1500000000001</v>
      </c>
      <c r="F66" s="92">
        <v>3.9583412857426432E-5</v>
      </c>
      <c r="G66" s="4">
        <v>1896.05</v>
      </c>
      <c r="H66" s="92">
        <v>4.5612504504248344E-5</v>
      </c>
      <c r="I66" s="4">
        <v>3010.19</v>
      </c>
      <c r="J66" s="92">
        <v>1.0658577302482039E-4</v>
      </c>
      <c r="K66" s="4">
        <v>2715.17</v>
      </c>
      <c r="L66" s="92">
        <v>9.4455969823152195E-5</v>
      </c>
      <c r="M66" s="4">
        <v>2456.0300000000002</v>
      </c>
      <c r="N66" s="92">
        <v>7.0397107566313167E-5</v>
      </c>
      <c r="O66" s="4">
        <v>2847.3</v>
      </c>
      <c r="P66" s="92">
        <v>8.4638760975957458E-5</v>
      </c>
      <c r="Q66" s="4">
        <v>2672.16</v>
      </c>
      <c r="R66" s="92">
        <v>8.3354218288345396E-5</v>
      </c>
      <c r="S66" s="4">
        <v>3169.91</v>
      </c>
      <c r="T66" s="92">
        <v>9.4960253845946811E-5</v>
      </c>
      <c r="U66" s="4">
        <v>45257.37</v>
      </c>
      <c r="V66" s="92">
        <v>1.2829677551748169E-3</v>
      </c>
      <c r="W66" s="4">
        <v>1074.3900000000001</v>
      </c>
      <c r="X66" s="92">
        <v>3.1613841676923989E-5</v>
      </c>
      <c r="Y66" s="4">
        <v>2005.08</v>
      </c>
      <c r="Z66" s="92">
        <v>6.0018068531305936E-5</v>
      </c>
      <c r="AA66" s="4">
        <v>994.4</v>
      </c>
      <c r="AB66" s="92">
        <v>3.1520888709572584E-5</v>
      </c>
      <c r="AC66" s="4">
        <v>438.72</v>
      </c>
      <c r="AD66" s="92">
        <v>1.555498985373561E-5</v>
      </c>
      <c r="AE66" s="4">
        <v>2471.9899999999998</v>
      </c>
      <c r="AF66" s="92">
        <v>6.5827399311687657E-5</v>
      </c>
      <c r="AG66" s="4">
        <v>365.68</v>
      </c>
      <c r="AH66" s="92">
        <v>1.0133510778031215E-5</v>
      </c>
      <c r="AI66" s="4">
        <v>1278</v>
      </c>
      <c r="AJ66" s="92">
        <v>4.0009447626845539E-5</v>
      </c>
      <c r="AK66" s="4">
        <v>899.57</v>
      </c>
      <c r="AL66" s="92">
        <v>2.6055093196089718E-5</v>
      </c>
      <c r="AM66" s="4">
        <v>1591.48</v>
      </c>
      <c r="AN66" s="92">
        <v>4.5711885190765851E-5</v>
      </c>
      <c r="AO66" s="4">
        <v>475.05</v>
      </c>
      <c r="AP66" s="92">
        <v>1.366200034451881E-5</v>
      </c>
      <c r="AQ66" s="4">
        <v>423.27</v>
      </c>
      <c r="AR66" s="92">
        <v>1.1897897440483298E-5</v>
      </c>
      <c r="AS66" s="4">
        <v>1100.3900000000001</v>
      </c>
      <c r="AT66" s="92">
        <v>3.0899525956668731E-5</v>
      </c>
      <c r="AU66" s="4">
        <v>350.41</v>
      </c>
      <c r="AV66" s="92">
        <v>9.9338288865211163E-6</v>
      </c>
      <c r="AW66" s="4">
        <v>496.3</v>
      </c>
      <c r="AX66" s="92">
        <v>1.5206209527693271E-5</v>
      </c>
      <c r="AY66" s="4">
        <v>903.67</v>
      </c>
      <c r="AZ66" s="92">
        <v>2.9008754686281628E-5</v>
      </c>
      <c r="BA66" s="4">
        <v>1047.32</v>
      </c>
      <c r="BB66" s="92">
        <v>3.4669212887287534E-5</v>
      </c>
      <c r="BC66" s="4">
        <v>755.46</v>
      </c>
      <c r="BD66" s="92">
        <v>2.1059223285116453E-5</v>
      </c>
      <c r="BE66" s="4">
        <v>513.52</v>
      </c>
      <c r="BF66" s="92">
        <v>1.5183045059521298E-5</v>
      </c>
      <c r="BG66" s="4">
        <v>364.16</v>
      </c>
      <c r="BH66" s="92">
        <v>1.0717717970210365E-5</v>
      </c>
      <c r="BI66" s="4">
        <v>229.88</v>
      </c>
      <c r="BJ66" s="92">
        <v>6.6271035140564356E-6</v>
      </c>
      <c r="BK66" s="4">
        <v>395.98</v>
      </c>
      <c r="BL66" s="92">
        <v>1.1479161871482914E-5</v>
      </c>
      <c r="BM66" s="4">
        <v>407.43</v>
      </c>
      <c r="BN66" s="92">
        <v>1.0606096228077881E-5</v>
      </c>
      <c r="BO66" s="4">
        <v>293.58999999999997</v>
      </c>
      <c r="BP66" s="92">
        <v>7.941415792410238E-6</v>
      </c>
      <c r="BQ66" s="4">
        <v>30.82</v>
      </c>
      <c r="BR66" s="92">
        <v>8.1088745743152302E-7</v>
      </c>
      <c r="BS66" s="4">
        <v>68.849999999999994</v>
      </c>
      <c r="BT66" s="92">
        <v>1.9227199782384178E-6</v>
      </c>
      <c r="BU66" s="4">
        <v>189.93</v>
      </c>
      <c r="BV66" s="92">
        <v>6.1867668485840849E-6</v>
      </c>
      <c r="BW66" s="4">
        <v>859.61</v>
      </c>
      <c r="BX66" s="92">
        <v>2.5725782138093897E-5</v>
      </c>
      <c r="BY66" s="4">
        <v>566.75</v>
      </c>
      <c r="BZ66" s="92">
        <v>2.0545443620093372E-5</v>
      </c>
      <c r="CA66" s="4">
        <v>1473.83</v>
      </c>
      <c r="CB66" s="92">
        <v>4.2318870695964754E-5</v>
      </c>
      <c r="CC66" s="4">
        <v>374.99</v>
      </c>
      <c r="CD66" s="92">
        <v>1.2311454101464211E-5</v>
      </c>
      <c r="CE66" s="4">
        <v>1076.3</v>
      </c>
      <c r="CF66" s="92">
        <v>3.1525004424118306E-5</v>
      </c>
      <c r="CG66" s="4">
        <v>1940.49</v>
      </c>
      <c r="CH66" s="92">
        <v>5.604364996655669E-5</v>
      </c>
      <c r="CI66" s="4">
        <v>1052.55</v>
      </c>
      <c r="CJ66" s="92">
        <v>3.3237420126967172E-5</v>
      </c>
      <c r="CK66" s="4">
        <v>665.38</v>
      </c>
      <c r="CL66" s="92">
        <v>1.8009106413002518E-5</v>
      </c>
      <c r="CM66" s="4">
        <v>628.04999999999995</v>
      </c>
      <c r="CN66" s="92">
        <v>1.8392953085524632E-5</v>
      </c>
      <c r="CO66" s="4">
        <v>432.95</v>
      </c>
      <c r="CP66" s="92">
        <v>1.2247130249370761E-5</v>
      </c>
      <c r="CQ66" s="4">
        <v>351.14</v>
      </c>
      <c r="CR66" s="92">
        <v>1.0822667361791728E-5</v>
      </c>
      <c r="CS66" s="4">
        <v>438.55</v>
      </c>
      <c r="CT66" s="92">
        <v>1.4211335083159853E-5</v>
      </c>
      <c r="CU66" s="4">
        <v>1387.98</v>
      </c>
      <c r="CV66" s="92">
        <v>4.421476402499081E-5</v>
      </c>
      <c r="CW66" s="4">
        <v>547.08000000000004</v>
      </c>
      <c r="CX66" s="92">
        <v>1.9339001565894243E-5</v>
      </c>
      <c r="CY66" s="4">
        <v>38326.46</v>
      </c>
      <c r="CZ66" s="92">
        <v>1.3119712638651109E-3</v>
      </c>
      <c r="DA66" s="4">
        <v>1046.1099999999999</v>
      </c>
      <c r="DB66" s="92">
        <v>3.238440962085913E-5</v>
      </c>
      <c r="DC66" s="4">
        <v>668.71</v>
      </c>
      <c r="DD66" s="92">
        <v>2.1014046837738914E-5</v>
      </c>
      <c r="DE66" s="4">
        <v>211.87</v>
      </c>
      <c r="DF66" s="92">
        <v>7.1660981963464895E-6</v>
      </c>
      <c r="DG66" s="4">
        <v>0</v>
      </c>
      <c r="DH66" s="92">
        <v>0</v>
      </c>
      <c r="DI66" s="4">
        <v>836.26</v>
      </c>
      <c r="DJ66" s="92">
        <v>2.6431241043201531E-5</v>
      </c>
      <c r="DK66" s="4">
        <v>100843.24</v>
      </c>
      <c r="DL66" s="92">
        <v>3.6325903527918528E-3</v>
      </c>
      <c r="DM66" s="4">
        <v>754.6</v>
      </c>
      <c r="DN66" s="92">
        <v>2.2389414530719584E-5</v>
      </c>
      <c r="DO66" s="4">
        <v>1191.3800000000001</v>
      </c>
      <c r="DP66" s="92">
        <v>3.8938294279672813E-5</v>
      </c>
      <c r="DQ66" s="4">
        <v>656.53</v>
      </c>
      <c r="DR66" s="92">
        <v>2.2905662607962437E-5</v>
      </c>
      <c r="DS66" s="4">
        <v>497.36</v>
      </c>
      <c r="DT66" s="92">
        <v>1.6172222757909216E-5</v>
      </c>
      <c r="DU66" s="4">
        <v>38039.870000000003</v>
      </c>
      <c r="DV66" s="92">
        <v>1.4234104122621688E-3</v>
      </c>
      <c r="DW66" s="4">
        <v>33585.11</v>
      </c>
      <c r="DX66" s="92">
        <v>1.2577120781481707E-3</v>
      </c>
      <c r="DY66" s="4">
        <v>634.25</v>
      </c>
      <c r="DZ66" s="92">
        <v>2.5549105236859942E-5</v>
      </c>
      <c r="EA66" s="4">
        <v>998</v>
      </c>
      <c r="EB66" s="92">
        <v>3.7659568246219583E-5</v>
      </c>
      <c r="EC66" s="4">
        <v>982.37</v>
      </c>
      <c r="ED66" s="92">
        <v>3.8912927996669841E-5</v>
      </c>
      <c r="EE66" s="4">
        <v>748.38</v>
      </c>
      <c r="EF66" s="92">
        <v>2.587096535743506E-5</v>
      </c>
      <c r="EG66" s="4">
        <v>1324.95</v>
      </c>
      <c r="EH66" s="92">
        <v>4.7268946591170257E-5</v>
      </c>
      <c r="EI66" s="4">
        <v>207.46</v>
      </c>
      <c r="EJ66" s="92">
        <v>7.3416196811470744E-6</v>
      </c>
      <c r="EK66" s="4">
        <v>2411.06</v>
      </c>
      <c r="EL66" s="92">
        <v>8.2451897744238825E-5</v>
      </c>
      <c r="EM66" s="4">
        <v>485.69</v>
      </c>
      <c r="EN66" s="92">
        <v>2.2201053622904328E-5</v>
      </c>
      <c r="EO66" s="4">
        <v>737.24</v>
      </c>
      <c r="EP66" s="92">
        <v>3.1108934233999007E-5</v>
      </c>
      <c r="EQ66" s="4">
        <v>1328.11</v>
      </c>
      <c r="ER66" s="92">
        <v>5.1246811509886697E-5</v>
      </c>
      <c r="ES66" s="4">
        <f t="shared" si="5"/>
        <v>841.04</v>
      </c>
      <c r="ET66" s="92">
        <f>ES66/ES68</f>
        <v>3.6662749128004355E-5</v>
      </c>
      <c r="EU66" s="221">
        <f>IF( SUM($EQ66:ES66)&lt;0, "n/a", SUM($EQ66:ES66)/EU$74)</f>
        <v>1084.5750256234057</v>
      </c>
      <c r="EV66" s="224">
        <f>EU66/EU68</f>
        <v>4.4398973591440605E-5</v>
      </c>
      <c r="EW66" s="22"/>
      <c r="EX66" s="98"/>
      <c r="EY66" s="204"/>
      <c r="EZ66" s="204"/>
      <c r="FA66" s="209"/>
    </row>
    <row r="67" spans="1:157" ht="16.5" customHeight="1" x14ac:dyDescent="0.3">
      <c r="A67" s="10"/>
      <c r="B67" s="14" t="s">
        <v>102</v>
      </c>
      <c r="C67" s="4">
        <v>0</v>
      </c>
      <c r="D67" s="92">
        <v>0</v>
      </c>
      <c r="E67" s="4">
        <v>9711.83</v>
      </c>
      <c r="F67" s="92">
        <v>2.9342241460225145E-4</v>
      </c>
      <c r="G67" s="4">
        <v>0</v>
      </c>
      <c r="H67" s="92">
        <v>0</v>
      </c>
      <c r="I67" s="4">
        <v>37070.03</v>
      </c>
      <c r="J67" s="92">
        <v>1.3125875122843684E-3</v>
      </c>
      <c r="K67" s="4">
        <v>0</v>
      </c>
      <c r="L67" s="92">
        <v>0</v>
      </c>
      <c r="M67" s="4">
        <v>0</v>
      </c>
      <c r="N67" s="92">
        <v>0</v>
      </c>
      <c r="O67" s="4">
        <v>0</v>
      </c>
      <c r="P67" s="92">
        <v>0</v>
      </c>
      <c r="Q67" s="4">
        <v>0</v>
      </c>
      <c r="R67" s="92">
        <v>0</v>
      </c>
      <c r="S67" s="4">
        <v>0</v>
      </c>
      <c r="T67" s="92">
        <v>0</v>
      </c>
      <c r="U67" s="4">
        <v>0</v>
      </c>
      <c r="V67" s="92">
        <v>0</v>
      </c>
      <c r="W67" s="4">
        <v>0</v>
      </c>
      <c r="X67" s="92">
        <v>0</v>
      </c>
      <c r="Y67" s="4">
        <v>0</v>
      </c>
      <c r="Z67" s="92">
        <v>0</v>
      </c>
      <c r="AA67" s="4">
        <v>0</v>
      </c>
      <c r="AB67" s="92">
        <v>0</v>
      </c>
      <c r="AC67" s="4">
        <v>0</v>
      </c>
      <c r="AD67" s="92">
        <v>0</v>
      </c>
      <c r="AE67" s="4">
        <v>0</v>
      </c>
      <c r="AF67" s="92">
        <v>0</v>
      </c>
      <c r="AG67" s="4">
        <v>0</v>
      </c>
      <c r="AH67" s="92">
        <v>0</v>
      </c>
      <c r="AI67" s="4">
        <v>0</v>
      </c>
      <c r="AJ67" s="92">
        <v>0</v>
      </c>
      <c r="AK67" s="4">
        <v>0</v>
      </c>
      <c r="AL67" s="92">
        <v>0</v>
      </c>
      <c r="AM67" s="4">
        <v>0</v>
      </c>
      <c r="AN67" s="92">
        <v>0</v>
      </c>
      <c r="AO67" s="4">
        <v>0</v>
      </c>
      <c r="AP67" s="92">
        <v>0</v>
      </c>
      <c r="AQ67" s="4">
        <v>0</v>
      </c>
      <c r="AR67" s="92">
        <v>0</v>
      </c>
      <c r="AS67" s="4">
        <v>0</v>
      </c>
      <c r="AT67" s="92">
        <v>0</v>
      </c>
      <c r="AU67" s="4">
        <v>0</v>
      </c>
      <c r="AV67" s="92">
        <v>0</v>
      </c>
      <c r="AW67" s="4">
        <v>0</v>
      </c>
      <c r="AX67" s="92">
        <v>0</v>
      </c>
      <c r="AY67" s="4">
        <v>0</v>
      </c>
      <c r="AZ67" s="92">
        <v>0</v>
      </c>
      <c r="BA67" s="4">
        <v>0</v>
      </c>
      <c r="BB67" s="92">
        <v>0</v>
      </c>
      <c r="BC67" s="4">
        <v>0</v>
      </c>
      <c r="BD67" s="92">
        <v>0</v>
      </c>
      <c r="BE67" s="4">
        <v>0</v>
      </c>
      <c r="BF67" s="92">
        <v>0</v>
      </c>
      <c r="BG67" s="4">
        <v>0</v>
      </c>
      <c r="BH67" s="92">
        <v>0</v>
      </c>
      <c r="BI67" s="4">
        <v>0</v>
      </c>
      <c r="BJ67" s="92">
        <v>0</v>
      </c>
      <c r="BK67" s="4">
        <v>0</v>
      </c>
      <c r="BL67" s="92">
        <v>0</v>
      </c>
      <c r="BM67" s="4">
        <v>0</v>
      </c>
      <c r="BN67" s="92">
        <v>0</v>
      </c>
      <c r="BO67" s="4">
        <v>0</v>
      </c>
      <c r="BP67" s="92">
        <v>0</v>
      </c>
      <c r="BQ67" s="4">
        <v>0</v>
      </c>
      <c r="BR67" s="92">
        <v>0</v>
      </c>
      <c r="BS67" s="4">
        <v>0</v>
      </c>
      <c r="BT67" s="92">
        <v>0</v>
      </c>
      <c r="BU67" s="4">
        <v>0</v>
      </c>
      <c r="BV67" s="92">
        <v>0</v>
      </c>
      <c r="BW67" s="4">
        <v>0</v>
      </c>
      <c r="BX67" s="92">
        <v>0</v>
      </c>
      <c r="BY67" s="4">
        <v>0</v>
      </c>
      <c r="BZ67" s="92">
        <v>0</v>
      </c>
      <c r="CA67" s="4">
        <v>0</v>
      </c>
      <c r="CB67" s="92">
        <v>0</v>
      </c>
      <c r="CC67" s="4">
        <v>0</v>
      </c>
      <c r="CD67" s="92">
        <v>0</v>
      </c>
      <c r="CE67" s="4">
        <v>0</v>
      </c>
      <c r="CF67" s="92">
        <v>0</v>
      </c>
      <c r="CG67" s="4">
        <v>0</v>
      </c>
      <c r="CH67" s="92">
        <v>0</v>
      </c>
      <c r="CI67" s="4">
        <v>0</v>
      </c>
      <c r="CJ67" s="92">
        <v>0</v>
      </c>
      <c r="CK67" s="4">
        <v>0</v>
      </c>
      <c r="CL67" s="92">
        <v>0</v>
      </c>
      <c r="CM67" s="4">
        <v>0</v>
      </c>
      <c r="CN67" s="92">
        <v>0</v>
      </c>
      <c r="CO67" s="4">
        <v>0</v>
      </c>
      <c r="CP67" s="92">
        <v>0</v>
      </c>
      <c r="CQ67" s="4">
        <v>0</v>
      </c>
      <c r="CR67" s="92">
        <v>0</v>
      </c>
      <c r="CS67" s="4">
        <v>0</v>
      </c>
      <c r="CT67" s="92">
        <v>0</v>
      </c>
      <c r="CU67" s="4">
        <v>0</v>
      </c>
      <c r="CV67" s="92">
        <v>0</v>
      </c>
      <c r="CW67" s="4">
        <v>0</v>
      </c>
      <c r="CX67" s="92">
        <v>0</v>
      </c>
      <c r="CY67" s="4">
        <v>0</v>
      </c>
      <c r="CZ67" s="92">
        <v>0</v>
      </c>
      <c r="DA67" s="4">
        <v>0</v>
      </c>
      <c r="DB67" s="92">
        <v>0</v>
      </c>
      <c r="DC67" s="4">
        <v>0</v>
      </c>
      <c r="DD67" s="92">
        <v>0</v>
      </c>
      <c r="DE67" s="4">
        <v>0</v>
      </c>
      <c r="DF67" s="92">
        <v>0</v>
      </c>
      <c r="DG67" s="4">
        <v>0</v>
      </c>
      <c r="DH67" s="92">
        <v>0</v>
      </c>
      <c r="DI67" s="4">
        <v>0</v>
      </c>
      <c r="DJ67" s="92">
        <v>0</v>
      </c>
      <c r="DK67" s="4">
        <v>0</v>
      </c>
      <c r="DL67" s="92">
        <v>0</v>
      </c>
      <c r="DM67" s="4">
        <v>0</v>
      </c>
      <c r="DN67" s="92">
        <v>0</v>
      </c>
      <c r="DO67" s="4">
        <v>0</v>
      </c>
      <c r="DP67" s="92">
        <v>0</v>
      </c>
      <c r="DQ67" s="4">
        <v>0</v>
      </c>
      <c r="DR67" s="92">
        <v>0</v>
      </c>
      <c r="DS67" s="4">
        <v>0</v>
      </c>
      <c r="DT67" s="92">
        <v>0</v>
      </c>
      <c r="DU67" s="4">
        <v>0</v>
      </c>
      <c r="DV67" s="92">
        <v>0</v>
      </c>
      <c r="DW67" s="4">
        <v>0</v>
      </c>
      <c r="DX67" s="92">
        <v>0</v>
      </c>
      <c r="DY67" s="4">
        <v>0</v>
      </c>
      <c r="DZ67" s="92">
        <v>0</v>
      </c>
      <c r="EA67" s="4">
        <v>0</v>
      </c>
      <c r="EB67" s="92">
        <v>0</v>
      </c>
      <c r="EC67" s="4">
        <v>0</v>
      </c>
      <c r="ED67" s="92">
        <v>0</v>
      </c>
      <c r="EE67" s="4">
        <v>0</v>
      </c>
      <c r="EF67" s="92">
        <v>0</v>
      </c>
      <c r="EG67" s="4">
        <v>0</v>
      </c>
      <c r="EH67" s="92">
        <v>0</v>
      </c>
      <c r="EI67" s="4">
        <v>0</v>
      </c>
      <c r="EJ67" s="92">
        <v>0</v>
      </c>
      <c r="EK67" s="4">
        <v>0</v>
      </c>
      <c r="EL67" s="92">
        <v>0</v>
      </c>
      <c r="EM67" s="4">
        <v>0</v>
      </c>
      <c r="EN67" s="92">
        <v>0</v>
      </c>
      <c r="EO67" s="4">
        <v>0</v>
      </c>
      <c r="EP67" s="92">
        <v>0</v>
      </c>
      <c r="EQ67" s="4">
        <v>0</v>
      </c>
      <c r="ER67" s="92">
        <v>0</v>
      </c>
      <c r="ES67" s="4">
        <f t="shared" si="5"/>
        <v>0</v>
      </c>
      <c r="ET67" s="92">
        <f>ES67/ES68</f>
        <v>0</v>
      </c>
      <c r="EU67" s="221">
        <f>IF( SUM($EQ67:ES67)&lt;0, "n/a", SUM($EQ67:ES67)/EU$74)</f>
        <v>0</v>
      </c>
      <c r="EV67" s="224">
        <f>EU67/EU68</f>
        <v>0</v>
      </c>
      <c r="EW67" s="22"/>
      <c r="EX67" s="98"/>
      <c r="EY67" s="204"/>
      <c r="EZ67" s="204"/>
      <c r="FA67" s="209"/>
    </row>
    <row r="68" spans="1:157" ht="16.5" customHeight="1" thickBot="1" x14ac:dyDescent="0.35">
      <c r="A68" s="10"/>
      <c r="B68" s="15" t="s">
        <v>83</v>
      </c>
      <c r="C68" s="6">
        <v>35295928.289999992</v>
      </c>
      <c r="D68" s="95">
        <v>1</v>
      </c>
      <c r="E68" s="6">
        <v>33098459.819999997</v>
      </c>
      <c r="F68" s="95">
        <v>1</v>
      </c>
      <c r="G68" s="6">
        <v>41568644.840000004</v>
      </c>
      <c r="H68" s="95">
        <v>1</v>
      </c>
      <c r="I68" s="6">
        <v>28241949.319999993</v>
      </c>
      <c r="J68" s="95">
        <v>1</v>
      </c>
      <c r="K68" s="6">
        <v>28745350.930000003</v>
      </c>
      <c r="L68" s="95">
        <v>1</v>
      </c>
      <c r="M68" s="6">
        <v>34888223.18</v>
      </c>
      <c r="N68" s="95">
        <v>1</v>
      </c>
      <c r="O68" s="6">
        <v>33640615.329999998</v>
      </c>
      <c r="P68" s="95">
        <v>1</v>
      </c>
      <c r="Q68" s="6">
        <v>32057885.670000002</v>
      </c>
      <c r="R68" s="95">
        <v>1</v>
      </c>
      <c r="S68" s="6">
        <v>33381439.830000002</v>
      </c>
      <c r="T68" s="95">
        <v>1</v>
      </c>
      <c r="U68" s="6">
        <v>35275531.920000002</v>
      </c>
      <c r="V68" s="95">
        <v>1</v>
      </c>
      <c r="W68" s="6">
        <v>33984797.259999998</v>
      </c>
      <c r="X68" s="95">
        <v>1</v>
      </c>
      <c r="Y68" s="6">
        <v>33407939.460000001</v>
      </c>
      <c r="Z68" s="95">
        <v>1</v>
      </c>
      <c r="AA68" s="6">
        <v>31547333.870000005</v>
      </c>
      <c r="AB68" s="95">
        <v>1</v>
      </c>
      <c r="AC68" s="6">
        <v>28204454.270000003</v>
      </c>
      <c r="AD68" s="95">
        <v>1</v>
      </c>
      <c r="AE68" s="6">
        <v>37552600.07</v>
      </c>
      <c r="AF68" s="95">
        <v>1</v>
      </c>
      <c r="AG68" s="6">
        <v>36086210.200000003</v>
      </c>
      <c r="AH68" s="95">
        <v>1</v>
      </c>
      <c r="AI68" s="6">
        <v>31942455.490000006</v>
      </c>
      <c r="AJ68" s="95">
        <v>1</v>
      </c>
      <c r="AK68" s="6">
        <v>34525687.289999992</v>
      </c>
      <c r="AL68" s="95">
        <v>1</v>
      </c>
      <c r="AM68" s="6">
        <v>34815453.209999993</v>
      </c>
      <c r="AN68" s="95">
        <v>1</v>
      </c>
      <c r="AO68" s="6">
        <v>34771628.459999993</v>
      </c>
      <c r="AP68" s="95">
        <v>1</v>
      </c>
      <c r="AQ68" s="6">
        <v>35575193.190000013</v>
      </c>
      <c r="AR68" s="95">
        <v>1</v>
      </c>
      <c r="AS68" s="6">
        <v>35611873.189999998</v>
      </c>
      <c r="AT68" s="95">
        <v>1</v>
      </c>
      <c r="AU68" s="6">
        <v>35274414.730000004</v>
      </c>
      <c r="AV68" s="95">
        <v>1</v>
      </c>
      <c r="AW68" s="6">
        <v>32637982.470000003</v>
      </c>
      <c r="AX68" s="95">
        <v>1</v>
      </c>
      <c r="AY68" s="6">
        <v>31151630.249999996</v>
      </c>
      <c r="AZ68" s="95">
        <v>1</v>
      </c>
      <c r="BA68" s="6">
        <v>30208935.039999999</v>
      </c>
      <c r="BB68" s="95">
        <v>1</v>
      </c>
      <c r="BC68" s="6">
        <v>35873117.909999996</v>
      </c>
      <c r="BD68" s="95">
        <v>1</v>
      </c>
      <c r="BE68" s="6">
        <v>33821937.43</v>
      </c>
      <c r="BF68" s="95">
        <v>1</v>
      </c>
      <c r="BG68" s="6">
        <v>33977382.219999991</v>
      </c>
      <c r="BH68" s="95">
        <v>1</v>
      </c>
      <c r="BI68" s="6">
        <v>34687854.129999995</v>
      </c>
      <c r="BJ68" s="95">
        <v>1</v>
      </c>
      <c r="BK68" s="6">
        <v>34495549.799999997</v>
      </c>
      <c r="BL68" s="95">
        <v>1</v>
      </c>
      <c r="BM68" s="6">
        <v>38414699.549999997</v>
      </c>
      <c r="BN68" s="95">
        <v>1</v>
      </c>
      <c r="BO68" s="6">
        <v>36969478.450000003</v>
      </c>
      <c r="BP68" s="95">
        <v>1</v>
      </c>
      <c r="BQ68" s="6">
        <v>38007740.43</v>
      </c>
      <c r="BR68" s="95">
        <v>1</v>
      </c>
      <c r="BS68" s="6">
        <v>35808646.490000002</v>
      </c>
      <c r="BT68" s="95">
        <v>1</v>
      </c>
      <c r="BU68" s="6">
        <v>30699395.119999997</v>
      </c>
      <c r="BV68" s="95">
        <v>1</v>
      </c>
      <c r="BW68" s="6">
        <v>33414338.789999999</v>
      </c>
      <c r="BX68" s="95">
        <v>1</v>
      </c>
      <c r="BY68" s="6">
        <v>27585191.660000004</v>
      </c>
      <c r="BZ68" s="95">
        <v>1</v>
      </c>
      <c r="CA68" s="6">
        <v>34826780.009999998</v>
      </c>
      <c r="CB68" s="95">
        <v>1</v>
      </c>
      <c r="CC68" s="6">
        <v>30458627.950000003</v>
      </c>
      <c r="CD68" s="95">
        <v>1</v>
      </c>
      <c r="CE68" s="6">
        <v>34141153.019999996</v>
      </c>
      <c r="CF68" s="95">
        <v>1</v>
      </c>
      <c r="CG68" s="6">
        <v>34624618.510000005</v>
      </c>
      <c r="CH68" s="95">
        <v>1</v>
      </c>
      <c r="CI68" s="6">
        <v>31667620.289999999</v>
      </c>
      <c r="CJ68" s="95">
        <v>1</v>
      </c>
      <c r="CK68" s="6">
        <v>36946863.700000003</v>
      </c>
      <c r="CL68" s="95">
        <v>1</v>
      </c>
      <c r="CM68" s="6">
        <v>34146229.649999991</v>
      </c>
      <c r="CN68" s="95">
        <v>1</v>
      </c>
      <c r="CO68" s="6">
        <v>35351138.689999998</v>
      </c>
      <c r="CP68" s="95">
        <v>1</v>
      </c>
      <c r="CQ68" s="6">
        <v>32444866.710000001</v>
      </c>
      <c r="CR68" s="95">
        <v>1</v>
      </c>
      <c r="CS68" s="6">
        <v>30859169.629999995</v>
      </c>
      <c r="CT68" s="95">
        <v>1</v>
      </c>
      <c r="CU68" s="6">
        <v>31391776.719999999</v>
      </c>
      <c r="CV68" s="95">
        <v>1</v>
      </c>
      <c r="CW68" s="6">
        <v>28288947.5</v>
      </c>
      <c r="CX68" s="95">
        <v>1</v>
      </c>
      <c r="CY68" s="6">
        <v>29212880.690000005</v>
      </c>
      <c r="CZ68" s="95">
        <v>1</v>
      </c>
      <c r="DA68" s="6">
        <v>32302889.330000006</v>
      </c>
      <c r="DB68" s="95">
        <v>1</v>
      </c>
      <c r="DC68" s="6">
        <v>31822047.660000004</v>
      </c>
      <c r="DD68" s="95">
        <v>1</v>
      </c>
      <c r="DE68" s="6">
        <v>29565601.000000004</v>
      </c>
      <c r="DF68" s="95">
        <v>1</v>
      </c>
      <c r="DG68" s="6">
        <v>30287428.59</v>
      </c>
      <c r="DH68" s="95">
        <v>1</v>
      </c>
      <c r="DI68" s="6">
        <v>31639074.330000002</v>
      </c>
      <c r="DJ68" s="95">
        <v>1</v>
      </c>
      <c r="DK68" s="6">
        <v>27760696.969999995</v>
      </c>
      <c r="DL68" s="95">
        <v>1</v>
      </c>
      <c r="DM68" s="6">
        <v>33703427.080000006</v>
      </c>
      <c r="DN68" s="95">
        <v>1</v>
      </c>
      <c r="DO68" s="6">
        <v>30596615.029999997</v>
      </c>
      <c r="DP68" s="95">
        <v>1</v>
      </c>
      <c r="DQ68" s="6">
        <v>28662344.820000004</v>
      </c>
      <c r="DR68" s="95">
        <v>1</v>
      </c>
      <c r="DS68" s="6">
        <v>30753966.690000001</v>
      </c>
      <c r="DT68" s="95">
        <v>1</v>
      </c>
      <c r="DU68" s="6">
        <v>26724456.75</v>
      </c>
      <c r="DV68" s="95">
        <v>1</v>
      </c>
      <c r="DW68" s="6">
        <v>26703337.419999994</v>
      </c>
      <c r="DX68" s="95">
        <v>1</v>
      </c>
      <c r="DY68" s="6">
        <v>24824744.119999997</v>
      </c>
      <c r="DZ68" s="95">
        <v>1</v>
      </c>
      <c r="EA68" s="6">
        <v>26500569.350000001</v>
      </c>
      <c r="EB68" s="95">
        <v>1</v>
      </c>
      <c r="EC68" s="6">
        <v>25245337.490000006</v>
      </c>
      <c r="ED68" s="95">
        <v>1</v>
      </c>
      <c r="EE68" s="6">
        <v>28927409.149999999</v>
      </c>
      <c r="EF68" s="95">
        <v>1</v>
      </c>
      <c r="EG68" s="6">
        <v>28030030.190000005</v>
      </c>
      <c r="EH68" s="95">
        <v>1</v>
      </c>
      <c r="EI68" s="6">
        <v>28258069.609999996</v>
      </c>
      <c r="EJ68" s="95">
        <v>1</v>
      </c>
      <c r="EK68" s="6">
        <v>29242019.48</v>
      </c>
      <c r="EL68" s="95">
        <v>1</v>
      </c>
      <c r="EM68" s="6">
        <v>21876889.639999993</v>
      </c>
      <c r="EN68" s="95">
        <v>1</v>
      </c>
      <c r="EO68" s="6">
        <v>23698658.219999999</v>
      </c>
      <c r="EP68" s="95">
        <v>1</v>
      </c>
      <c r="EQ68" s="6">
        <v>25915953.809999999</v>
      </c>
      <c r="ER68" s="95">
        <v>1</v>
      </c>
      <c r="ES68" s="6">
        <f>SUM(ES61:ES67)</f>
        <v>22939905.490000002</v>
      </c>
      <c r="ET68" s="95">
        <f>ES68/ES68</f>
        <v>1</v>
      </c>
      <c r="EU68" s="225">
        <f>IF( SUM($EQ68:ES68)&lt;0, "n/a", SUM($EQ68:ES68)/EU$74)</f>
        <v>24427930.149999999</v>
      </c>
      <c r="EV68" s="226">
        <f>EU68/EU68</f>
        <v>1</v>
      </c>
      <c r="EW68" s="22"/>
      <c r="EX68" s="98"/>
      <c r="EY68" s="204"/>
      <c r="EZ68" s="204"/>
      <c r="FA68" s="209"/>
    </row>
    <row r="69" spans="1:157" ht="16.5" customHeight="1" x14ac:dyDescent="0.3">
      <c r="A69" s="10"/>
      <c r="B69" s="14" t="s">
        <v>88</v>
      </c>
      <c r="C69" s="4">
        <v>5940539.46</v>
      </c>
      <c r="D69" s="92"/>
      <c r="E69" s="4">
        <v>5108546.12</v>
      </c>
      <c r="F69" s="92"/>
      <c r="G69" s="4">
        <v>6388288.0800000001</v>
      </c>
      <c r="H69" s="92"/>
      <c r="I69" s="4">
        <v>5269238.33</v>
      </c>
      <c r="J69" s="92"/>
      <c r="K69" s="4">
        <v>3651938.7</v>
      </c>
      <c r="L69" s="92"/>
      <c r="M69" s="4">
        <v>4343222.6500000004</v>
      </c>
      <c r="N69" s="92"/>
      <c r="O69" s="4">
        <v>6185037.8499999996</v>
      </c>
      <c r="P69" s="92"/>
      <c r="Q69" s="4">
        <v>5897972.9699999997</v>
      </c>
      <c r="R69" s="92"/>
      <c r="S69" s="4">
        <v>6945247.3399999999</v>
      </c>
      <c r="T69" s="92"/>
      <c r="U69" s="4">
        <v>6693133.21</v>
      </c>
      <c r="V69" s="92"/>
      <c r="W69" s="4">
        <v>6872965.2999999998</v>
      </c>
      <c r="X69" s="92"/>
      <c r="Y69" s="4">
        <v>7304682.4299999997</v>
      </c>
      <c r="Z69" s="92"/>
      <c r="AA69" s="4">
        <v>6127632.5099999998</v>
      </c>
      <c r="AB69" s="92"/>
      <c r="AC69" s="4">
        <v>4631324.22</v>
      </c>
      <c r="AD69" s="92"/>
      <c r="AE69" s="4">
        <v>5265780.6399999997</v>
      </c>
      <c r="AF69" s="92"/>
      <c r="AG69" s="4">
        <v>5040380.22</v>
      </c>
      <c r="AH69" s="92"/>
      <c r="AI69" s="4">
        <v>5195971.34</v>
      </c>
      <c r="AJ69" s="92"/>
      <c r="AK69" s="4">
        <v>6515621.1699999999</v>
      </c>
      <c r="AL69" s="92"/>
      <c r="AM69" s="4">
        <v>5148429.6100000003</v>
      </c>
      <c r="AN69" s="92"/>
      <c r="AO69" s="4">
        <v>5571356.04</v>
      </c>
      <c r="AP69" s="92"/>
      <c r="AQ69" s="4">
        <v>5041765.33</v>
      </c>
      <c r="AR69" s="92"/>
      <c r="AS69" s="4">
        <v>5697218.3200000003</v>
      </c>
      <c r="AT69" s="92"/>
      <c r="AU69" s="4">
        <v>4893912.0599999996</v>
      </c>
      <c r="AV69" s="92"/>
      <c r="AW69" s="4">
        <v>5840134.7000000002</v>
      </c>
      <c r="AX69" s="92"/>
      <c r="AY69" s="4">
        <v>6485141.2799999993</v>
      </c>
      <c r="AZ69" s="92"/>
      <c r="BA69" s="4">
        <v>4612737.6900000004</v>
      </c>
      <c r="BB69" s="92"/>
      <c r="BC69" s="4">
        <v>5129702.01</v>
      </c>
      <c r="BD69" s="92"/>
      <c r="BE69" s="4">
        <v>4350029.45</v>
      </c>
      <c r="BF69" s="92"/>
      <c r="BG69" s="4">
        <v>5008391.84</v>
      </c>
      <c r="BH69" s="92"/>
      <c r="BI69" s="4">
        <v>5697007.6600000001</v>
      </c>
      <c r="BJ69" s="92"/>
      <c r="BK69" s="4">
        <v>5172214.38</v>
      </c>
      <c r="BL69" s="92"/>
      <c r="BM69" s="4">
        <v>5458479.9900000002</v>
      </c>
      <c r="BN69" s="92"/>
      <c r="BO69" s="4">
        <v>4871534.34</v>
      </c>
      <c r="BP69" s="92"/>
      <c r="BQ69" s="4">
        <v>5233014.8099999996</v>
      </c>
      <c r="BR69" s="92"/>
      <c r="BS69" s="4">
        <v>5500473.5099999998</v>
      </c>
      <c r="BT69" s="92"/>
      <c r="BU69" s="4">
        <v>4456201.46</v>
      </c>
      <c r="BV69" s="92"/>
      <c r="BW69" s="4">
        <v>4151275.29</v>
      </c>
      <c r="BX69" s="92"/>
      <c r="BY69" s="4">
        <v>5285147.16</v>
      </c>
      <c r="BZ69" s="92"/>
      <c r="CA69" s="4">
        <v>4942435.6399999997</v>
      </c>
      <c r="CB69" s="92"/>
      <c r="CC69" s="4">
        <v>5302725.1399999997</v>
      </c>
      <c r="CD69" s="92"/>
      <c r="CE69" s="4">
        <v>4866853.96</v>
      </c>
      <c r="CF69" s="92"/>
      <c r="CG69" s="4">
        <v>4903524.47</v>
      </c>
      <c r="CH69" s="92"/>
      <c r="CI69" s="4">
        <v>5358541.9000000004</v>
      </c>
      <c r="CJ69" s="92"/>
      <c r="CK69" s="4">
        <v>6455377.1100000003</v>
      </c>
      <c r="CL69" s="92"/>
      <c r="CM69" s="4">
        <v>4879330.83</v>
      </c>
      <c r="CN69" s="92"/>
      <c r="CO69" s="4">
        <v>5611932.9100000001</v>
      </c>
      <c r="CP69" s="92"/>
      <c r="CQ69" s="4">
        <v>5684072.96</v>
      </c>
      <c r="CR69" s="92"/>
      <c r="CS69" s="4">
        <v>5106197.72</v>
      </c>
      <c r="CT69" s="92"/>
      <c r="CU69" s="4">
        <v>5964902.1799999997</v>
      </c>
      <c r="CV69" s="92"/>
      <c r="CW69" s="4">
        <v>5018209.4800000004</v>
      </c>
      <c r="CX69" s="92"/>
      <c r="CY69" s="4">
        <v>5007020.76</v>
      </c>
      <c r="CZ69" s="92"/>
      <c r="DA69" s="4">
        <v>6167710.5800000001</v>
      </c>
      <c r="DB69" s="92"/>
      <c r="DC69" s="4">
        <v>5639656.3600000003</v>
      </c>
      <c r="DD69" s="92"/>
      <c r="DE69" s="4">
        <v>5394052.4100000001</v>
      </c>
      <c r="DF69" s="92"/>
      <c r="DG69" s="4">
        <v>5409865.4400000004</v>
      </c>
      <c r="DH69" s="92"/>
      <c r="DI69" s="4">
        <v>6312694.8399999999</v>
      </c>
      <c r="DJ69" s="92"/>
      <c r="DK69" s="4">
        <v>5455415.1200000001</v>
      </c>
      <c r="DL69" s="92"/>
      <c r="DM69" s="4">
        <v>6803073.7999999998</v>
      </c>
      <c r="DN69" s="92"/>
      <c r="DO69" s="4">
        <v>4649587.3099999996</v>
      </c>
      <c r="DP69" s="92"/>
      <c r="DQ69" s="4">
        <v>5945279.2699999996</v>
      </c>
      <c r="DR69" s="92"/>
      <c r="DS69" s="4">
        <v>7037702.8799999999</v>
      </c>
      <c r="DT69" s="92"/>
      <c r="DU69" s="4">
        <v>4257068.07</v>
      </c>
      <c r="DV69" s="92"/>
      <c r="DW69" s="4">
        <v>7501980.5700000003</v>
      </c>
      <c r="DX69" s="92"/>
      <c r="DY69" s="4">
        <v>8114563.1699999999</v>
      </c>
      <c r="DZ69" s="92"/>
      <c r="EA69" s="4">
        <v>8104081.3200000003</v>
      </c>
      <c r="EB69" s="92"/>
      <c r="EC69" s="4">
        <v>8589143.8399999999</v>
      </c>
      <c r="ED69" s="92"/>
      <c r="EE69" s="4">
        <v>9216278.7599999998</v>
      </c>
      <c r="EF69" s="92"/>
      <c r="EG69" s="4">
        <v>7884469.5099999998</v>
      </c>
      <c r="EH69" s="92"/>
      <c r="EI69" s="4">
        <v>9799659.3399999999</v>
      </c>
      <c r="EJ69" s="92"/>
      <c r="EK69" s="4">
        <v>12378657.199999999</v>
      </c>
      <c r="EL69" s="92"/>
      <c r="EM69" s="4">
        <v>9937520.8100000005</v>
      </c>
      <c r="EN69" s="92"/>
      <c r="EO69" s="4">
        <v>12794262</v>
      </c>
      <c r="EP69" s="92"/>
      <c r="EQ69" s="4">
        <v>7944980.1200000001</v>
      </c>
      <c r="ER69" s="92"/>
      <c r="ES69" s="4">
        <f>ES14+ES25+ES36+ES47+ES58</f>
        <v>6616129.79</v>
      </c>
      <c r="ET69" s="92"/>
      <c r="EU69" s="221">
        <f>IF( SUM($EQ69:ES69)&lt;0, "n/a", SUM($EQ69:ES69)/EU$74)</f>
        <v>7280554.9550000001</v>
      </c>
      <c r="EV69" s="227"/>
      <c r="EW69" s="22"/>
      <c r="EX69" s="98"/>
      <c r="EY69" s="204"/>
      <c r="EZ69" s="204"/>
      <c r="FA69" s="209"/>
    </row>
    <row r="70" spans="1:157" ht="16.5" customHeight="1" x14ac:dyDescent="0.3">
      <c r="A70" s="10"/>
      <c r="B70" s="14" t="s">
        <v>71</v>
      </c>
      <c r="C70" s="4">
        <v>3046947.91</v>
      </c>
      <c r="D70" s="92"/>
      <c r="E70" s="4">
        <v>1684503.17</v>
      </c>
      <c r="F70" s="92"/>
      <c r="G70" s="4">
        <v>1799829.35</v>
      </c>
      <c r="H70" s="92"/>
      <c r="I70" s="4">
        <v>1378828.26</v>
      </c>
      <c r="J70" s="92"/>
      <c r="K70" s="4">
        <v>2025683.61</v>
      </c>
      <c r="L70" s="92"/>
      <c r="M70" s="4">
        <v>1822273.47</v>
      </c>
      <c r="N70" s="92"/>
      <c r="O70" s="4">
        <v>2337587.5</v>
      </c>
      <c r="P70" s="92"/>
      <c r="Q70" s="4">
        <v>2237372.73</v>
      </c>
      <c r="R70" s="92"/>
      <c r="S70" s="4">
        <v>2321645.69</v>
      </c>
      <c r="T70" s="92"/>
      <c r="U70" s="4">
        <v>3093168.36</v>
      </c>
      <c r="V70" s="92"/>
      <c r="W70" s="4">
        <v>2310208.02</v>
      </c>
      <c r="X70" s="92"/>
      <c r="Y70" s="4">
        <v>2300565.84</v>
      </c>
      <c r="Z70" s="92"/>
      <c r="AA70" s="4">
        <v>2337078.37</v>
      </c>
      <c r="AB70" s="92"/>
      <c r="AC70" s="4">
        <v>2081671.59</v>
      </c>
      <c r="AD70" s="92"/>
      <c r="AE70" s="4">
        <v>2436528.89</v>
      </c>
      <c r="AF70" s="92"/>
      <c r="AG70" s="4">
        <v>2426592.5699999998</v>
      </c>
      <c r="AH70" s="92"/>
      <c r="AI70" s="4">
        <v>2299039.5499999998</v>
      </c>
      <c r="AJ70" s="92"/>
      <c r="AK70" s="4">
        <v>3938721.34</v>
      </c>
      <c r="AL70" s="92"/>
      <c r="AM70" s="4">
        <v>3060122.41</v>
      </c>
      <c r="AN70" s="92"/>
      <c r="AO70" s="4">
        <v>3752886.82</v>
      </c>
      <c r="AP70" s="92"/>
      <c r="AQ70" s="4">
        <v>3872572.86</v>
      </c>
      <c r="AR70" s="92"/>
      <c r="AS70" s="4">
        <v>3406045.21</v>
      </c>
      <c r="AT70" s="92"/>
      <c r="AU70" s="4">
        <v>3875625.59</v>
      </c>
      <c r="AV70" s="92"/>
      <c r="AW70" s="4">
        <v>3663295.25</v>
      </c>
      <c r="AX70" s="92"/>
      <c r="AY70" s="4">
        <v>2965944.81</v>
      </c>
      <c r="AZ70" s="92"/>
      <c r="BA70" s="4">
        <v>3000145.67</v>
      </c>
      <c r="BB70" s="92"/>
      <c r="BC70" s="4">
        <v>3772526.46</v>
      </c>
      <c r="BD70" s="92"/>
      <c r="BE70" s="4">
        <v>3402088.14</v>
      </c>
      <c r="BF70" s="92"/>
      <c r="BG70" s="4">
        <v>3218349.56</v>
      </c>
      <c r="BH70" s="92"/>
      <c r="BI70" s="4">
        <v>3089008.71</v>
      </c>
      <c r="BJ70" s="92"/>
      <c r="BK70" s="4">
        <v>2753435.52</v>
      </c>
      <c r="BL70" s="92"/>
      <c r="BM70" s="4">
        <v>3779698.49</v>
      </c>
      <c r="BN70" s="92"/>
      <c r="BO70" s="4">
        <v>2279697.31</v>
      </c>
      <c r="BP70" s="92"/>
      <c r="BQ70" s="4">
        <v>2304224.33</v>
      </c>
      <c r="BR70" s="92"/>
      <c r="BS70" s="4">
        <v>1958712.42</v>
      </c>
      <c r="BT70" s="92"/>
      <c r="BU70" s="4">
        <v>1892401.06</v>
      </c>
      <c r="BV70" s="92"/>
      <c r="BW70" s="4">
        <v>1857084.58</v>
      </c>
      <c r="BX70" s="92"/>
      <c r="BY70" s="4">
        <v>1402867.7</v>
      </c>
      <c r="BZ70" s="92"/>
      <c r="CA70" s="4">
        <v>2047359.54</v>
      </c>
      <c r="CB70" s="92"/>
      <c r="CC70" s="4">
        <v>1684721.98</v>
      </c>
      <c r="CD70" s="92"/>
      <c r="CE70" s="4">
        <v>2145310.94</v>
      </c>
      <c r="CF70" s="92"/>
      <c r="CG70" s="4">
        <v>1813752.74</v>
      </c>
      <c r="CH70" s="92"/>
      <c r="CI70" s="4">
        <v>1742776.11</v>
      </c>
      <c r="CJ70" s="92"/>
      <c r="CK70" s="4">
        <v>1726716.66</v>
      </c>
      <c r="CL70" s="92"/>
      <c r="CM70" s="4">
        <v>1515148.46</v>
      </c>
      <c r="CN70" s="92"/>
      <c r="CO70" s="4">
        <v>2354536.34</v>
      </c>
      <c r="CP70" s="92"/>
      <c r="CQ70" s="4">
        <v>1781679.55</v>
      </c>
      <c r="CR70" s="92"/>
      <c r="CS70" s="4">
        <v>1360164.63</v>
      </c>
      <c r="CT70" s="92"/>
      <c r="CU70" s="4">
        <v>1783111.5</v>
      </c>
      <c r="CV70" s="92"/>
      <c r="CW70" s="4">
        <v>1503029.06</v>
      </c>
      <c r="CX70" s="92"/>
      <c r="CY70" s="4">
        <v>1797946.57</v>
      </c>
      <c r="CZ70" s="92"/>
      <c r="DA70" s="4">
        <v>2053657.55</v>
      </c>
      <c r="DB70" s="92"/>
      <c r="DC70" s="4">
        <v>2662505.15</v>
      </c>
      <c r="DD70" s="92"/>
      <c r="DE70" s="4">
        <v>1874949.18</v>
      </c>
      <c r="DF70" s="92"/>
      <c r="DG70" s="4">
        <v>2223351.16</v>
      </c>
      <c r="DH70" s="92"/>
      <c r="DI70" s="4">
        <v>2558832.42</v>
      </c>
      <c r="DJ70" s="92"/>
      <c r="DK70" s="4">
        <v>2590753.0699999998</v>
      </c>
      <c r="DL70" s="92"/>
      <c r="DM70" s="4">
        <v>2559336.61</v>
      </c>
      <c r="DN70" s="92"/>
      <c r="DO70" s="4">
        <v>2892848.58</v>
      </c>
      <c r="DP70" s="92"/>
      <c r="DQ70" s="4">
        <v>2283822.0800000001</v>
      </c>
      <c r="DR70" s="92"/>
      <c r="DS70" s="4">
        <v>1903901.74</v>
      </c>
      <c r="DT70" s="92"/>
      <c r="DU70" s="4">
        <v>1950828.26</v>
      </c>
      <c r="DV70" s="92"/>
      <c r="DW70" s="4">
        <v>3459101.61</v>
      </c>
      <c r="DX70" s="92"/>
      <c r="DY70" s="4">
        <v>1726710.15</v>
      </c>
      <c r="DZ70" s="92"/>
      <c r="EA70" s="4">
        <v>2229143.29</v>
      </c>
      <c r="EB70" s="92"/>
      <c r="EC70" s="4">
        <v>1528822.18</v>
      </c>
      <c r="ED70" s="92"/>
      <c r="EE70" s="4">
        <v>2635706.29</v>
      </c>
      <c r="EF70" s="92"/>
      <c r="EG70" s="4">
        <v>2335646.36</v>
      </c>
      <c r="EH70" s="92"/>
      <c r="EI70" s="4">
        <v>2609897.35</v>
      </c>
      <c r="EJ70" s="92"/>
      <c r="EK70" s="4">
        <v>2657419.46</v>
      </c>
      <c r="EL70" s="92"/>
      <c r="EM70" s="4">
        <v>3181143.1900000004</v>
      </c>
      <c r="EN70" s="92"/>
      <c r="EO70" s="4">
        <v>3927937.42</v>
      </c>
      <c r="EP70" s="92"/>
      <c r="EQ70" s="4">
        <v>3496468.6</v>
      </c>
      <c r="ER70" s="92"/>
      <c r="ES70" s="4">
        <f>ES15+ES26+ES37+ES48+ES59</f>
        <v>3670147.26</v>
      </c>
      <c r="ET70" s="92"/>
      <c r="EU70" s="221">
        <f>IF( SUM($EQ70:ES70)&lt;0, "n/a", SUM($EQ70:ES70)/EU$74)</f>
        <v>3583307.9299999997</v>
      </c>
      <c r="EV70" s="224"/>
      <c r="EW70" s="22"/>
      <c r="EX70" s="98"/>
      <c r="EY70" s="204"/>
      <c r="EZ70" s="204"/>
      <c r="FA70" s="209"/>
    </row>
    <row r="71" spans="1:157" ht="16.5" customHeight="1" thickBot="1" x14ac:dyDescent="0.35">
      <c r="A71" s="12"/>
      <c r="B71" s="16" t="s">
        <v>84</v>
      </c>
      <c r="C71" s="6">
        <v>44283415.659999996</v>
      </c>
      <c r="D71" s="94"/>
      <c r="E71" s="6">
        <v>39891509.109999999</v>
      </c>
      <c r="F71" s="94"/>
      <c r="G71" s="6">
        <v>49756762.270000003</v>
      </c>
      <c r="H71" s="94"/>
      <c r="I71" s="6">
        <v>34890015.909999989</v>
      </c>
      <c r="J71" s="94"/>
      <c r="K71" s="6">
        <v>34422973.240000002</v>
      </c>
      <c r="L71" s="94"/>
      <c r="M71" s="6">
        <v>41053719.299999997</v>
      </c>
      <c r="N71" s="94"/>
      <c r="O71" s="6">
        <v>42163240.68</v>
      </c>
      <c r="P71" s="94"/>
      <c r="Q71" s="6">
        <v>40193231.369999997</v>
      </c>
      <c r="R71" s="94"/>
      <c r="S71" s="6">
        <v>42648332.859999999</v>
      </c>
      <c r="T71" s="94"/>
      <c r="U71" s="6">
        <v>45061833.490000002</v>
      </c>
      <c r="V71" s="94"/>
      <c r="W71" s="6">
        <v>43167970.579999998</v>
      </c>
      <c r="X71" s="94"/>
      <c r="Y71" s="6">
        <v>43013187.730000004</v>
      </c>
      <c r="Z71" s="94"/>
      <c r="AA71" s="6">
        <v>40012044.75</v>
      </c>
      <c r="AB71" s="94"/>
      <c r="AC71" s="6">
        <v>34917450.080000006</v>
      </c>
      <c r="AD71" s="94"/>
      <c r="AE71" s="6">
        <v>45254909.600000001</v>
      </c>
      <c r="AF71" s="94"/>
      <c r="AG71" s="6">
        <v>43553182.990000002</v>
      </c>
      <c r="AH71" s="94"/>
      <c r="AI71" s="6">
        <v>39437466.380000003</v>
      </c>
      <c r="AJ71" s="94"/>
      <c r="AK71" s="6">
        <v>44980029.799999997</v>
      </c>
      <c r="AL71" s="94"/>
      <c r="AM71" s="6">
        <v>43024005.229999989</v>
      </c>
      <c r="AN71" s="94"/>
      <c r="AO71" s="6">
        <v>44095871.319999993</v>
      </c>
      <c r="AP71" s="94"/>
      <c r="AQ71" s="6">
        <v>44489531.38000001</v>
      </c>
      <c r="AR71" s="94"/>
      <c r="AS71" s="6">
        <v>44715136.719999999</v>
      </c>
      <c r="AT71" s="94"/>
      <c r="AU71" s="6">
        <v>44043952.38000001</v>
      </c>
      <c r="AV71" s="94"/>
      <c r="AW71" s="6">
        <v>42141412.420000002</v>
      </c>
      <c r="AX71" s="94"/>
      <c r="AY71" s="6">
        <v>40602716.339999996</v>
      </c>
      <c r="AZ71" s="94"/>
      <c r="BA71" s="6">
        <v>37821818.399999999</v>
      </c>
      <c r="BB71" s="94"/>
      <c r="BC71" s="6">
        <v>44775346.379999995</v>
      </c>
      <c r="BD71" s="94"/>
      <c r="BE71" s="6">
        <v>41574055.020000003</v>
      </c>
      <c r="BF71" s="94"/>
      <c r="BG71" s="6">
        <v>42204123.61999999</v>
      </c>
      <c r="BH71" s="94"/>
      <c r="BI71" s="6">
        <v>43473870.499999993</v>
      </c>
      <c r="BJ71" s="94"/>
      <c r="BK71" s="6">
        <v>42421199.700000003</v>
      </c>
      <c r="BL71" s="94"/>
      <c r="BM71" s="6">
        <v>47652878.030000001</v>
      </c>
      <c r="BN71" s="94"/>
      <c r="BO71" s="6">
        <v>44120710.100000009</v>
      </c>
      <c r="BP71" s="94"/>
      <c r="BQ71" s="6">
        <v>45544979.57</v>
      </c>
      <c r="BR71" s="94"/>
      <c r="BS71" s="6">
        <v>43267832.420000002</v>
      </c>
      <c r="BT71" s="94"/>
      <c r="BU71" s="6">
        <v>37047997.640000001</v>
      </c>
      <c r="BV71" s="94"/>
      <c r="BW71" s="6">
        <v>39422698.659999996</v>
      </c>
      <c r="BX71" s="94"/>
      <c r="BY71" s="6">
        <v>34273206.520000003</v>
      </c>
      <c r="BZ71" s="94"/>
      <c r="CA71" s="6">
        <v>41816575.189999998</v>
      </c>
      <c r="CB71" s="94"/>
      <c r="CC71" s="6">
        <v>37446075.07</v>
      </c>
      <c r="CD71" s="94"/>
      <c r="CE71" s="6">
        <v>41153317.919999994</v>
      </c>
      <c r="CF71" s="94"/>
      <c r="CG71" s="6">
        <v>41341895.720000006</v>
      </c>
      <c r="CH71" s="94"/>
      <c r="CI71" s="6">
        <v>38768938.299999997</v>
      </c>
      <c r="CJ71" s="94"/>
      <c r="CK71" s="6">
        <v>45128957.469999999</v>
      </c>
      <c r="CL71" s="94"/>
      <c r="CM71" s="6">
        <v>40540708.93999999</v>
      </c>
      <c r="CN71" s="94"/>
      <c r="CO71" s="6">
        <v>43317607.939999998</v>
      </c>
      <c r="CP71" s="94"/>
      <c r="CQ71" s="6">
        <v>39910619.219999999</v>
      </c>
      <c r="CR71" s="94"/>
      <c r="CS71" s="6">
        <v>37325531.979999997</v>
      </c>
      <c r="CT71" s="94"/>
      <c r="CU71" s="6">
        <v>39139790.399999999</v>
      </c>
      <c r="CV71" s="94"/>
      <c r="CW71" s="6">
        <v>34810186.039999999</v>
      </c>
      <c r="CX71" s="94"/>
      <c r="CY71" s="6">
        <v>36017848.020000003</v>
      </c>
      <c r="CZ71" s="94"/>
      <c r="DA71" s="6">
        <v>40524257.460000001</v>
      </c>
      <c r="DB71" s="94"/>
      <c r="DC71" s="6">
        <v>40124209.170000002</v>
      </c>
      <c r="DD71" s="94"/>
      <c r="DE71" s="6">
        <v>36834602.590000004</v>
      </c>
      <c r="DF71" s="94"/>
      <c r="DG71" s="6">
        <v>37920645.189999998</v>
      </c>
      <c r="DH71" s="94"/>
      <c r="DI71" s="6">
        <v>40510601.590000004</v>
      </c>
      <c r="DJ71" s="94"/>
      <c r="DK71" s="6">
        <v>35806865.159999996</v>
      </c>
      <c r="DL71" s="94"/>
      <c r="DM71" s="6">
        <v>43065837.490000002</v>
      </c>
      <c r="DN71" s="94"/>
      <c r="DO71" s="6">
        <v>38139050.919999994</v>
      </c>
      <c r="DP71" s="94"/>
      <c r="DQ71" s="6">
        <v>36891446.170000002</v>
      </c>
      <c r="DR71" s="94"/>
      <c r="DS71" s="6">
        <v>39695571.310000002</v>
      </c>
      <c r="DT71" s="94"/>
      <c r="DU71" s="6">
        <v>32932353.080000002</v>
      </c>
      <c r="DV71" s="94"/>
      <c r="DW71" s="6">
        <v>37664419.599999994</v>
      </c>
      <c r="DX71" s="94"/>
      <c r="DY71" s="6">
        <v>34666017.439999998</v>
      </c>
      <c r="DZ71" s="94"/>
      <c r="EA71" s="6">
        <v>36833793.960000001</v>
      </c>
      <c r="EB71" s="94"/>
      <c r="EC71" s="6">
        <v>35363303.510000005</v>
      </c>
      <c r="ED71" s="94"/>
      <c r="EE71" s="6">
        <v>40779394.199999996</v>
      </c>
      <c r="EF71" s="94"/>
      <c r="EG71" s="6">
        <v>38250146.060000002</v>
      </c>
      <c r="EH71" s="94"/>
      <c r="EI71" s="6">
        <v>40667626.299999997</v>
      </c>
      <c r="EJ71" s="94"/>
      <c r="EK71" s="6">
        <v>44278096.140000001</v>
      </c>
      <c r="EL71" s="94"/>
      <c r="EM71" s="6">
        <v>34995553.639999993</v>
      </c>
      <c r="EN71" s="94"/>
      <c r="EO71" s="6">
        <v>40420857.640000001</v>
      </c>
      <c r="EP71" s="94"/>
      <c r="EQ71" s="6">
        <v>37357402.530000001</v>
      </c>
      <c r="ER71" s="94"/>
      <c r="ES71" s="6">
        <f>SUM(ES68:ES70)</f>
        <v>33226182.539999999</v>
      </c>
      <c r="ET71" s="94"/>
      <c r="EU71" s="225">
        <f>IF( SUM($EQ71:ES71)&lt;0, "n/a", SUM($EQ71:ES71)/EU$74)</f>
        <v>35291792.534999996</v>
      </c>
      <c r="EV71" s="228"/>
      <c r="EW71" s="61"/>
      <c r="EX71" s="49"/>
      <c r="EY71" s="50">
        <f>+EY60+EY49+EY38+EY27+EY16</f>
        <v>33226182.539999999</v>
      </c>
      <c r="EZ71" s="50" t="str">
        <f>IF(ES71=EY71,"OK","CHECK")</f>
        <v>OK</v>
      </c>
      <c r="FA71" s="210"/>
    </row>
    <row r="72" spans="1:157" ht="12.75" customHeight="1" thickBot="1" x14ac:dyDescent="0.4">
      <c r="A72" s="32" t="s">
        <v>90</v>
      </c>
      <c r="B72" s="165" t="s">
        <v>72</v>
      </c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3"/>
      <c r="AB72" s="213"/>
      <c r="AC72" s="213"/>
      <c r="AD72" s="213"/>
      <c r="AE72" s="213"/>
      <c r="AF72" s="213"/>
      <c r="AG72" s="213"/>
      <c r="AH72" s="213"/>
      <c r="AI72" s="213"/>
      <c r="AJ72" s="213"/>
      <c r="AK72" s="213"/>
      <c r="AL72" s="213"/>
      <c r="AM72" s="213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/>
      <c r="BC72" s="213"/>
      <c r="BD72" s="213"/>
      <c r="BE72" s="213"/>
      <c r="BF72" s="213"/>
      <c r="BG72" s="213"/>
      <c r="BH72" s="213"/>
      <c r="BI72" s="213"/>
      <c r="BJ72" s="213"/>
      <c r="BK72" s="213"/>
      <c r="BL72" s="213"/>
      <c r="BM72" s="213"/>
      <c r="BN72" s="213"/>
      <c r="BO72" s="213"/>
      <c r="BP72" s="213"/>
      <c r="BQ72" s="213"/>
      <c r="BR72" s="213"/>
      <c r="BS72" s="213"/>
      <c r="BT72" s="213"/>
      <c r="BU72" s="213"/>
      <c r="BV72" s="213"/>
      <c r="BW72" s="213"/>
      <c r="BX72" s="213"/>
      <c r="BY72" s="213"/>
      <c r="BZ72" s="213"/>
      <c r="CA72" s="213"/>
      <c r="CB72" s="213"/>
      <c r="CC72" s="213"/>
      <c r="CD72" s="213"/>
      <c r="CE72" s="213"/>
      <c r="CF72" s="213"/>
      <c r="CG72" s="213"/>
      <c r="CH72" s="213"/>
      <c r="CI72" s="213"/>
      <c r="CJ72" s="213"/>
      <c r="CK72" s="213"/>
      <c r="CL72" s="213"/>
      <c r="CM72" s="213"/>
      <c r="CN72" s="213"/>
      <c r="CO72" s="213"/>
      <c r="CP72" s="213"/>
      <c r="CQ72" s="213"/>
      <c r="CR72" s="213"/>
      <c r="CS72" s="213"/>
      <c r="CT72" s="213"/>
      <c r="CU72" s="213"/>
      <c r="CV72" s="213"/>
      <c r="CW72" s="213"/>
      <c r="CX72" s="213"/>
      <c r="CY72" s="213"/>
      <c r="CZ72" s="213"/>
      <c r="DA72" s="213"/>
      <c r="DB72" s="213"/>
      <c r="DC72" s="213"/>
      <c r="DD72" s="213"/>
      <c r="DE72" s="213"/>
      <c r="DF72" s="213"/>
      <c r="DG72" s="213"/>
      <c r="DH72" s="213"/>
      <c r="DI72" s="213"/>
      <c r="DJ72" s="213"/>
      <c r="DK72" s="213"/>
      <c r="DL72" s="213"/>
      <c r="DM72" s="213"/>
      <c r="DN72" s="213"/>
      <c r="DO72" s="213"/>
      <c r="DP72" s="213"/>
      <c r="DQ72" s="213"/>
      <c r="DR72" s="213"/>
      <c r="DS72" s="213"/>
      <c r="DT72" s="213"/>
      <c r="DU72" s="213"/>
      <c r="DV72" s="213"/>
      <c r="DW72" s="213"/>
      <c r="DX72" s="213"/>
      <c r="DY72" s="213"/>
      <c r="DZ72" s="213"/>
      <c r="EA72" s="213"/>
      <c r="EB72" s="213"/>
      <c r="EC72" s="213"/>
      <c r="ED72" s="213"/>
      <c r="EE72" s="213"/>
      <c r="EF72" s="213"/>
      <c r="EG72" s="213"/>
      <c r="EH72" s="213"/>
      <c r="EI72" s="213"/>
      <c r="EJ72" s="213"/>
      <c r="EK72" s="213"/>
      <c r="EL72" s="213"/>
      <c r="EM72" s="213"/>
      <c r="EN72" s="213"/>
      <c r="EO72" s="213"/>
      <c r="EP72" s="213"/>
      <c r="EQ72" s="213"/>
      <c r="ER72" s="213"/>
      <c r="ES72" s="213"/>
      <c r="ET72" s="213"/>
      <c r="EU72" s="229"/>
      <c r="EV72" s="230"/>
      <c r="EW72" s="33"/>
      <c r="EX72" s="49"/>
      <c r="EY72" s="48">
        <f>+ES71-EY71</f>
        <v>0</v>
      </c>
      <c r="EZ72" s="211"/>
      <c r="FA72" s="212"/>
    </row>
    <row r="73" spans="1:157" ht="12.75" customHeight="1" x14ac:dyDescent="0.3">
      <c r="A73" s="13"/>
      <c r="B73" s="165" t="s">
        <v>93</v>
      </c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4"/>
      <c r="AF73" s="214"/>
      <c r="AG73" s="214"/>
      <c r="AH73" s="214"/>
      <c r="AI73" s="214"/>
      <c r="AJ73" s="214"/>
      <c r="AK73" s="214"/>
      <c r="AL73" s="214"/>
      <c r="AM73" s="214"/>
      <c r="AN73" s="214"/>
      <c r="AO73" s="214"/>
      <c r="AP73" s="214"/>
      <c r="AQ73" s="214"/>
      <c r="AR73" s="214"/>
      <c r="AS73" s="214"/>
      <c r="AT73" s="214"/>
      <c r="AU73" s="214"/>
      <c r="AV73" s="214"/>
      <c r="AW73" s="214"/>
      <c r="AX73" s="214"/>
      <c r="AY73" s="214"/>
      <c r="AZ73" s="214"/>
      <c r="BA73" s="214"/>
      <c r="BB73" s="214"/>
      <c r="BC73" s="214"/>
      <c r="BD73" s="214"/>
      <c r="BE73" s="214"/>
      <c r="BF73" s="214"/>
      <c r="BG73" s="214"/>
      <c r="BH73" s="214"/>
      <c r="BI73" s="214"/>
      <c r="BJ73" s="214"/>
      <c r="BK73" s="214"/>
      <c r="BL73" s="214"/>
      <c r="BM73" s="214"/>
      <c r="BN73" s="214"/>
      <c r="BO73" s="214"/>
      <c r="BP73" s="214"/>
      <c r="BQ73" s="214"/>
      <c r="BR73" s="214"/>
      <c r="BS73" s="214"/>
      <c r="BT73" s="214"/>
      <c r="BU73" s="214"/>
      <c r="BV73" s="214"/>
      <c r="BW73" s="214"/>
      <c r="BX73" s="214"/>
      <c r="BY73" s="214"/>
      <c r="BZ73" s="214"/>
      <c r="CA73" s="214"/>
      <c r="CB73" s="214"/>
      <c r="CC73" s="214"/>
      <c r="CD73" s="214"/>
      <c r="CE73" s="214"/>
      <c r="CF73" s="214"/>
      <c r="CG73" s="214"/>
      <c r="CH73" s="214"/>
      <c r="CI73" s="214"/>
      <c r="CJ73" s="214"/>
      <c r="CK73" s="214"/>
      <c r="CL73" s="214"/>
      <c r="CM73" s="214"/>
      <c r="CN73" s="214"/>
      <c r="CO73" s="214"/>
      <c r="CP73" s="214"/>
      <c r="CQ73" s="214"/>
      <c r="CR73" s="214"/>
      <c r="CS73" s="214"/>
      <c r="CT73" s="214"/>
      <c r="CU73" s="214"/>
      <c r="CV73" s="214"/>
      <c r="CW73" s="214"/>
      <c r="CX73" s="214"/>
      <c r="CY73" s="214"/>
      <c r="CZ73" s="214"/>
      <c r="DA73" s="214"/>
      <c r="DB73" s="214"/>
      <c r="DC73" s="214"/>
      <c r="DD73" s="214"/>
      <c r="DE73" s="214"/>
      <c r="DF73" s="214"/>
      <c r="DG73" s="214"/>
      <c r="DH73" s="214"/>
      <c r="DI73" s="214"/>
      <c r="DJ73" s="214"/>
      <c r="DK73" s="214"/>
      <c r="DL73" s="214"/>
      <c r="DM73" s="214"/>
      <c r="DN73" s="214"/>
      <c r="DO73" s="214"/>
      <c r="DP73" s="214"/>
      <c r="DQ73" s="214"/>
      <c r="DR73" s="214"/>
      <c r="DS73" s="214"/>
      <c r="DT73" s="214"/>
      <c r="DU73" s="214"/>
      <c r="DV73" s="214"/>
      <c r="DW73" s="214"/>
      <c r="DX73" s="214"/>
      <c r="DY73" s="214"/>
      <c r="DZ73" s="214"/>
      <c r="EA73" s="214"/>
      <c r="EB73" s="214"/>
      <c r="EC73" s="214"/>
      <c r="ED73" s="214"/>
      <c r="EE73" s="214"/>
      <c r="EF73" s="214"/>
      <c r="EG73" s="214"/>
      <c r="EH73" s="214"/>
      <c r="EI73" s="214"/>
      <c r="EJ73" s="214"/>
      <c r="EK73" s="214"/>
      <c r="EL73" s="214"/>
      <c r="EM73" s="214"/>
      <c r="EN73" s="214"/>
      <c r="EO73" s="214"/>
      <c r="EP73" s="214"/>
      <c r="EQ73" s="214"/>
      <c r="ER73" s="214"/>
      <c r="ES73" s="214"/>
      <c r="ET73" s="214"/>
      <c r="EU73" s="231" t="s">
        <v>246</v>
      </c>
      <c r="EV73" s="232"/>
    </row>
    <row r="74" spans="1:157" ht="12.75" customHeight="1" thickBot="1" x14ac:dyDescent="0.35">
      <c r="A74" s="13"/>
      <c r="B74" s="165" t="s">
        <v>100</v>
      </c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214"/>
      <c r="S74" s="214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4"/>
      <c r="AF74" s="214"/>
      <c r="AG74" s="214"/>
      <c r="AH74" s="214"/>
      <c r="AI74" s="214"/>
      <c r="AJ74" s="214"/>
      <c r="AK74" s="214"/>
      <c r="AL74" s="214"/>
      <c r="AM74" s="214"/>
      <c r="AN74" s="214"/>
      <c r="AO74" s="214"/>
      <c r="AP74" s="214"/>
      <c r="AQ74" s="214"/>
      <c r="AR74" s="214"/>
      <c r="AS74" s="214"/>
      <c r="AT74" s="214"/>
      <c r="AU74" s="214"/>
      <c r="AV74" s="214"/>
      <c r="AW74" s="214"/>
      <c r="AX74" s="214"/>
      <c r="AY74" s="214"/>
      <c r="AZ74" s="214"/>
      <c r="BA74" s="214"/>
      <c r="BB74" s="214"/>
      <c r="BC74" s="214"/>
      <c r="BD74" s="214"/>
      <c r="BE74" s="214"/>
      <c r="BF74" s="214"/>
      <c r="BG74" s="214"/>
      <c r="BH74" s="214"/>
      <c r="BI74" s="214"/>
      <c r="BJ74" s="214"/>
      <c r="BK74" s="214"/>
      <c r="BL74" s="214"/>
      <c r="BM74" s="214"/>
      <c r="BN74" s="214"/>
      <c r="BO74" s="214"/>
      <c r="BP74" s="214"/>
      <c r="BQ74" s="214"/>
      <c r="BR74" s="214"/>
      <c r="BS74" s="214"/>
      <c r="BT74" s="214"/>
      <c r="BU74" s="214"/>
      <c r="BV74" s="214"/>
      <c r="BW74" s="214"/>
      <c r="BX74" s="214"/>
      <c r="BY74" s="214"/>
      <c r="BZ74" s="214"/>
      <c r="CA74" s="214"/>
      <c r="CB74" s="214"/>
      <c r="CC74" s="214"/>
      <c r="CD74" s="214"/>
      <c r="CE74" s="214"/>
      <c r="CF74" s="214"/>
      <c r="CG74" s="214"/>
      <c r="CH74" s="214"/>
      <c r="CI74" s="214"/>
      <c r="CJ74" s="214"/>
      <c r="CK74" s="214"/>
      <c r="CL74" s="214"/>
      <c r="CM74" s="214"/>
      <c r="CN74" s="214"/>
      <c r="CO74" s="214"/>
      <c r="CP74" s="214"/>
      <c r="CQ74" s="214"/>
      <c r="CR74" s="214"/>
      <c r="CS74" s="214"/>
      <c r="CT74" s="214"/>
      <c r="CU74" s="214"/>
      <c r="CV74" s="214"/>
      <c r="CW74" s="214"/>
      <c r="CX74" s="214"/>
      <c r="CY74" s="214"/>
      <c r="CZ74" s="214"/>
      <c r="DA74" s="214"/>
      <c r="DB74" s="214"/>
      <c r="DC74" s="214"/>
      <c r="DD74" s="214"/>
      <c r="DE74" s="214"/>
      <c r="DF74" s="214"/>
      <c r="DG74" s="214"/>
      <c r="DH74" s="214"/>
      <c r="DI74" s="214"/>
      <c r="DJ74" s="214"/>
      <c r="DK74" s="214"/>
      <c r="DL74" s="214"/>
      <c r="DM74" s="214"/>
      <c r="DN74" s="214"/>
      <c r="DO74" s="214"/>
      <c r="DP74" s="214"/>
      <c r="DQ74" s="214"/>
      <c r="DR74" s="214"/>
      <c r="DS74" s="214"/>
      <c r="DT74" s="214"/>
      <c r="DU74" s="214"/>
      <c r="DV74" s="214"/>
      <c r="DW74" s="214"/>
      <c r="DX74" s="214"/>
      <c r="DY74" s="214"/>
      <c r="DZ74" s="214"/>
      <c r="EA74" s="214"/>
      <c r="EB74" s="214"/>
      <c r="EC74" s="214"/>
      <c r="ED74" s="214"/>
      <c r="EE74" s="214"/>
      <c r="EF74" s="214"/>
      <c r="EG74" s="214"/>
      <c r="EH74" s="214"/>
      <c r="EI74" s="214"/>
      <c r="EJ74" s="214"/>
      <c r="EK74" s="214"/>
      <c r="EL74" s="214"/>
      <c r="EM74" s="214"/>
      <c r="EN74" s="214"/>
      <c r="EO74" s="214"/>
      <c r="EP74" s="214"/>
      <c r="EQ74" s="214"/>
      <c r="ER74" s="214"/>
      <c r="ES74" s="214"/>
      <c r="ET74" s="214"/>
      <c r="EU74" s="233">
        <v>2</v>
      </c>
      <c r="EV74" s="232"/>
    </row>
    <row r="75" spans="1:157" x14ac:dyDescent="0.3">
      <c r="A75" s="63" t="s">
        <v>91</v>
      </c>
      <c r="B75" s="64" t="s">
        <v>94</v>
      </c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4"/>
      <c r="AF75" s="214"/>
      <c r="AG75" s="214"/>
      <c r="AH75" s="214"/>
      <c r="AI75" s="214"/>
      <c r="AJ75" s="214"/>
      <c r="AK75" s="214"/>
      <c r="AL75" s="214"/>
      <c r="AM75" s="214"/>
      <c r="AN75" s="214"/>
      <c r="AO75" s="214"/>
      <c r="AP75" s="214"/>
      <c r="AQ75" s="214"/>
      <c r="AR75" s="214"/>
      <c r="AS75" s="214"/>
      <c r="AT75" s="214"/>
      <c r="AU75" s="214"/>
      <c r="AV75" s="214"/>
      <c r="AW75" s="214"/>
      <c r="AX75" s="214"/>
      <c r="AY75" s="214"/>
      <c r="AZ75" s="214"/>
      <c r="BA75" s="214"/>
      <c r="BB75" s="214"/>
      <c r="BC75" s="214"/>
      <c r="BD75" s="214"/>
      <c r="BE75" s="214"/>
      <c r="BF75" s="214"/>
      <c r="BG75" s="214"/>
      <c r="BH75" s="214"/>
      <c r="BI75" s="214"/>
      <c r="BJ75" s="214"/>
      <c r="BK75" s="214"/>
      <c r="BL75" s="214"/>
      <c r="BM75" s="214"/>
      <c r="BN75" s="214"/>
      <c r="BO75" s="214"/>
      <c r="BP75" s="214"/>
      <c r="BQ75" s="214"/>
      <c r="BR75" s="214"/>
      <c r="BS75" s="214"/>
      <c r="BT75" s="214"/>
      <c r="BU75" s="214"/>
      <c r="BV75" s="214"/>
      <c r="BW75" s="214"/>
      <c r="BX75" s="214"/>
      <c r="BY75" s="214"/>
      <c r="BZ75" s="214"/>
      <c r="CA75" s="214"/>
      <c r="CB75" s="214"/>
      <c r="CC75" s="214"/>
      <c r="CD75" s="214"/>
      <c r="CE75" s="214"/>
      <c r="CF75" s="214"/>
      <c r="CG75" s="214"/>
      <c r="CH75" s="214"/>
      <c r="CI75" s="214"/>
      <c r="CJ75" s="214"/>
      <c r="CK75" s="214"/>
      <c r="CL75" s="214"/>
      <c r="CM75" s="214"/>
      <c r="CN75" s="214"/>
      <c r="CO75" s="214"/>
      <c r="CP75" s="214"/>
      <c r="CQ75" s="214"/>
      <c r="CR75" s="214"/>
      <c r="CS75" s="214"/>
      <c r="CT75" s="214"/>
      <c r="CU75" s="214"/>
      <c r="CV75" s="214"/>
      <c r="CW75" s="214"/>
      <c r="CX75" s="214"/>
      <c r="CY75" s="214"/>
      <c r="CZ75" s="214"/>
      <c r="DA75" s="214"/>
      <c r="DB75" s="214"/>
      <c r="DC75" s="214"/>
      <c r="DD75" s="214"/>
      <c r="DE75" s="214"/>
      <c r="DF75" s="214"/>
      <c r="DG75" s="214"/>
      <c r="DH75" s="214"/>
      <c r="DI75" s="214"/>
      <c r="DJ75" s="214"/>
      <c r="DK75" s="214"/>
      <c r="DL75" s="214"/>
      <c r="DM75" s="214"/>
      <c r="DN75" s="214"/>
      <c r="DO75" s="214"/>
      <c r="DP75" s="214"/>
      <c r="DQ75" s="214"/>
      <c r="DR75" s="214"/>
      <c r="DS75" s="214"/>
      <c r="DT75" s="214"/>
      <c r="DU75" s="214"/>
      <c r="DV75" s="214"/>
      <c r="DW75" s="214"/>
      <c r="DX75" s="214"/>
      <c r="DY75" s="214"/>
      <c r="DZ75" s="214"/>
      <c r="EA75" s="214"/>
      <c r="EB75" s="214"/>
      <c r="EC75" s="214"/>
      <c r="ED75" s="214"/>
      <c r="EE75" s="214"/>
      <c r="EF75" s="214"/>
      <c r="EG75" s="214"/>
      <c r="EH75" s="214"/>
      <c r="EI75" s="214"/>
      <c r="EJ75" s="214"/>
      <c r="EK75" s="214"/>
      <c r="EL75" s="214"/>
      <c r="EM75" s="214"/>
      <c r="EN75" s="214"/>
      <c r="EO75" s="214"/>
      <c r="EP75" s="214"/>
      <c r="EQ75" s="214"/>
      <c r="ER75" s="214"/>
      <c r="ES75" s="214"/>
      <c r="ET75" s="214"/>
      <c r="EU75" s="234" t="str">
        <f>EU4</f>
        <v xml:space="preserve"> 2026 YTD-Avg </v>
      </c>
      <c r="EV75" s="235"/>
      <c r="EW75"/>
    </row>
    <row r="76" spans="1:157" ht="13.3" thickBot="1" x14ac:dyDescent="0.35">
      <c r="A76" s="65"/>
      <c r="B76" s="66" t="s">
        <v>76</v>
      </c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214"/>
      <c r="S76" s="214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4"/>
      <c r="AF76" s="214"/>
      <c r="AG76" s="214"/>
      <c r="AH76" s="214"/>
      <c r="AI76" s="214"/>
      <c r="AJ76" s="214"/>
      <c r="AK76" s="214"/>
      <c r="AL76" s="214"/>
      <c r="AM76" s="214"/>
      <c r="AN76" s="214"/>
      <c r="AO76" s="214"/>
      <c r="AP76" s="214"/>
      <c r="AQ76" s="214"/>
      <c r="AR76" s="214"/>
      <c r="AS76" s="214"/>
      <c r="AT76" s="214"/>
      <c r="AU76" s="214"/>
      <c r="AV76" s="214"/>
      <c r="AW76" s="214"/>
      <c r="AX76" s="214"/>
      <c r="AY76" s="214"/>
      <c r="AZ76" s="214"/>
      <c r="BA76" s="214"/>
      <c r="BB76" s="214"/>
      <c r="BC76" s="214"/>
      <c r="BD76" s="214"/>
      <c r="BE76" s="214"/>
      <c r="BF76" s="214"/>
      <c r="BG76" s="214"/>
      <c r="BH76" s="214"/>
      <c r="BI76" s="214"/>
      <c r="BJ76" s="214"/>
      <c r="BK76" s="214"/>
      <c r="BL76" s="214"/>
      <c r="BM76" s="214"/>
      <c r="BN76" s="214"/>
      <c r="BO76" s="214"/>
      <c r="BP76" s="214"/>
      <c r="BQ76" s="214"/>
      <c r="BR76" s="214"/>
      <c r="BS76" s="214"/>
      <c r="BT76" s="214"/>
      <c r="BU76" s="214"/>
      <c r="BV76" s="214"/>
      <c r="BW76" s="214"/>
      <c r="BX76" s="214"/>
      <c r="BY76" s="214"/>
      <c r="BZ76" s="214"/>
      <c r="CA76" s="214"/>
      <c r="CB76" s="214"/>
      <c r="CC76" s="214"/>
      <c r="CD76" s="214"/>
      <c r="CE76" s="214"/>
      <c r="CF76" s="214"/>
      <c r="CG76" s="214"/>
      <c r="CH76" s="214"/>
      <c r="CI76" s="214"/>
      <c r="CJ76" s="214"/>
      <c r="CK76" s="214"/>
      <c r="CL76" s="214"/>
      <c r="CM76" s="214"/>
      <c r="CN76" s="214"/>
      <c r="CO76" s="214"/>
      <c r="CP76" s="214"/>
      <c r="CQ76" s="214"/>
      <c r="CR76" s="214"/>
      <c r="CS76" s="214"/>
      <c r="CT76" s="214"/>
      <c r="CU76" s="214"/>
      <c r="CV76" s="214"/>
      <c r="CW76" s="214"/>
      <c r="CX76" s="214"/>
      <c r="CY76" s="214"/>
      <c r="CZ76" s="214"/>
      <c r="DA76" s="214"/>
      <c r="DB76" s="214"/>
      <c r="DC76" s="214"/>
      <c r="DD76" s="214"/>
      <c r="DE76" s="214"/>
      <c r="DF76" s="214"/>
      <c r="DG76" s="214"/>
      <c r="DH76" s="214"/>
      <c r="DI76" s="214"/>
      <c r="DJ76" s="214"/>
      <c r="DK76" s="214"/>
      <c r="DL76" s="214"/>
      <c r="DM76" s="214"/>
      <c r="DN76" s="214"/>
      <c r="DO76" s="214"/>
      <c r="DP76" s="214"/>
      <c r="DQ76" s="214"/>
      <c r="DR76" s="214"/>
      <c r="DS76" s="214"/>
      <c r="DT76" s="214"/>
      <c r="DU76" s="214"/>
      <c r="DV76" s="214"/>
      <c r="DW76" s="214"/>
      <c r="DX76" s="214"/>
      <c r="DY76" s="214"/>
      <c r="DZ76" s="214"/>
      <c r="EA76" s="214"/>
      <c r="EB76" s="214"/>
      <c r="EC76" s="214"/>
      <c r="ED76" s="214"/>
      <c r="EE76" s="214"/>
      <c r="EF76" s="214"/>
      <c r="EG76" s="214"/>
      <c r="EH76" s="214"/>
      <c r="EI76" s="214"/>
      <c r="EJ76" s="214"/>
      <c r="EK76" s="214"/>
      <c r="EL76" s="214"/>
      <c r="EM76" s="214"/>
      <c r="EN76" s="214"/>
      <c r="EO76" s="214"/>
      <c r="EP76" s="214"/>
      <c r="EQ76" s="214"/>
      <c r="ER76" s="214"/>
      <c r="ES76" s="214"/>
      <c r="ET76" s="214"/>
      <c r="EU76" s="236" t="s">
        <v>101</v>
      </c>
      <c r="EV76" s="237" t="s">
        <v>78</v>
      </c>
      <c r="EW76"/>
    </row>
    <row r="77" spans="1:157" x14ac:dyDescent="0.3">
      <c r="A77" s="67"/>
      <c r="B77" s="68" t="s">
        <v>89</v>
      </c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214"/>
      <c r="S77" s="214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4"/>
      <c r="AF77" s="214"/>
      <c r="AG77" s="214"/>
      <c r="AH77" s="214"/>
      <c r="AI77" s="214"/>
      <c r="AJ77" s="214"/>
      <c r="AK77" s="214"/>
      <c r="AL77" s="214"/>
      <c r="AM77" s="214"/>
      <c r="AN77" s="214"/>
      <c r="AO77" s="214"/>
      <c r="AP77" s="214"/>
      <c r="AQ77" s="214"/>
      <c r="AR77" s="214"/>
      <c r="AS77" s="214"/>
      <c r="AT77" s="214"/>
      <c r="AU77" s="214"/>
      <c r="AV77" s="214"/>
      <c r="AW77" s="214"/>
      <c r="AX77" s="214"/>
      <c r="AY77" s="214"/>
      <c r="AZ77" s="214"/>
      <c r="BA77" s="214"/>
      <c r="BB77" s="214"/>
      <c r="BC77" s="214"/>
      <c r="BD77" s="214"/>
      <c r="BE77" s="214"/>
      <c r="BF77" s="214"/>
      <c r="BG77" s="214"/>
      <c r="BH77" s="214"/>
      <c r="BI77" s="214"/>
      <c r="BJ77" s="214"/>
      <c r="BK77" s="214"/>
      <c r="BL77" s="214"/>
      <c r="BM77" s="214"/>
      <c r="BN77" s="214"/>
      <c r="BO77" s="214"/>
      <c r="BP77" s="214"/>
      <c r="BQ77" s="214"/>
      <c r="BR77" s="214"/>
      <c r="BS77" s="214"/>
      <c r="BT77" s="214"/>
      <c r="BU77" s="214"/>
      <c r="BV77" s="214"/>
      <c r="BW77" s="214"/>
      <c r="BX77" s="214"/>
      <c r="BY77" s="214"/>
      <c r="BZ77" s="214"/>
      <c r="CA77" s="214"/>
      <c r="CB77" s="214"/>
      <c r="CC77" s="214"/>
      <c r="CD77" s="214"/>
      <c r="CE77" s="214"/>
      <c r="CF77" s="214"/>
      <c r="CG77" s="214"/>
      <c r="CH77" s="214"/>
      <c r="CI77" s="214"/>
      <c r="CJ77" s="214"/>
      <c r="CK77" s="214"/>
      <c r="CL77" s="214"/>
      <c r="CM77" s="214"/>
      <c r="CN77" s="214"/>
      <c r="CO77" s="214"/>
      <c r="CP77" s="214"/>
      <c r="CQ77" s="214"/>
      <c r="CR77" s="214"/>
      <c r="CS77" s="214"/>
      <c r="CT77" s="214"/>
      <c r="CU77" s="214"/>
      <c r="CV77" s="214"/>
      <c r="CW77" s="214"/>
      <c r="CX77" s="214"/>
      <c r="CY77" s="214"/>
      <c r="CZ77" s="214"/>
      <c r="DA77" s="214"/>
      <c r="DB77" s="214"/>
      <c r="DC77" s="214"/>
      <c r="DD77" s="214"/>
      <c r="DE77" s="214"/>
      <c r="DF77" s="214"/>
      <c r="DG77" s="214"/>
      <c r="DH77" s="214"/>
      <c r="DI77" s="214"/>
      <c r="DJ77" s="214"/>
      <c r="DK77" s="214"/>
      <c r="DL77" s="214"/>
      <c r="DM77" s="214"/>
      <c r="DN77" s="214"/>
      <c r="DO77" s="214"/>
      <c r="DP77" s="214"/>
      <c r="DQ77" s="214"/>
      <c r="DR77" s="214"/>
      <c r="DS77" s="214"/>
      <c r="DT77" s="214"/>
      <c r="DU77" s="214"/>
      <c r="DV77" s="214"/>
      <c r="DW77" s="214"/>
      <c r="DX77" s="214"/>
      <c r="DY77" s="214"/>
      <c r="DZ77" s="214"/>
      <c r="EA77" s="214"/>
      <c r="EB77" s="214"/>
      <c r="EC77" s="214"/>
      <c r="ED77" s="214"/>
      <c r="EE77" s="214"/>
      <c r="EF77" s="214"/>
      <c r="EG77" s="214"/>
      <c r="EH77" s="214"/>
      <c r="EI77" s="214"/>
      <c r="EJ77" s="214"/>
      <c r="EK77" s="214"/>
      <c r="EL77" s="214"/>
      <c r="EM77" s="214"/>
      <c r="EN77" s="214"/>
      <c r="EO77" s="214"/>
      <c r="EP77" s="214"/>
      <c r="EQ77" s="214"/>
      <c r="ER77" s="214"/>
      <c r="ES77" s="214"/>
      <c r="ET77" s="214"/>
      <c r="EU77" s="238">
        <f t="shared" ref="EU77:EU87" si="6">EU61</f>
        <v>0</v>
      </c>
      <c r="EV77" s="239">
        <f>EU77/EU84</f>
        <v>0</v>
      </c>
      <c r="EW77"/>
    </row>
    <row r="78" spans="1:157" x14ac:dyDescent="0.3">
      <c r="A78" s="67"/>
      <c r="B78" s="69" t="s">
        <v>79</v>
      </c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4"/>
      <c r="AF78" s="214"/>
      <c r="AG78" s="214"/>
      <c r="AH78" s="214"/>
      <c r="AI78" s="214"/>
      <c r="AJ78" s="214"/>
      <c r="AK78" s="214"/>
      <c r="AL78" s="214"/>
      <c r="AM78" s="214"/>
      <c r="AN78" s="214"/>
      <c r="AO78" s="214"/>
      <c r="AP78" s="214"/>
      <c r="AQ78" s="214"/>
      <c r="AR78" s="214"/>
      <c r="AS78" s="214"/>
      <c r="AT78" s="214"/>
      <c r="AU78" s="214"/>
      <c r="AV78" s="214"/>
      <c r="AW78" s="214"/>
      <c r="AX78" s="214"/>
      <c r="AY78" s="214"/>
      <c r="AZ78" s="214"/>
      <c r="BA78" s="214"/>
      <c r="BB78" s="214"/>
      <c r="BC78" s="214"/>
      <c r="BD78" s="214"/>
      <c r="BE78" s="214"/>
      <c r="BF78" s="214"/>
      <c r="BG78" s="214"/>
      <c r="BH78" s="214"/>
      <c r="BI78" s="214"/>
      <c r="BJ78" s="214"/>
      <c r="BK78" s="214"/>
      <c r="BL78" s="214"/>
      <c r="BM78" s="214"/>
      <c r="BN78" s="214"/>
      <c r="BO78" s="214"/>
      <c r="BP78" s="214"/>
      <c r="BQ78" s="214"/>
      <c r="BR78" s="214"/>
      <c r="BS78" s="214"/>
      <c r="BT78" s="214"/>
      <c r="BU78" s="214"/>
      <c r="BV78" s="214"/>
      <c r="BW78" s="214"/>
      <c r="BX78" s="214"/>
      <c r="BY78" s="214"/>
      <c r="BZ78" s="214"/>
      <c r="CA78" s="214"/>
      <c r="CB78" s="214"/>
      <c r="CC78" s="214"/>
      <c r="CD78" s="214"/>
      <c r="CE78" s="214"/>
      <c r="CF78" s="214"/>
      <c r="CG78" s="214"/>
      <c r="CH78" s="214"/>
      <c r="CI78" s="214"/>
      <c r="CJ78" s="214"/>
      <c r="CK78" s="214"/>
      <c r="CL78" s="214"/>
      <c r="CM78" s="214"/>
      <c r="CN78" s="214"/>
      <c r="CO78" s="214"/>
      <c r="CP78" s="214"/>
      <c r="CQ78" s="214"/>
      <c r="CR78" s="214"/>
      <c r="CS78" s="214"/>
      <c r="CT78" s="214"/>
      <c r="CU78" s="214"/>
      <c r="CV78" s="214"/>
      <c r="CW78" s="214"/>
      <c r="CX78" s="214"/>
      <c r="CY78" s="214"/>
      <c r="CZ78" s="214"/>
      <c r="DA78" s="214"/>
      <c r="DB78" s="214"/>
      <c r="DC78" s="214"/>
      <c r="DD78" s="214"/>
      <c r="DE78" s="214"/>
      <c r="DF78" s="214"/>
      <c r="DG78" s="214"/>
      <c r="DH78" s="214"/>
      <c r="DI78" s="214"/>
      <c r="DJ78" s="214"/>
      <c r="DK78" s="214"/>
      <c r="DL78" s="214"/>
      <c r="DM78" s="214"/>
      <c r="DN78" s="214"/>
      <c r="DO78" s="214"/>
      <c r="DP78" s="214"/>
      <c r="DQ78" s="214"/>
      <c r="DR78" s="214"/>
      <c r="DS78" s="214"/>
      <c r="DT78" s="214"/>
      <c r="DU78" s="214"/>
      <c r="DV78" s="214"/>
      <c r="DW78" s="214"/>
      <c r="DX78" s="214"/>
      <c r="DY78" s="214"/>
      <c r="DZ78" s="214"/>
      <c r="EA78" s="214"/>
      <c r="EB78" s="214"/>
      <c r="EC78" s="214"/>
      <c r="ED78" s="214"/>
      <c r="EE78" s="214"/>
      <c r="EF78" s="214"/>
      <c r="EG78" s="214"/>
      <c r="EH78" s="214"/>
      <c r="EI78" s="214"/>
      <c r="EJ78" s="214"/>
      <c r="EK78" s="214"/>
      <c r="EL78" s="214"/>
      <c r="EM78" s="214"/>
      <c r="EN78" s="214"/>
      <c r="EO78" s="214"/>
      <c r="EP78" s="214"/>
      <c r="EQ78" s="214"/>
      <c r="ER78" s="214"/>
      <c r="ES78" s="214"/>
      <c r="ET78" s="214"/>
      <c r="EU78" s="240">
        <f t="shared" si="6"/>
        <v>23288842.539048873</v>
      </c>
      <c r="EV78" s="241">
        <f>EU78/EU84</f>
        <v>0.95336945848639065</v>
      </c>
      <c r="EW78"/>
    </row>
    <row r="79" spans="1:157" x14ac:dyDescent="0.3">
      <c r="A79" s="67"/>
      <c r="B79" s="69" t="s">
        <v>107</v>
      </c>
      <c r="C79" s="214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  <c r="X79" s="214"/>
      <c r="Y79" s="214"/>
      <c r="Z79" s="214"/>
      <c r="AA79" s="214"/>
      <c r="AB79" s="214"/>
      <c r="AC79" s="214"/>
      <c r="AD79" s="214"/>
      <c r="AE79" s="214"/>
      <c r="AF79" s="214"/>
      <c r="AG79" s="214"/>
      <c r="AH79" s="214"/>
      <c r="AI79" s="214"/>
      <c r="AJ79" s="214"/>
      <c r="AK79" s="214"/>
      <c r="AL79" s="214"/>
      <c r="AM79" s="214"/>
      <c r="AN79" s="214"/>
      <c r="AO79" s="214"/>
      <c r="AP79" s="214"/>
      <c r="AQ79" s="214"/>
      <c r="AR79" s="214"/>
      <c r="AS79" s="214"/>
      <c r="AT79" s="214"/>
      <c r="AU79" s="214"/>
      <c r="AV79" s="214"/>
      <c r="AW79" s="214"/>
      <c r="AX79" s="214"/>
      <c r="AY79" s="214"/>
      <c r="AZ79" s="214"/>
      <c r="BA79" s="214"/>
      <c r="BB79" s="214"/>
      <c r="BC79" s="214"/>
      <c r="BD79" s="214"/>
      <c r="BE79" s="214"/>
      <c r="BF79" s="214"/>
      <c r="BG79" s="214"/>
      <c r="BH79" s="214"/>
      <c r="BI79" s="214"/>
      <c r="BJ79" s="214"/>
      <c r="BK79" s="214"/>
      <c r="BL79" s="214"/>
      <c r="BM79" s="214"/>
      <c r="BN79" s="214"/>
      <c r="BO79" s="214"/>
      <c r="BP79" s="214"/>
      <c r="BQ79" s="214"/>
      <c r="BR79" s="214"/>
      <c r="BS79" s="214"/>
      <c r="BT79" s="214"/>
      <c r="BU79" s="214"/>
      <c r="BV79" s="214"/>
      <c r="BW79" s="214"/>
      <c r="BX79" s="214"/>
      <c r="BY79" s="214"/>
      <c r="BZ79" s="214"/>
      <c r="CA79" s="214"/>
      <c r="CB79" s="214"/>
      <c r="CC79" s="214"/>
      <c r="CD79" s="214"/>
      <c r="CE79" s="214"/>
      <c r="CF79" s="214"/>
      <c r="CG79" s="214"/>
      <c r="CH79" s="214"/>
      <c r="CI79" s="214"/>
      <c r="CJ79" s="214"/>
      <c r="CK79" s="214"/>
      <c r="CL79" s="214"/>
      <c r="CM79" s="214"/>
      <c r="CN79" s="214"/>
      <c r="CO79" s="214"/>
      <c r="CP79" s="214"/>
      <c r="CQ79" s="214"/>
      <c r="CR79" s="214"/>
      <c r="CS79" s="214"/>
      <c r="CT79" s="214"/>
      <c r="CU79" s="214"/>
      <c r="CV79" s="214"/>
      <c r="CW79" s="214"/>
      <c r="CX79" s="214"/>
      <c r="CY79" s="214"/>
      <c r="CZ79" s="214"/>
      <c r="DA79" s="214"/>
      <c r="DB79" s="214"/>
      <c r="DC79" s="214"/>
      <c r="DD79" s="214"/>
      <c r="DE79" s="214"/>
      <c r="DF79" s="214"/>
      <c r="DG79" s="214"/>
      <c r="DH79" s="214"/>
      <c r="DI79" s="214"/>
      <c r="DJ79" s="214"/>
      <c r="DK79" s="214"/>
      <c r="DL79" s="214"/>
      <c r="DM79" s="214"/>
      <c r="DN79" s="214"/>
      <c r="DO79" s="214"/>
      <c r="DP79" s="214"/>
      <c r="DQ79" s="214"/>
      <c r="DR79" s="214"/>
      <c r="DS79" s="214"/>
      <c r="DT79" s="214"/>
      <c r="DU79" s="214"/>
      <c r="DV79" s="214"/>
      <c r="DW79" s="214"/>
      <c r="DX79" s="214"/>
      <c r="DY79" s="214"/>
      <c r="DZ79" s="214"/>
      <c r="EA79" s="214"/>
      <c r="EB79" s="214"/>
      <c r="EC79" s="214"/>
      <c r="ED79" s="214"/>
      <c r="EE79" s="214"/>
      <c r="EF79" s="214"/>
      <c r="EG79" s="214"/>
      <c r="EH79" s="214"/>
      <c r="EI79" s="214"/>
      <c r="EJ79" s="214"/>
      <c r="EK79" s="214"/>
      <c r="EL79" s="214"/>
      <c r="EM79" s="214"/>
      <c r="EN79" s="214"/>
      <c r="EO79" s="214"/>
      <c r="EP79" s="214"/>
      <c r="EQ79" s="214"/>
      <c r="ER79" s="214"/>
      <c r="ES79" s="214"/>
      <c r="ET79" s="214"/>
      <c r="EU79" s="240">
        <f t="shared" si="6"/>
        <v>0</v>
      </c>
      <c r="EV79" s="241">
        <f>EU79/EU84</f>
        <v>0</v>
      </c>
      <c r="EW79"/>
    </row>
    <row r="80" spans="1:157" x14ac:dyDescent="0.3">
      <c r="A80" s="70"/>
      <c r="B80" s="69" t="s">
        <v>80</v>
      </c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4"/>
      <c r="Y80" s="214"/>
      <c r="Z80" s="214"/>
      <c r="AA80" s="214"/>
      <c r="AB80" s="214"/>
      <c r="AC80" s="214"/>
      <c r="AD80" s="214"/>
      <c r="AE80" s="214"/>
      <c r="AF80" s="214"/>
      <c r="AG80" s="214"/>
      <c r="AH80" s="214"/>
      <c r="AI80" s="214"/>
      <c r="AJ80" s="214"/>
      <c r="AK80" s="214"/>
      <c r="AL80" s="214"/>
      <c r="AM80" s="214"/>
      <c r="AN80" s="214"/>
      <c r="AO80" s="214"/>
      <c r="AP80" s="214"/>
      <c r="AQ80" s="214"/>
      <c r="AR80" s="214"/>
      <c r="AS80" s="214"/>
      <c r="AT80" s="214"/>
      <c r="AU80" s="214"/>
      <c r="AV80" s="214"/>
      <c r="AW80" s="214"/>
      <c r="AX80" s="214"/>
      <c r="AY80" s="214"/>
      <c r="AZ80" s="214"/>
      <c r="BA80" s="214"/>
      <c r="BB80" s="214"/>
      <c r="BC80" s="214"/>
      <c r="BD80" s="214"/>
      <c r="BE80" s="214"/>
      <c r="BF80" s="214"/>
      <c r="BG80" s="214"/>
      <c r="BH80" s="214"/>
      <c r="BI80" s="214"/>
      <c r="BJ80" s="214"/>
      <c r="BK80" s="214"/>
      <c r="BL80" s="214"/>
      <c r="BM80" s="214"/>
      <c r="BN80" s="214"/>
      <c r="BO80" s="214"/>
      <c r="BP80" s="214"/>
      <c r="BQ80" s="214"/>
      <c r="BR80" s="214"/>
      <c r="BS80" s="214"/>
      <c r="BT80" s="214"/>
      <c r="BU80" s="214"/>
      <c r="BV80" s="214"/>
      <c r="BW80" s="214"/>
      <c r="BX80" s="214"/>
      <c r="BY80" s="214"/>
      <c r="BZ80" s="214"/>
      <c r="CA80" s="214"/>
      <c r="CB80" s="214"/>
      <c r="CC80" s="214"/>
      <c r="CD80" s="214"/>
      <c r="CE80" s="214"/>
      <c r="CF80" s="214"/>
      <c r="CG80" s="214"/>
      <c r="CH80" s="214"/>
      <c r="CI80" s="214"/>
      <c r="CJ80" s="214"/>
      <c r="CK80" s="214"/>
      <c r="CL80" s="214"/>
      <c r="CM80" s="214"/>
      <c r="CN80" s="214"/>
      <c r="CO80" s="214"/>
      <c r="CP80" s="214"/>
      <c r="CQ80" s="214"/>
      <c r="CR80" s="214"/>
      <c r="CS80" s="214"/>
      <c r="CT80" s="214"/>
      <c r="CU80" s="214"/>
      <c r="CV80" s="214"/>
      <c r="CW80" s="214"/>
      <c r="CX80" s="214"/>
      <c r="CY80" s="214"/>
      <c r="CZ80" s="214"/>
      <c r="DA80" s="214"/>
      <c r="DB80" s="214"/>
      <c r="DC80" s="214"/>
      <c r="DD80" s="214"/>
      <c r="DE80" s="214"/>
      <c r="DF80" s="214"/>
      <c r="DG80" s="214"/>
      <c r="DH80" s="214"/>
      <c r="DI80" s="214"/>
      <c r="DJ80" s="214"/>
      <c r="DK80" s="214"/>
      <c r="DL80" s="214"/>
      <c r="DM80" s="214"/>
      <c r="DN80" s="214"/>
      <c r="DO80" s="214"/>
      <c r="DP80" s="214"/>
      <c r="DQ80" s="214"/>
      <c r="DR80" s="214"/>
      <c r="DS80" s="214"/>
      <c r="DT80" s="214"/>
      <c r="DU80" s="214"/>
      <c r="DV80" s="214"/>
      <c r="DW80" s="214"/>
      <c r="DX80" s="214"/>
      <c r="DY80" s="214"/>
      <c r="DZ80" s="214"/>
      <c r="EA80" s="214"/>
      <c r="EB80" s="214"/>
      <c r="EC80" s="214"/>
      <c r="ED80" s="214"/>
      <c r="EE80" s="214"/>
      <c r="EF80" s="214"/>
      <c r="EG80" s="214"/>
      <c r="EH80" s="214"/>
      <c r="EI80" s="214"/>
      <c r="EJ80" s="214"/>
      <c r="EK80" s="214"/>
      <c r="EL80" s="214"/>
      <c r="EM80" s="214"/>
      <c r="EN80" s="214"/>
      <c r="EO80" s="214"/>
      <c r="EP80" s="214"/>
      <c r="EQ80" s="214"/>
      <c r="ER80" s="214"/>
      <c r="ES80" s="214"/>
      <c r="ET80" s="214"/>
      <c r="EU80" s="242">
        <f t="shared" si="6"/>
        <v>1138003.035925502</v>
      </c>
      <c r="EV80" s="243">
        <f>EU80/EU84</f>
        <v>4.6586142540017951E-2</v>
      </c>
      <c r="EW80"/>
    </row>
    <row r="81" spans="1:153" x14ac:dyDescent="0.3">
      <c r="A81" s="70"/>
      <c r="B81" s="69" t="s">
        <v>81</v>
      </c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214"/>
      <c r="W81" s="214"/>
      <c r="X81" s="214"/>
      <c r="Y81" s="214"/>
      <c r="Z81" s="214"/>
      <c r="AA81" s="214"/>
      <c r="AB81" s="214"/>
      <c r="AC81" s="214"/>
      <c r="AD81" s="214"/>
      <c r="AE81" s="214"/>
      <c r="AF81" s="214"/>
      <c r="AG81" s="214"/>
      <c r="AH81" s="214"/>
      <c r="AI81" s="214"/>
      <c r="AJ81" s="214"/>
      <c r="AK81" s="214"/>
      <c r="AL81" s="214"/>
      <c r="AM81" s="214"/>
      <c r="AN81" s="214"/>
      <c r="AO81" s="214"/>
      <c r="AP81" s="214"/>
      <c r="AQ81" s="214"/>
      <c r="AR81" s="214"/>
      <c r="AS81" s="214"/>
      <c r="AT81" s="214"/>
      <c r="AU81" s="214"/>
      <c r="AV81" s="214"/>
      <c r="AW81" s="214"/>
      <c r="AX81" s="214"/>
      <c r="AY81" s="214"/>
      <c r="AZ81" s="214"/>
      <c r="BA81" s="214"/>
      <c r="BB81" s="214"/>
      <c r="BC81" s="214"/>
      <c r="BD81" s="214"/>
      <c r="BE81" s="214"/>
      <c r="BF81" s="214"/>
      <c r="BG81" s="214"/>
      <c r="BH81" s="214"/>
      <c r="BI81" s="214"/>
      <c r="BJ81" s="214"/>
      <c r="BK81" s="214"/>
      <c r="BL81" s="214"/>
      <c r="BM81" s="214"/>
      <c r="BN81" s="214"/>
      <c r="BO81" s="214"/>
      <c r="BP81" s="214"/>
      <c r="BQ81" s="214"/>
      <c r="BR81" s="214"/>
      <c r="BS81" s="214"/>
      <c r="BT81" s="214"/>
      <c r="BU81" s="214"/>
      <c r="BV81" s="214"/>
      <c r="BW81" s="214"/>
      <c r="BX81" s="214"/>
      <c r="BY81" s="214"/>
      <c r="BZ81" s="214"/>
      <c r="CA81" s="214"/>
      <c r="CB81" s="214"/>
      <c r="CC81" s="214"/>
      <c r="CD81" s="214"/>
      <c r="CE81" s="214"/>
      <c r="CF81" s="214"/>
      <c r="CG81" s="214"/>
      <c r="CH81" s="214"/>
      <c r="CI81" s="214"/>
      <c r="CJ81" s="214"/>
      <c r="CK81" s="214"/>
      <c r="CL81" s="214"/>
      <c r="CM81" s="214"/>
      <c r="CN81" s="214"/>
      <c r="CO81" s="214"/>
      <c r="CP81" s="214"/>
      <c r="CQ81" s="214"/>
      <c r="CR81" s="214"/>
      <c r="CS81" s="214"/>
      <c r="CT81" s="214"/>
      <c r="CU81" s="214"/>
      <c r="CV81" s="214"/>
      <c r="CW81" s="214"/>
      <c r="CX81" s="214"/>
      <c r="CY81" s="214"/>
      <c r="CZ81" s="214"/>
      <c r="DA81" s="214"/>
      <c r="DB81" s="214"/>
      <c r="DC81" s="214"/>
      <c r="DD81" s="214"/>
      <c r="DE81" s="214"/>
      <c r="DF81" s="214"/>
      <c r="DG81" s="214"/>
      <c r="DH81" s="214"/>
      <c r="DI81" s="214"/>
      <c r="DJ81" s="214"/>
      <c r="DK81" s="214"/>
      <c r="DL81" s="214"/>
      <c r="DM81" s="214"/>
      <c r="DN81" s="214"/>
      <c r="DO81" s="214"/>
      <c r="DP81" s="214"/>
      <c r="DQ81" s="214"/>
      <c r="DR81" s="214"/>
      <c r="DS81" s="214"/>
      <c r="DT81" s="214"/>
      <c r="DU81" s="214"/>
      <c r="DV81" s="214"/>
      <c r="DW81" s="214"/>
      <c r="DX81" s="214"/>
      <c r="DY81" s="214"/>
      <c r="DZ81" s="214"/>
      <c r="EA81" s="214"/>
      <c r="EB81" s="214"/>
      <c r="EC81" s="214"/>
      <c r="ED81" s="214"/>
      <c r="EE81" s="214"/>
      <c r="EF81" s="214"/>
      <c r="EG81" s="214"/>
      <c r="EH81" s="214"/>
      <c r="EI81" s="214"/>
      <c r="EJ81" s="214"/>
      <c r="EK81" s="214"/>
      <c r="EL81" s="214"/>
      <c r="EM81" s="214"/>
      <c r="EN81" s="214"/>
      <c r="EO81" s="214"/>
      <c r="EP81" s="214"/>
      <c r="EQ81" s="214"/>
      <c r="ER81" s="214"/>
      <c r="ES81" s="214"/>
      <c r="ET81" s="214"/>
      <c r="EU81" s="240">
        <f t="shared" si="6"/>
        <v>0</v>
      </c>
      <c r="EV81" s="244">
        <f>EU81/EU84</f>
        <v>0</v>
      </c>
      <c r="EW81"/>
    </row>
    <row r="82" spans="1:153" x14ac:dyDescent="0.3">
      <c r="A82" s="70" t="s">
        <v>152</v>
      </c>
      <c r="B82" s="69" t="s">
        <v>82</v>
      </c>
      <c r="C82" s="214"/>
      <c r="D82" s="214"/>
      <c r="E82" s="214"/>
      <c r="F82" s="214"/>
      <c r="G82" s="214"/>
      <c r="H82" s="214"/>
      <c r="I82" s="214"/>
      <c r="J82" s="214"/>
      <c r="K82" s="214"/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214"/>
      <c r="W82" s="214"/>
      <c r="X82" s="214"/>
      <c r="Y82" s="214"/>
      <c r="Z82" s="214"/>
      <c r="AA82" s="214"/>
      <c r="AB82" s="214"/>
      <c r="AC82" s="214"/>
      <c r="AD82" s="214"/>
      <c r="AE82" s="214"/>
      <c r="AF82" s="214"/>
      <c r="AG82" s="214"/>
      <c r="AH82" s="214"/>
      <c r="AI82" s="214"/>
      <c r="AJ82" s="214"/>
      <c r="AK82" s="214"/>
      <c r="AL82" s="214"/>
      <c r="AM82" s="214"/>
      <c r="AN82" s="214"/>
      <c r="AO82" s="214"/>
      <c r="AP82" s="214"/>
      <c r="AQ82" s="214"/>
      <c r="AR82" s="214"/>
      <c r="AS82" s="214"/>
      <c r="AT82" s="214"/>
      <c r="AU82" s="214"/>
      <c r="AV82" s="214"/>
      <c r="AW82" s="214"/>
      <c r="AX82" s="214"/>
      <c r="AY82" s="214"/>
      <c r="AZ82" s="214"/>
      <c r="BA82" s="214"/>
      <c r="BB82" s="214"/>
      <c r="BC82" s="214"/>
      <c r="BD82" s="214"/>
      <c r="BE82" s="214"/>
      <c r="BF82" s="214"/>
      <c r="BG82" s="214"/>
      <c r="BH82" s="214"/>
      <c r="BI82" s="214"/>
      <c r="BJ82" s="214"/>
      <c r="BK82" s="214"/>
      <c r="BL82" s="214"/>
      <c r="BM82" s="214"/>
      <c r="BN82" s="214"/>
      <c r="BO82" s="214"/>
      <c r="BP82" s="214"/>
      <c r="BQ82" s="214"/>
      <c r="BR82" s="214"/>
      <c r="BS82" s="214"/>
      <c r="BT82" s="214"/>
      <c r="BU82" s="214"/>
      <c r="BV82" s="214"/>
      <c r="BW82" s="214"/>
      <c r="BX82" s="214"/>
      <c r="BY82" s="214"/>
      <c r="BZ82" s="214"/>
      <c r="CA82" s="214"/>
      <c r="CB82" s="214"/>
      <c r="CC82" s="214"/>
      <c r="CD82" s="214"/>
      <c r="CE82" s="214"/>
      <c r="CF82" s="214"/>
      <c r="CG82" s="214"/>
      <c r="CH82" s="214"/>
      <c r="CI82" s="214"/>
      <c r="CJ82" s="214"/>
      <c r="CK82" s="214"/>
      <c r="CL82" s="214"/>
      <c r="CM82" s="214"/>
      <c r="CN82" s="214"/>
      <c r="CO82" s="214"/>
      <c r="CP82" s="214"/>
      <c r="CQ82" s="214"/>
      <c r="CR82" s="214"/>
      <c r="CS82" s="214"/>
      <c r="CT82" s="214"/>
      <c r="CU82" s="214"/>
      <c r="CV82" s="214"/>
      <c r="CW82" s="214"/>
      <c r="CX82" s="214"/>
      <c r="CY82" s="214"/>
      <c r="CZ82" s="214"/>
      <c r="DA82" s="214"/>
      <c r="DB82" s="214"/>
      <c r="DC82" s="214"/>
      <c r="DD82" s="214"/>
      <c r="DE82" s="214"/>
      <c r="DF82" s="214"/>
      <c r="DG82" s="214"/>
      <c r="DH82" s="214"/>
      <c r="DI82" s="214"/>
      <c r="DJ82" s="214"/>
      <c r="DK82" s="214"/>
      <c r="DL82" s="214"/>
      <c r="DM82" s="214"/>
      <c r="DN82" s="214"/>
      <c r="DO82" s="214"/>
      <c r="DP82" s="214"/>
      <c r="DQ82" s="214"/>
      <c r="DR82" s="214"/>
      <c r="DS82" s="214"/>
      <c r="DT82" s="214"/>
      <c r="DU82" s="214"/>
      <c r="DV82" s="214"/>
      <c r="DW82" s="214"/>
      <c r="DX82" s="214"/>
      <c r="DY82" s="214"/>
      <c r="DZ82" s="214"/>
      <c r="EA82" s="214"/>
      <c r="EB82" s="214"/>
      <c r="EC82" s="214"/>
      <c r="ED82" s="214"/>
      <c r="EE82" s="214"/>
      <c r="EF82" s="214"/>
      <c r="EG82" s="214"/>
      <c r="EH82" s="214"/>
      <c r="EI82" s="214"/>
      <c r="EJ82" s="214"/>
      <c r="EK82" s="214"/>
      <c r="EL82" s="214"/>
      <c r="EM82" s="214"/>
      <c r="EN82" s="214"/>
      <c r="EO82" s="214"/>
      <c r="EP82" s="214"/>
      <c r="EQ82" s="214"/>
      <c r="ER82" s="214"/>
      <c r="ES82" s="214"/>
      <c r="ET82" s="214"/>
      <c r="EU82" s="240">
        <f t="shared" si="6"/>
        <v>1084.5750256234057</v>
      </c>
      <c r="EV82" s="244">
        <f>EU82/EU84</f>
        <v>4.4398973591440605E-5</v>
      </c>
      <c r="EW82"/>
    </row>
    <row r="83" spans="1:153" x14ac:dyDescent="0.3">
      <c r="A83" s="67"/>
      <c r="B83" s="69" t="s">
        <v>102</v>
      </c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  <c r="Y83" s="214"/>
      <c r="Z83" s="214"/>
      <c r="AA83" s="214"/>
      <c r="AB83" s="214"/>
      <c r="AC83" s="214"/>
      <c r="AD83" s="214"/>
      <c r="AE83" s="214"/>
      <c r="AF83" s="214"/>
      <c r="AG83" s="214"/>
      <c r="AH83" s="214"/>
      <c r="AI83" s="214"/>
      <c r="AJ83" s="214"/>
      <c r="AK83" s="214"/>
      <c r="AL83" s="214"/>
      <c r="AM83" s="214"/>
      <c r="AN83" s="214"/>
      <c r="AO83" s="214"/>
      <c r="AP83" s="214"/>
      <c r="AQ83" s="214"/>
      <c r="AR83" s="214"/>
      <c r="AS83" s="214"/>
      <c r="AT83" s="214"/>
      <c r="AU83" s="214"/>
      <c r="AV83" s="214"/>
      <c r="AW83" s="214"/>
      <c r="AX83" s="214"/>
      <c r="AY83" s="214"/>
      <c r="AZ83" s="214"/>
      <c r="BA83" s="214"/>
      <c r="BB83" s="214"/>
      <c r="BC83" s="214"/>
      <c r="BD83" s="214"/>
      <c r="BE83" s="214"/>
      <c r="BF83" s="214"/>
      <c r="BG83" s="214"/>
      <c r="BH83" s="214"/>
      <c r="BI83" s="214"/>
      <c r="BJ83" s="214"/>
      <c r="BK83" s="214"/>
      <c r="BL83" s="214"/>
      <c r="BM83" s="214"/>
      <c r="BN83" s="214"/>
      <c r="BO83" s="214"/>
      <c r="BP83" s="214"/>
      <c r="BQ83" s="214"/>
      <c r="BR83" s="214"/>
      <c r="BS83" s="214"/>
      <c r="BT83" s="214"/>
      <c r="BU83" s="214"/>
      <c r="BV83" s="214"/>
      <c r="BW83" s="214"/>
      <c r="BX83" s="214"/>
      <c r="BY83" s="214"/>
      <c r="BZ83" s="214"/>
      <c r="CA83" s="214"/>
      <c r="CB83" s="214"/>
      <c r="CC83" s="214"/>
      <c r="CD83" s="214"/>
      <c r="CE83" s="214"/>
      <c r="CF83" s="214"/>
      <c r="CG83" s="214"/>
      <c r="CH83" s="214"/>
      <c r="CI83" s="214"/>
      <c r="CJ83" s="214"/>
      <c r="CK83" s="214"/>
      <c r="CL83" s="214"/>
      <c r="CM83" s="214"/>
      <c r="CN83" s="214"/>
      <c r="CO83" s="214"/>
      <c r="CP83" s="214"/>
      <c r="CQ83" s="214"/>
      <c r="CR83" s="214"/>
      <c r="CS83" s="214"/>
      <c r="CT83" s="214"/>
      <c r="CU83" s="214"/>
      <c r="CV83" s="214"/>
      <c r="CW83" s="214"/>
      <c r="CX83" s="214"/>
      <c r="CY83" s="214"/>
      <c r="CZ83" s="214"/>
      <c r="DA83" s="214"/>
      <c r="DB83" s="214"/>
      <c r="DC83" s="214"/>
      <c r="DD83" s="214"/>
      <c r="DE83" s="214"/>
      <c r="DF83" s="214"/>
      <c r="DG83" s="214"/>
      <c r="DH83" s="214"/>
      <c r="DI83" s="214"/>
      <c r="DJ83" s="214"/>
      <c r="DK83" s="214"/>
      <c r="DL83" s="214"/>
      <c r="DM83" s="214"/>
      <c r="DN83" s="214"/>
      <c r="DO83" s="214"/>
      <c r="DP83" s="214"/>
      <c r="DQ83" s="214"/>
      <c r="DR83" s="214"/>
      <c r="DS83" s="214"/>
      <c r="DT83" s="214"/>
      <c r="DU83" s="214"/>
      <c r="DV83" s="214"/>
      <c r="DW83" s="214"/>
      <c r="DX83" s="214"/>
      <c r="DY83" s="214"/>
      <c r="DZ83" s="214"/>
      <c r="EA83" s="214"/>
      <c r="EB83" s="214"/>
      <c r="EC83" s="214"/>
      <c r="ED83" s="214"/>
      <c r="EE83" s="214"/>
      <c r="EF83" s="214"/>
      <c r="EG83" s="214"/>
      <c r="EH83" s="214"/>
      <c r="EI83" s="214"/>
      <c r="EJ83" s="214"/>
      <c r="EK83" s="214"/>
      <c r="EL83" s="214"/>
      <c r="EM83" s="214"/>
      <c r="EN83" s="214"/>
      <c r="EO83" s="214"/>
      <c r="EP83" s="214"/>
      <c r="EQ83" s="214"/>
      <c r="ER83" s="214"/>
      <c r="ES83" s="214"/>
      <c r="ET83" s="214"/>
      <c r="EU83" s="240">
        <f t="shared" si="6"/>
        <v>0</v>
      </c>
      <c r="EV83" s="244">
        <f>EU83/EU84</f>
        <v>0</v>
      </c>
      <c r="EW83"/>
    </row>
    <row r="84" spans="1:153" ht="13.3" thickBot="1" x14ac:dyDescent="0.35">
      <c r="A84" s="67"/>
      <c r="B84" s="71" t="s">
        <v>83</v>
      </c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214"/>
      <c r="S84" s="214"/>
      <c r="T84" s="214"/>
      <c r="U84" s="214"/>
      <c r="V84" s="214"/>
      <c r="W84" s="214"/>
      <c r="X84" s="214"/>
      <c r="Y84" s="214"/>
      <c r="Z84" s="214"/>
      <c r="AA84" s="214"/>
      <c r="AB84" s="214"/>
      <c r="AC84" s="214"/>
      <c r="AD84" s="214"/>
      <c r="AE84" s="214"/>
      <c r="AF84" s="214"/>
      <c r="AG84" s="214"/>
      <c r="AH84" s="214"/>
      <c r="AI84" s="214"/>
      <c r="AJ84" s="214"/>
      <c r="AK84" s="214"/>
      <c r="AL84" s="214"/>
      <c r="AM84" s="214"/>
      <c r="AN84" s="214"/>
      <c r="AO84" s="214"/>
      <c r="AP84" s="214"/>
      <c r="AQ84" s="214"/>
      <c r="AR84" s="214"/>
      <c r="AS84" s="214"/>
      <c r="AT84" s="214"/>
      <c r="AU84" s="214"/>
      <c r="AV84" s="214"/>
      <c r="AW84" s="214"/>
      <c r="AX84" s="214"/>
      <c r="AY84" s="214"/>
      <c r="AZ84" s="214"/>
      <c r="BA84" s="214"/>
      <c r="BB84" s="214"/>
      <c r="BC84" s="214"/>
      <c r="BD84" s="214"/>
      <c r="BE84" s="214"/>
      <c r="BF84" s="214"/>
      <c r="BG84" s="214"/>
      <c r="BH84" s="214"/>
      <c r="BI84" s="214"/>
      <c r="BJ84" s="214"/>
      <c r="BK84" s="214"/>
      <c r="BL84" s="214"/>
      <c r="BM84" s="214"/>
      <c r="BN84" s="214"/>
      <c r="BO84" s="214"/>
      <c r="BP84" s="214"/>
      <c r="BQ84" s="214"/>
      <c r="BR84" s="214"/>
      <c r="BS84" s="214"/>
      <c r="BT84" s="214"/>
      <c r="BU84" s="214"/>
      <c r="BV84" s="214"/>
      <c r="BW84" s="214"/>
      <c r="BX84" s="214"/>
      <c r="BY84" s="214"/>
      <c r="BZ84" s="214"/>
      <c r="CA84" s="214"/>
      <c r="CB84" s="214"/>
      <c r="CC84" s="214"/>
      <c r="CD84" s="214"/>
      <c r="CE84" s="214"/>
      <c r="CF84" s="214"/>
      <c r="CG84" s="214"/>
      <c r="CH84" s="214"/>
      <c r="CI84" s="214"/>
      <c r="CJ84" s="214"/>
      <c r="CK84" s="214"/>
      <c r="CL84" s="214"/>
      <c r="CM84" s="214"/>
      <c r="CN84" s="214"/>
      <c r="CO84" s="214"/>
      <c r="CP84" s="214"/>
      <c r="CQ84" s="214"/>
      <c r="CR84" s="214"/>
      <c r="CS84" s="214"/>
      <c r="CT84" s="214"/>
      <c r="CU84" s="214"/>
      <c r="CV84" s="214"/>
      <c r="CW84" s="214"/>
      <c r="CX84" s="214"/>
      <c r="CY84" s="214"/>
      <c r="CZ84" s="214"/>
      <c r="DA84" s="214"/>
      <c r="DB84" s="214"/>
      <c r="DC84" s="214"/>
      <c r="DD84" s="214"/>
      <c r="DE84" s="214"/>
      <c r="DF84" s="214"/>
      <c r="DG84" s="214"/>
      <c r="DH84" s="214"/>
      <c r="DI84" s="214"/>
      <c r="DJ84" s="214"/>
      <c r="DK84" s="214"/>
      <c r="DL84" s="214"/>
      <c r="DM84" s="214"/>
      <c r="DN84" s="214"/>
      <c r="DO84" s="214"/>
      <c r="DP84" s="214"/>
      <c r="DQ84" s="214"/>
      <c r="DR84" s="214"/>
      <c r="DS84" s="214"/>
      <c r="DT84" s="214"/>
      <c r="DU84" s="214"/>
      <c r="DV84" s="214"/>
      <c r="DW84" s="214"/>
      <c r="DX84" s="214"/>
      <c r="DY84" s="214"/>
      <c r="DZ84" s="214"/>
      <c r="EA84" s="214"/>
      <c r="EB84" s="214"/>
      <c r="EC84" s="214"/>
      <c r="ED84" s="214"/>
      <c r="EE84" s="214"/>
      <c r="EF84" s="214"/>
      <c r="EG84" s="214"/>
      <c r="EH84" s="214"/>
      <c r="EI84" s="214"/>
      <c r="EJ84" s="214"/>
      <c r="EK84" s="214"/>
      <c r="EL84" s="214"/>
      <c r="EM84" s="214"/>
      <c r="EN84" s="214"/>
      <c r="EO84" s="214"/>
      <c r="EP84" s="214"/>
      <c r="EQ84" s="214"/>
      <c r="ER84" s="214"/>
      <c r="ES84" s="214"/>
      <c r="ET84" s="214"/>
      <c r="EU84" s="240">
        <f t="shared" si="6"/>
        <v>24427930.149999999</v>
      </c>
      <c r="EV84" s="245">
        <f>EU84/EU84</f>
        <v>1</v>
      </c>
      <c r="EW84"/>
    </row>
    <row r="85" spans="1:153" x14ac:dyDescent="0.3">
      <c r="A85" s="67"/>
      <c r="B85" s="69" t="s">
        <v>88</v>
      </c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214"/>
      <c r="S85" s="214"/>
      <c r="T85" s="214"/>
      <c r="U85" s="214"/>
      <c r="V85" s="214"/>
      <c r="W85" s="214"/>
      <c r="X85" s="214"/>
      <c r="Y85" s="214"/>
      <c r="Z85" s="214"/>
      <c r="AA85" s="214"/>
      <c r="AB85" s="214"/>
      <c r="AC85" s="214"/>
      <c r="AD85" s="214"/>
      <c r="AE85" s="214"/>
      <c r="AF85" s="214"/>
      <c r="AG85" s="214"/>
      <c r="AH85" s="214"/>
      <c r="AI85" s="214"/>
      <c r="AJ85" s="214"/>
      <c r="AK85" s="214"/>
      <c r="AL85" s="214"/>
      <c r="AM85" s="214"/>
      <c r="AN85" s="214"/>
      <c r="AO85" s="214"/>
      <c r="AP85" s="214"/>
      <c r="AQ85" s="214"/>
      <c r="AR85" s="214"/>
      <c r="AS85" s="214"/>
      <c r="AT85" s="214"/>
      <c r="AU85" s="214"/>
      <c r="AV85" s="214"/>
      <c r="AW85" s="214"/>
      <c r="AX85" s="214"/>
      <c r="AY85" s="214"/>
      <c r="AZ85" s="214"/>
      <c r="BA85" s="214"/>
      <c r="BB85" s="214"/>
      <c r="BC85" s="214"/>
      <c r="BD85" s="214"/>
      <c r="BE85" s="214"/>
      <c r="BF85" s="214"/>
      <c r="BG85" s="214"/>
      <c r="BH85" s="214"/>
      <c r="BI85" s="214"/>
      <c r="BJ85" s="214"/>
      <c r="BK85" s="214"/>
      <c r="BL85" s="214"/>
      <c r="BM85" s="214"/>
      <c r="BN85" s="214"/>
      <c r="BO85" s="214"/>
      <c r="BP85" s="214"/>
      <c r="BQ85" s="214"/>
      <c r="BR85" s="214"/>
      <c r="BS85" s="214"/>
      <c r="BT85" s="214"/>
      <c r="BU85" s="214"/>
      <c r="BV85" s="214"/>
      <c r="BW85" s="214"/>
      <c r="BX85" s="214"/>
      <c r="BY85" s="214"/>
      <c r="BZ85" s="214"/>
      <c r="CA85" s="214"/>
      <c r="CB85" s="214"/>
      <c r="CC85" s="214"/>
      <c r="CD85" s="214"/>
      <c r="CE85" s="214"/>
      <c r="CF85" s="214"/>
      <c r="CG85" s="214"/>
      <c r="CH85" s="214"/>
      <c r="CI85" s="214"/>
      <c r="CJ85" s="214"/>
      <c r="CK85" s="214"/>
      <c r="CL85" s="214"/>
      <c r="CM85" s="214"/>
      <c r="CN85" s="214"/>
      <c r="CO85" s="214"/>
      <c r="CP85" s="214"/>
      <c r="CQ85" s="214"/>
      <c r="CR85" s="214"/>
      <c r="CS85" s="214"/>
      <c r="CT85" s="214"/>
      <c r="CU85" s="214"/>
      <c r="CV85" s="214"/>
      <c r="CW85" s="214"/>
      <c r="CX85" s="214"/>
      <c r="CY85" s="214"/>
      <c r="CZ85" s="214"/>
      <c r="DA85" s="214"/>
      <c r="DB85" s="214"/>
      <c r="DC85" s="214"/>
      <c r="DD85" s="214"/>
      <c r="DE85" s="214"/>
      <c r="DF85" s="214"/>
      <c r="DG85" s="214"/>
      <c r="DH85" s="214"/>
      <c r="DI85" s="214"/>
      <c r="DJ85" s="214"/>
      <c r="DK85" s="214"/>
      <c r="DL85" s="214"/>
      <c r="DM85" s="214"/>
      <c r="DN85" s="214"/>
      <c r="DO85" s="214"/>
      <c r="DP85" s="214"/>
      <c r="DQ85" s="214"/>
      <c r="DR85" s="214"/>
      <c r="DS85" s="214"/>
      <c r="DT85" s="214"/>
      <c r="DU85" s="214"/>
      <c r="DV85" s="214"/>
      <c r="DW85" s="214"/>
      <c r="DX85" s="214"/>
      <c r="DY85" s="214"/>
      <c r="DZ85" s="214"/>
      <c r="EA85" s="214"/>
      <c r="EB85" s="214"/>
      <c r="EC85" s="214"/>
      <c r="ED85" s="214"/>
      <c r="EE85" s="214"/>
      <c r="EF85" s="214"/>
      <c r="EG85" s="214"/>
      <c r="EH85" s="214"/>
      <c r="EI85" s="214"/>
      <c r="EJ85" s="214"/>
      <c r="EK85" s="214"/>
      <c r="EL85" s="214"/>
      <c r="EM85" s="214"/>
      <c r="EN85" s="214"/>
      <c r="EO85" s="214"/>
      <c r="EP85" s="214"/>
      <c r="EQ85" s="214"/>
      <c r="ER85" s="214"/>
      <c r="ES85" s="214"/>
      <c r="ET85" s="214"/>
      <c r="EU85" s="238">
        <f t="shared" si="6"/>
        <v>7280554.9550000001</v>
      </c>
      <c r="EV85" s="246"/>
      <c r="EW85"/>
    </row>
    <row r="86" spans="1:153" x14ac:dyDescent="0.3">
      <c r="A86" s="67"/>
      <c r="B86" s="69" t="s">
        <v>71</v>
      </c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  <c r="X86" s="214"/>
      <c r="Y86" s="214"/>
      <c r="Z86" s="214"/>
      <c r="AA86" s="214"/>
      <c r="AB86" s="214"/>
      <c r="AC86" s="214"/>
      <c r="AD86" s="214"/>
      <c r="AE86" s="214"/>
      <c r="AF86" s="214"/>
      <c r="AG86" s="214"/>
      <c r="AH86" s="214"/>
      <c r="AI86" s="214"/>
      <c r="AJ86" s="214"/>
      <c r="AK86" s="214"/>
      <c r="AL86" s="214"/>
      <c r="AM86" s="214"/>
      <c r="AN86" s="214"/>
      <c r="AO86" s="214"/>
      <c r="AP86" s="214"/>
      <c r="AQ86" s="214"/>
      <c r="AR86" s="214"/>
      <c r="AS86" s="214"/>
      <c r="AT86" s="214"/>
      <c r="AU86" s="214"/>
      <c r="AV86" s="214"/>
      <c r="AW86" s="214"/>
      <c r="AX86" s="214"/>
      <c r="AY86" s="214"/>
      <c r="AZ86" s="214"/>
      <c r="BA86" s="214"/>
      <c r="BB86" s="214"/>
      <c r="BC86" s="214"/>
      <c r="BD86" s="214"/>
      <c r="BE86" s="214"/>
      <c r="BF86" s="214"/>
      <c r="BG86" s="214"/>
      <c r="BH86" s="214"/>
      <c r="BI86" s="214"/>
      <c r="BJ86" s="214"/>
      <c r="BK86" s="214"/>
      <c r="BL86" s="214"/>
      <c r="BM86" s="214"/>
      <c r="BN86" s="214"/>
      <c r="BO86" s="214"/>
      <c r="BP86" s="214"/>
      <c r="BQ86" s="214"/>
      <c r="BR86" s="214"/>
      <c r="BS86" s="214"/>
      <c r="BT86" s="214"/>
      <c r="BU86" s="214"/>
      <c r="BV86" s="214"/>
      <c r="BW86" s="214"/>
      <c r="BX86" s="214"/>
      <c r="BY86" s="214"/>
      <c r="BZ86" s="214"/>
      <c r="CA86" s="214"/>
      <c r="CB86" s="214"/>
      <c r="CC86" s="214"/>
      <c r="CD86" s="214"/>
      <c r="CE86" s="214"/>
      <c r="CF86" s="214"/>
      <c r="CG86" s="214"/>
      <c r="CH86" s="214"/>
      <c r="CI86" s="214"/>
      <c r="CJ86" s="214"/>
      <c r="CK86" s="214"/>
      <c r="CL86" s="214"/>
      <c r="CM86" s="214"/>
      <c r="CN86" s="214"/>
      <c r="CO86" s="214"/>
      <c r="CP86" s="214"/>
      <c r="CQ86" s="214"/>
      <c r="CR86" s="214"/>
      <c r="CS86" s="214"/>
      <c r="CT86" s="214"/>
      <c r="CU86" s="214"/>
      <c r="CV86" s="214"/>
      <c r="CW86" s="214"/>
      <c r="CX86" s="214"/>
      <c r="CY86" s="214"/>
      <c r="CZ86" s="214"/>
      <c r="DA86" s="214"/>
      <c r="DB86" s="214"/>
      <c r="DC86" s="214"/>
      <c r="DD86" s="214"/>
      <c r="DE86" s="214"/>
      <c r="DF86" s="214"/>
      <c r="DG86" s="214"/>
      <c r="DH86" s="214"/>
      <c r="DI86" s="214"/>
      <c r="DJ86" s="214"/>
      <c r="DK86" s="214"/>
      <c r="DL86" s="214"/>
      <c r="DM86" s="214"/>
      <c r="DN86" s="214"/>
      <c r="DO86" s="214"/>
      <c r="DP86" s="214"/>
      <c r="DQ86" s="214"/>
      <c r="DR86" s="214"/>
      <c r="DS86" s="214"/>
      <c r="DT86" s="214"/>
      <c r="DU86" s="214"/>
      <c r="DV86" s="214"/>
      <c r="DW86" s="214"/>
      <c r="DX86" s="214"/>
      <c r="DY86" s="214"/>
      <c r="DZ86" s="214"/>
      <c r="EA86" s="214"/>
      <c r="EB86" s="214"/>
      <c r="EC86" s="214"/>
      <c r="ED86" s="214"/>
      <c r="EE86" s="214"/>
      <c r="EF86" s="214"/>
      <c r="EG86" s="214"/>
      <c r="EH86" s="214"/>
      <c r="EI86" s="214"/>
      <c r="EJ86" s="214"/>
      <c r="EK86" s="214"/>
      <c r="EL86" s="214"/>
      <c r="EM86" s="214"/>
      <c r="EN86" s="214"/>
      <c r="EO86" s="214"/>
      <c r="EP86" s="214"/>
      <c r="EQ86" s="214"/>
      <c r="ER86" s="214"/>
      <c r="ES86" s="214"/>
      <c r="ET86" s="214"/>
      <c r="EU86" s="240">
        <f t="shared" si="6"/>
        <v>3583307.9299999997</v>
      </c>
      <c r="EV86" s="244"/>
      <c r="EW86"/>
    </row>
    <row r="87" spans="1:153" ht="13.3" thickBot="1" x14ac:dyDescent="0.35">
      <c r="A87" s="65"/>
      <c r="B87" s="72" t="s">
        <v>84</v>
      </c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  <c r="Y87" s="214"/>
      <c r="Z87" s="214"/>
      <c r="AA87" s="214"/>
      <c r="AB87" s="214"/>
      <c r="AC87" s="214"/>
      <c r="AD87" s="214"/>
      <c r="AE87" s="214"/>
      <c r="AF87" s="214"/>
      <c r="AG87" s="214"/>
      <c r="AH87" s="214"/>
      <c r="AI87" s="214"/>
      <c r="AJ87" s="214"/>
      <c r="AK87" s="214"/>
      <c r="AL87" s="214"/>
      <c r="AM87" s="214"/>
      <c r="AN87" s="214"/>
      <c r="AO87" s="214"/>
      <c r="AP87" s="214"/>
      <c r="AQ87" s="214"/>
      <c r="AR87" s="214"/>
      <c r="AS87" s="214"/>
      <c r="AT87" s="214"/>
      <c r="AU87" s="214"/>
      <c r="AV87" s="214"/>
      <c r="AW87" s="214"/>
      <c r="AX87" s="214"/>
      <c r="AY87" s="214"/>
      <c r="AZ87" s="214"/>
      <c r="BA87" s="214"/>
      <c r="BB87" s="214"/>
      <c r="BC87" s="214"/>
      <c r="BD87" s="214"/>
      <c r="BE87" s="214"/>
      <c r="BF87" s="214"/>
      <c r="BG87" s="214"/>
      <c r="BH87" s="214"/>
      <c r="BI87" s="214"/>
      <c r="BJ87" s="214"/>
      <c r="BK87" s="214"/>
      <c r="BL87" s="214"/>
      <c r="BM87" s="214"/>
      <c r="BN87" s="214"/>
      <c r="BO87" s="214"/>
      <c r="BP87" s="214"/>
      <c r="BQ87" s="214"/>
      <c r="BR87" s="214"/>
      <c r="BS87" s="214"/>
      <c r="BT87" s="214"/>
      <c r="BU87" s="214"/>
      <c r="BV87" s="214"/>
      <c r="BW87" s="214"/>
      <c r="BX87" s="214"/>
      <c r="BY87" s="214"/>
      <c r="BZ87" s="214"/>
      <c r="CA87" s="214"/>
      <c r="CB87" s="214"/>
      <c r="CC87" s="214"/>
      <c r="CD87" s="214"/>
      <c r="CE87" s="214"/>
      <c r="CF87" s="214"/>
      <c r="CG87" s="214"/>
      <c r="CH87" s="214"/>
      <c r="CI87" s="214"/>
      <c r="CJ87" s="214"/>
      <c r="CK87" s="214"/>
      <c r="CL87" s="214"/>
      <c r="CM87" s="214"/>
      <c r="CN87" s="214"/>
      <c r="CO87" s="214"/>
      <c r="CP87" s="214"/>
      <c r="CQ87" s="214"/>
      <c r="CR87" s="214"/>
      <c r="CS87" s="214"/>
      <c r="CT87" s="214"/>
      <c r="CU87" s="214"/>
      <c r="CV87" s="214"/>
      <c r="CW87" s="214"/>
      <c r="CX87" s="214"/>
      <c r="CY87" s="214"/>
      <c r="CZ87" s="214"/>
      <c r="DA87" s="214"/>
      <c r="DB87" s="214"/>
      <c r="DC87" s="214"/>
      <c r="DD87" s="214"/>
      <c r="DE87" s="214"/>
      <c r="DF87" s="214"/>
      <c r="DG87" s="214"/>
      <c r="DH87" s="214"/>
      <c r="DI87" s="214"/>
      <c r="DJ87" s="214"/>
      <c r="DK87" s="214"/>
      <c r="DL87" s="214"/>
      <c r="DM87" s="214"/>
      <c r="DN87" s="214"/>
      <c r="DO87" s="214"/>
      <c r="DP87" s="214"/>
      <c r="DQ87" s="214"/>
      <c r="DR87" s="214"/>
      <c r="DS87" s="214"/>
      <c r="DT87" s="214"/>
      <c r="DU87" s="214"/>
      <c r="DV87" s="214"/>
      <c r="DW87" s="214"/>
      <c r="DX87" s="214"/>
      <c r="DY87" s="214"/>
      <c r="DZ87" s="214"/>
      <c r="EA87" s="214"/>
      <c r="EB87" s="214"/>
      <c r="EC87" s="214"/>
      <c r="ED87" s="214"/>
      <c r="EE87" s="214"/>
      <c r="EF87" s="214"/>
      <c r="EG87" s="214"/>
      <c r="EH87" s="214"/>
      <c r="EI87" s="214"/>
      <c r="EJ87" s="214"/>
      <c r="EK87" s="214"/>
      <c r="EL87" s="214"/>
      <c r="EM87" s="214"/>
      <c r="EN87" s="214"/>
      <c r="EO87" s="214"/>
      <c r="EP87" s="214"/>
      <c r="EQ87" s="214"/>
      <c r="ER87" s="214"/>
      <c r="ES87" s="214"/>
      <c r="ET87" s="214"/>
      <c r="EU87" s="247">
        <f t="shared" si="6"/>
        <v>35291792.534999996</v>
      </c>
      <c r="EV87" s="248"/>
      <c r="EW87"/>
    </row>
    <row r="88" spans="1:153" x14ac:dyDescent="0.3">
      <c r="A88" s="73"/>
      <c r="B88" s="74" t="s">
        <v>89</v>
      </c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  <c r="W88" s="214"/>
      <c r="X88" s="214"/>
      <c r="Y88" s="214"/>
      <c r="Z88" s="214"/>
      <c r="AA88" s="214"/>
      <c r="AB88" s="214"/>
      <c r="AC88" s="214"/>
      <c r="AD88" s="214"/>
      <c r="AE88" s="214"/>
      <c r="AF88" s="214"/>
      <c r="AG88" s="214"/>
      <c r="AH88" s="214"/>
      <c r="AI88" s="214"/>
      <c r="AJ88" s="214"/>
      <c r="AK88" s="214"/>
      <c r="AL88" s="214"/>
      <c r="AM88" s="214"/>
      <c r="AN88" s="214"/>
      <c r="AO88" s="214"/>
      <c r="AP88" s="214"/>
      <c r="AQ88" s="214"/>
      <c r="AR88" s="214"/>
      <c r="AS88" s="214"/>
      <c r="AT88" s="214"/>
      <c r="AU88" s="214"/>
      <c r="AV88" s="214"/>
      <c r="AW88" s="214"/>
      <c r="AX88" s="214"/>
      <c r="AY88" s="214"/>
      <c r="AZ88" s="214"/>
      <c r="BA88" s="214"/>
      <c r="BB88" s="214"/>
      <c r="BC88" s="214"/>
      <c r="BD88" s="214"/>
      <c r="BE88" s="214"/>
      <c r="BF88" s="214"/>
      <c r="BG88" s="214"/>
      <c r="BH88" s="214"/>
      <c r="BI88" s="214"/>
      <c r="BJ88" s="214"/>
      <c r="BK88" s="214"/>
      <c r="BL88" s="214"/>
      <c r="BM88" s="214"/>
      <c r="BN88" s="214"/>
      <c r="BO88" s="214"/>
      <c r="BP88" s="214"/>
      <c r="BQ88" s="214"/>
      <c r="BR88" s="214"/>
      <c r="BS88" s="214"/>
      <c r="BT88" s="214"/>
      <c r="BU88" s="214"/>
      <c r="BV88" s="214"/>
      <c r="BW88" s="214"/>
      <c r="BX88" s="214"/>
      <c r="BY88" s="214"/>
      <c r="BZ88" s="214"/>
      <c r="CA88" s="214"/>
      <c r="CB88" s="214"/>
      <c r="CC88" s="214"/>
      <c r="CD88" s="214"/>
      <c r="CE88" s="214"/>
      <c r="CF88" s="214"/>
      <c r="CG88" s="214"/>
      <c r="CH88" s="214"/>
      <c r="CI88" s="214"/>
      <c r="CJ88" s="214"/>
      <c r="CK88" s="214"/>
      <c r="CL88" s="214"/>
      <c r="CM88" s="214"/>
      <c r="CN88" s="214"/>
      <c r="CO88" s="214"/>
      <c r="CP88" s="214"/>
      <c r="CQ88" s="214"/>
      <c r="CR88" s="214"/>
      <c r="CS88" s="214"/>
      <c r="CT88" s="214"/>
      <c r="CU88" s="214"/>
      <c r="CV88" s="214"/>
      <c r="CW88" s="214"/>
      <c r="CX88" s="214"/>
      <c r="CY88" s="214"/>
      <c r="CZ88" s="214"/>
      <c r="DA88" s="214"/>
      <c r="DB88" s="214"/>
      <c r="DC88" s="214"/>
      <c r="DD88" s="214"/>
      <c r="DE88" s="214"/>
      <c r="DF88" s="214"/>
      <c r="DG88" s="214"/>
      <c r="DH88" s="214"/>
      <c r="DI88" s="214"/>
      <c r="DJ88" s="214"/>
      <c r="DK88" s="214"/>
      <c r="DL88" s="214"/>
      <c r="DM88" s="214"/>
      <c r="DN88" s="214"/>
      <c r="DO88" s="214"/>
      <c r="DP88" s="214"/>
      <c r="DQ88" s="214"/>
      <c r="DR88" s="214"/>
      <c r="DS88" s="214"/>
      <c r="DT88" s="214"/>
      <c r="DU88" s="214"/>
      <c r="DV88" s="214"/>
      <c r="DW88" s="214"/>
      <c r="DX88" s="214"/>
      <c r="DY88" s="214"/>
      <c r="DZ88" s="214"/>
      <c r="EA88" s="214"/>
      <c r="EB88" s="214"/>
      <c r="EC88" s="214"/>
      <c r="ED88" s="214"/>
      <c r="EE88" s="214"/>
      <c r="EF88" s="214"/>
      <c r="EG88" s="214"/>
      <c r="EH88" s="214"/>
      <c r="EI88" s="214"/>
      <c r="EJ88" s="214"/>
      <c r="EK88" s="214"/>
      <c r="EL88" s="214"/>
      <c r="EM88" s="214"/>
      <c r="EN88" s="214"/>
      <c r="EO88" s="214"/>
      <c r="EP88" s="214"/>
      <c r="EQ88" s="214"/>
      <c r="ER88" s="214"/>
      <c r="ES88" s="214"/>
      <c r="ET88" s="214"/>
      <c r="EU88" s="249">
        <f>[1]AM!EU39</f>
        <v>0</v>
      </c>
      <c r="EV88" s="250" t="e">
        <f>EU88/EU95</f>
        <v>#DIV/0!</v>
      </c>
      <c r="EW88"/>
    </row>
    <row r="89" spans="1:153" x14ac:dyDescent="0.3">
      <c r="A89" s="73"/>
      <c r="B89" s="74" t="s">
        <v>79</v>
      </c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4"/>
      <c r="Y89" s="214"/>
      <c r="Z89" s="214"/>
      <c r="AA89" s="214"/>
      <c r="AB89" s="214"/>
      <c r="AC89" s="214"/>
      <c r="AD89" s="214"/>
      <c r="AE89" s="214"/>
      <c r="AF89" s="214"/>
      <c r="AG89" s="214"/>
      <c r="AH89" s="214"/>
      <c r="AI89" s="214"/>
      <c r="AJ89" s="214"/>
      <c r="AK89" s="214"/>
      <c r="AL89" s="214"/>
      <c r="AM89" s="214"/>
      <c r="AN89" s="214"/>
      <c r="AO89" s="214"/>
      <c r="AP89" s="214"/>
      <c r="AQ89" s="214"/>
      <c r="AR89" s="214"/>
      <c r="AS89" s="214"/>
      <c r="AT89" s="214"/>
      <c r="AU89" s="214"/>
      <c r="AV89" s="214"/>
      <c r="AW89" s="214"/>
      <c r="AX89" s="214"/>
      <c r="AY89" s="214"/>
      <c r="AZ89" s="214"/>
      <c r="BA89" s="214"/>
      <c r="BB89" s="214"/>
      <c r="BC89" s="214"/>
      <c r="BD89" s="214"/>
      <c r="BE89" s="214"/>
      <c r="BF89" s="214"/>
      <c r="BG89" s="214"/>
      <c r="BH89" s="214"/>
      <c r="BI89" s="214"/>
      <c r="BJ89" s="214"/>
      <c r="BK89" s="214"/>
      <c r="BL89" s="214"/>
      <c r="BM89" s="214"/>
      <c r="BN89" s="214"/>
      <c r="BO89" s="214"/>
      <c r="BP89" s="214"/>
      <c r="BQ89" s="214"/>
      <c r="BR89" s="214"/>
      <c r="BS89" s="214"/>
      <c r="BT89" s="214"/>
      <c r="BU89" s="214"/>
      <c r="BV89" s="214"/>
      <c r="BW89" s="214"/>
      <c r="BX89" s="214"/>
      <c r="BY89" s="214"/>
      <c r="BZ89" s="214"/>
      <c r="CA89" s="214"/>
      <c r="CB89" s="214"/>
      <c r="CC89" s="214"/>
      <c r="CD89" s="214"/>
      <c r="CE89" s="214"/>
      <c r="CF89" s="214"/>
      <c r="CG89" s="214"/>
      <c r="CH89" s="214"/>
      <c r="CI89" s="214"/>
      <c r="CJ89" s="214"/>
      <c r="CK89" s="214"/>
      <c r="CL89" s="214"/>
      <c r="CM89" s="214"/>
      <c r="CN89" s="214"/>
      <c r="CO89" s="214"/>
      <c r="CP89" s="214"/>
      <c r="CQ89" s="214"/>
      <c r="CR89" s="214"/>
      <c r="CS89" s="214"/>
      <c r="CT89" s="214"/>
      <c r="CU89" s="214"/>
      <c r="CV89" s="214"/>
      <c r="CW89" s="214"/>
      <c r="CX89" s="214"/>
      <c r="CY89" s="214"/>
      <c r="CZ89" s="214"/>
      <c r="DA89" s="214"/>
      <c r="DB89" s="214"/>
      <c r="DC89" s="214"/>
      <c r="DD89" s="214"/>
      <c r="DE89" s="214"/>
      <c r="DF89" s="214"/>
      <c r="DG89" s="214"/>
      <c r="DH89" s="214"/>
      <c r="DI89" s="214"/>
      <c r="DJ89" s="214"/>
      <c r="DK89" s="214"/>
      <c r="DL89" s="214"/>
      <c r="DM89" s="214"/>
      <c r="DN89" s="214"/>
      <c r="DO89" s="214"/>
      <c r="DP89" s="214"/>
      <c r="DQ89" s="214"/>
      <c r="DR89" s="214"/>
      <c r="DS89" s="214"/>
      <c r="DT89" s="214"/>
      <c r="DU89" s="214"/>
      <c r="DV89" s="214"/>
      <c r="DW89" s="214"/>
      <c r="DX89" s="214"/>
      <c r="DY89" s="214"/>
      <c r="DZ89" s="214"/>
      <c r="EA89" s="214"/>
      <c r="EB89" s="214"/>
      <c r="EC89" s="214"/>
      <c r="ED89" s="214"/>
      <c r="EE89" s="214"/>
      <c r="EF89" s="214"/>
      <c r="EG89" s="214"/>
      <c r="EH89" s="214"/>
      <c r="EI89" s="214"/>
      <c r="EJ89" s="214"/>
      <c r="EK89" s="214"/>
      <c r="EL89" s="214"/>
      <c r="EM89" s="214"/>
      <c r="EN89" s="214"/>
      <c r="EO89" s="214"/>
      <c r="EP89" s="214"/>
      <c r="EQ89" s="214"/>
      <c r="ER89" s="214"/>
      <c r="ES89" s="214"/>
      <c r="ET89" s="214"/>
      <c r="EU89" s="249">
        <f>[1]AM!EU40</f>
        <v>0</v>
      </c>
      <c r="EV89" s="251" t="e">
        <f>EU89/EU95</f>
        <v>#DIV/0!</v>
      </c>
      <c r="EW89"/>
    </row>
    <row r="90" spans="1:153" x14ac:dyDescent="0.3">
      <c r="A90" s="73"/>
      <c r="B90" s="74" t="s">
        <v>107</v>
      </c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/>
      <c r="X90" s="214"/>
      <c r="Y90" s="214"/>
      <c r="Z90" s="214"/>
      <c r="AA90" s="214"/>
      <c r="AB90" s="214"/>
      <c r="AC90" s="214"/>
      <c r="AD90" s="214"/>
      <c r="AE90" s="214"/>
      <c r="AF90" s="214"/>
      <c r="AG90" s="214"/>
      <c r="AH90" s="214"/>
      <c r="AI90" s="214"/>
      <c r="AJ90" s="214"/>
      <c r="AK90" s="214"/>
      <c r="AL90" s="214"/>
      <c r="AM90" s="214"/>
      <c r="AN90" s="214"/>
      <c r="AO90" s="214"/>
      <c r="AP90" s="214"/>
      <c r="AQ90" s="214"/>
      <c r="AR90" s="214"/>
      <c r="AS90" s="214"/>
      <c r="AT90" s="214"/>
      <c r="AU90" s="214"/>
      <c r="AV90" s="214"/>
      <c r="AW90" s="214"/>
      <c r="AX90" s="214"/>
      <c r="AY90" s="214"/>
      <c r="AZ90" s="214"/>
      <c r="BA90" s="214"/>
      <c r="BB90" s="214"/>
      <c r="BC90" s="214"/>
      <c r="BD90" s="214"/>
      <c r="BE90" s="214"/>
      <c r="BF90" s="214"/>
      <c r="BG90" s="214"/>
      <c r="BH90" s="214"/>
      <c r="BI90" s="214"/>
      <c r="BJ90" s="214"/>
      <c r="BK90" s="214"/>
      <c r="BL90" s="214"/>
      <c r="BM90" s="214"/>
      <c r="BN90" s="214"/>
      <c r="BO90" s="214"/>
      <c r="BP90" s="214"/>
      <c r="BQ90" s="214"/>
      <c r="BR90" s="214"/>
      <c r="BS90" s="214"/>
      <c r="BT90" s="214"/>
      <c r="BU90" s="214"/>
      <c r="BV90" s="214"/>
      <c r="BW90" s="214"/>
      <c r="BX90" s="214"/>
      <c r="BY90" s="214"/>
      <c r="BZ90" s="214"/>
      <c r="CA90" s="214"/>
      <c r="CB90" s="214"/>
      <c r="CC90" s="214"/>
      <c r="CD90" s="214"/>
      <c r="CE90" s="214"/>
      <c r="CF90" s="214"/>
      <c r="CG90" s="214"/>
      <c r="CH90" s="214"/>
      <c r="CI90" s="214"/>
      <c r="CJ90" s="214"/>
      <c r="CK90" s="214"/>
      <c r="CL90" s="214"/>
      <c r="CM90" s="214"/>
      <c r="CN90" s="214"/>
      <c r="CO90" s="214"/>
      <c r="CP90" s="214"/>
      <c r="CQ90" s="214"/>
      <c r="CR90" s="214"/>
      <c r="CS90" s="214"/>
      <c r="CT90" s="214"/>
      <c r="CU90" s="214"/>
      <c r="CV90" s="214"/>
      <c r="CW90" s="214"/>
      <c r="CX90" s="214"/>
      <c r="CY90" s="214"/>
      <c r="CZ90" s="214"/>
      <c r="DA90" s="214"/>
      <c r="DB90" s="214"/>
      <c r="DC90" s="214"/>
      <c r="DD90" s="214"/>
      <c r="DE90" s="214"/>
      <c r="DF90" s="214"/>
      <c r="DG90" s="214"/>
      <c r="DH90" s="214"/>
      <c r="DI90" s="214"/>
      <c r="DJ90" s="214"/>
      <c r="DK90" s="214"/>
      <c r="DL90" s="214"/>
      <c r="DM90" s="214"/>
      <c r="DN90" s="214"/>
      <c r="DO90" s="214"/>
      <c r="DP90" s="214"/>
      <c r="DQ90" s="214"/>
      <c r="DR90" s="214"/>
      <c r="DS90" s="214"/>
      <c r="DT90" s="214"/>
      <c r="DU90" s="214"/>
      <c r="DV90" s="214"/>
      <c r="DW90" s="214"/>
      <c r="DX90" s="214"/>
      <c r="DY90" s="214"/>
      <c r="DZ90" s="214"/>
      <c r="EA90" s="214"/>
      <c r="EB90" s="214"/>
      <c r="EC90" s="214"/>
      <c r="ED90" s="214"/>
      <c r="EE90" s="214"/>
      <c r="EF90" s="214"/>
      <c r="EG90" s="214"/>
      <c r="EH90" s="214"/>
      <c r="EI90" s="214"/>
      <c r="EJ90" s="214"/>
      <c r="EK90" s="214"/>
      <c r="EL90" s="214"/>
      <c r="EM90" s="214"/>
      <c r="EN90" s="214"/>
      <c r="EO90" s="214"/>
      <c r="EP90" s="214"/>
      <c r="EQ90" s="214"/>
      <c r="ER90" s="214"/>
      <c r="ES90" s="214"/>
      <c r="ET90" s="214"/>
      <c r="EU90" s="249">
        <f>[1]AM!EU41</f>
        <v>0</v>
      </c>
      <c r="EV90" s="251" t="e">
        <f>EU90/EU95</f>
        <v>#DIV/0!</v>
      </c>
      <c r="EW90"/>
    </row>
    <row r="91" spans="1:153" x14ac:dyDescent="0.3">
      <c r="A91" s="75"/>
      <c r="B91" s="74" t="s">
        <v>80</v>
      </c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214"/>
      <c r="Y91" s="214"/>
      <c r="Z91" s="214"/>
      <c r="AA91" s="214"/>
      <c r="AB91" s="214"/>
      <c r="AC91" s="214"/>
      <c r="AD91" s="214"/>
      <c r="AE91" s="214"/>
      <c r="AF91" s="214"/>
      <c r="AG91" s="214"/>
      <c r="AH91" s="214"/>
      <c r="AI91" s="214"/>
      <c r="AJ91" s="214"/>
      <c r="AK91" s="214"/>
      <c r="AL91" s="214"/>
      <c r="AM91" s="214"/>
      <c r="AN91" s="214"/>
      <c r="AO91" s="214"/>
      <c r="AP91" s="214"/>
      <c r="AQ91" s="214"/>
      <c r="AR91" s="214"/>
      <c r="AS91" s="214"/>
      <c r="AT91" s="214"/>
      <c r="AU91" s="214"/>
      <c r="AV91" s="214"/>
      <c r="AW91" s="214"/>
      <c r="AX91" s="214"/>
      <c r="AY91" s="214"/>
      <c r="AZ91" s="214"/>
      <c r="BA91" s="214"/>
      <c r="BB91" s="214"/>
      <c r="BC91" s="214"/>
      <c r="BD91" s="214"/>
      <c r="BE91" s="214"/>
      <c r="BF91" s="214"/>
      <c r="BG91" s="214"/>
      <c r="BH91" s="214"/>
      <c r="BI91" s="214"/>
      <c r="BJ91" s="214"/>
      <c r="BK91" s="214"/>
      <c r="BL91" s="214"/>
      <c r="BM91" s="214"/>
      <c r="BN91" s="214"/>
      <c r="BO91" s="214"/>
      <c r="BP91" s="214"/>
      <c r="BQ91" s="214"/>
      <c r="BR91" s="214"/>
      <c r="BS91" s="214"/>
      <c r="BT91" s="214"/>
      <c r="BU91" s="214"/>
      <c r="BV91" s="214"/>
      <c r="BW91" s="214"/>
      <c r="BX91" s="214"/>
      <c r="BY91" s="214"/>
      <c r="BZ91" s="214"/>
      <c r="CA91" s="214"/>
      <c r="CB91" s="214"/>
      <c r="CC91" s="214"/>
      <c r="CD91" s="214"/>
      <c r="CE91" s="214"/>
      <c r="CF91" s="214"/>
      <c r="CG91" s="214"/>
      <c r="CH91" s="214"/>
      <c r="CI91" s="214"/>
      <c r="CJ91" s="214"/>
      <c r="CK91" s="214"/>
      <c r="CL91" s="214"/>
      <c r="CM91" s="214"/>
      <c r="CN91" s="214"/>
      <c r="CO91" s="214"/>
      <c r="CP91" s="214"/>
      <c r="CQ91" s="214"/>
      <c r="CR91" s="214"/>
      <c r="CS91" s="214"/>
      <c r="CT91" s="214"/>
      <c r="CU91" s="214"/>
      <c r="CV91" s="214"/>
      <c r="CW91" s="214"/>
      <c r="CX91" s="214"/>
      <c r="CY91" s="214"/>
      <c r="CZ91" s="214"/>
      <c r="DA91" s="214"/>
      <c r="DB91" s="214"/>
      <c r="DC91" s="214"/>
      <c r="DD91" s="214"/>
      <c r="DE91" s="214"/>
      <c r="DF91" s="214"/>
      <c r="DG91" s="214"/>
      <c r="DH91" s="214"/>
      <c r="DI91" s="214"/>
      <c r="DJ91" s="214"/>
      <c r="DK91" s="214"/>
      <c r="DL91" s="214"/>
      <c r="DM91" s="214"/>
      <c r="DN91" s="214"/>
      <c r="DO91" s="214"/>
      <c r="DP91" s="214"/>
      <c r="DQ91" s="214"/>
      <c r="DR91" s="214"/>
      <c r="DS91" s="214"/>
      <c r="DT91" s="214"/>
      <c r="DU91" s="214"/>
      <c r="DV91" s="214"/>
      <c r="DW91" s="214"/>
      <c r="DX91" s="214"/>
      <c r="DY91" s="214"/>
      <c r="DZ91" s="214"/>
      <c r="EA91" s="214"/>
      <c r="EB91" s="214"/>
      <c r="EC91" s="214"/>
      <c r="ED91" s="214"/>
      <c r="EE91" s="214"/>
      <c r="EF91" s="214"/>
      <c r="EG91" s="214"/>
      <c r="EH91" s="214"/>
      <c r="EI91" s="214"/>
      <c r="EJ91" s="214"/>
      <c r="EK91" s="214"/>
      <c r="EL91" s="214"/>
      <c r="EM91" s="214"/>
      <c r="EN91" s="214"/>
      <c r="EO91" s="214"/>
      <c r="EP91" s="214"/>
      <c r="EQ91" s="214"/>
      <c r="ER91" s="214"/>
      <c r="ES91" s="214"/>
      <c r="ET91" s="214"/>
      <c r="EU91" s="249">
        <f>[1]AM!EU42</f>
        <v>0</v>
      </c>
      <c r="EV91" s="252" t="e">
        <f>EU91/EU95</f>
        <v>#DIV/0!</v>
      </c>
      <c r="EW91"/>
    </row>
    <row r="92" spans="1:153" x14ac:dyDescent="0.3">
      <c r="A92" s="75"/>
      <c r="B92" s="74" t="s">
        <v>81</v>
      </c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  <c r="Y92" s="214"/>
      <c r="Z92" s="214"/>
      <c r="AA92" s="214"/>
      <c r="AB92" s="214"/>
      <c r="AC92" s="214"/>
      <c r="AD92" s="214"/>
      <c r="AE92" s="214"/>
      <c r="AF92" s="214"/>
      <c r="AG92" s="214"/>
      <c r="AH92" s="214"/>
      <c r="AI92" s="214"/>
      <c r="AJ92" s="214"/>
      <c r="AK92" s="214"/>
      <c r="AL92" s="214"/>
      <c r="AM92" s="214"/>
      <c r="AN92" s="214"/>
      <c r="AO92" s="214"/>
      <c r="AP92" s="214"/>
      <c r="AQ92" s="214"/>
      <c r="AR92" s="214"/>
      <c r="AS92" s="214"/>
      <c r="AT92" s="214"/>
      <c r="AU92" s="214"/>
      <c r="AV92" s="214"/>
      <c r="AW92" s="214"/>
      <c r="AX92" s="214"/>
      <c r="AY92" s="214"/>
      <c r="AZ92" s="214"/>
      <c r="BA92" s="214"/>
      <c r="BB92" s="214"/>
      <c r="BC92" s="214"/>
      <c r="BD92" s="214"/>
      <c r="BE92" s="214"/>
      <c r="BF92" s="214"/>
      <c r="BG92" s="214"/>
      <c r="BH92" s="214"/>
      <c r="BI92" s="214"/>
      <c r="BJ92" s="214"/>
      <c r="BK92" s="214"/>
      <c r="BL92" s="214"/>
      <c r="BM92" s="214"/>
      <c r="BN92" s="214"/>
      <c r="BO92" s="214"/>
      <c r="BP92" s="214"/>
      <c r="BQ92" s="214"/>
      <c r="BR92" s="214"/>
      <c r="BS92" s="214"/>
      <c r="BT92" s="214"/>
      <c r="BU92" s="214"/>
      <c r="BV92" s="214"/>
      <c r="BW92" s="214"/>
      <c r="BX92" s="214"/>
      <c r="BY92" s="214"/>
      <c r="BZ92" s="214"/>
      <c r="CA92" s="214"/>
      <c r="CB92" s="214"/>
      <c r="CC92" s="214"/>
      <c r="CD92" s="214"/>
      <c r="CE92" s="214"/>
      <c r="CF92" s="214"/>
      <c r="CG92" s="214"/>
      <c r="CH92" s="214"/>
      <c r="CI92" s="214"/>
      <c r="CJ92" s="214"/>
      <c r="CK92" s="214"/>
      <c r="CL92" s="214"/>
      <c r="CM92" s="214"/>
      <c r="CN92" s="214"/>
      <c r="CO92" s="214"/>
      <c r="CP92" s="214"/>
      <c r="CQ92" s="214"/>
      <c r="CR92" s="214"/>
      <c r="CS92" s="214"/>
      <c r="CT92" s="214"/>
      <c r="CU92" s="214"/>
      <c r="CV92" s="214"/>
      <c r="CW92" s="214"/>
      <c r="CX92" s="214"/>
      <c r="CY92" s="214"/>
      <c r="CZ92" s="214"/>
      <c r="DA92" s="214"/>
      <c r="DB92" s="214"/>
      <c r="DC92" s="214"/>
      <c r="DD92" s="214"/>
      <c r="DE92" s="214"/>
      <c r="DF92" s="214"/>
      <c r="DG92" s="214"/>
      <c r="DH92" s="214"/>
      <c r="DI92" s="214"/>
      <c r="DJ92" s="214"/>
      <c r="DK92" s="214"/>
      <c r="DL92" s="214"/>
      <c r="DM92" s="214"/>
      <c r="DN92" s="214"/>
      <c r="DO92" s="214"/>
      <c r="DP92" s="214"/>
      <c r="DQ92" s="214"/>
      <c r="DR92" s="214"/>
      <c r="DS92" s="214"/>
      <c r="DT92" s="214"/>
      <c r="DU92" s="214"/>
      <c r="DV92" s="214"/>
      <c r="DW92" s="214"/>
      <c r="DX92" s="214"/>
      <c r="DY92" s="214"/>
      <c r="DZ92" s="214"/>
      <c r="EA92" s="214"/>
      <c r="EB92" s="214"/>
      <c r="EC92" s="214"/>
      <c r="ED92" s="214"/>
      <c r="EE92" s="214"/>
      <c r="EF92" s="214"/>
      <c r="EG92" s="214"/>
      <c r="EH92" s="214"/>
      <c r="EI92" s="214"/>
      <c r="EJ92" s="214"/>
      <c r="EK92" s="214"/>
      <c r="EL92" s="214"/>
      <c r="EM92" s="214"/>
      <c r="EN92" s="214"/>
      <c r="EO92" s="214"/>
      <c r="EP92" s="214"/>
      <c r="EQ92" s="214"/>
      <c r="ER92" s="214"/>
      <c r="ES92" s="214"/>
      <c r="ET92" s="214"/>
      <c r="EU92" s="249">
        <f>[1]AM!EU43</f>
        <v>0</v>
      </c>
      <c r="EV92" s="253" t="e">
        <f>EU92/EU95</f>
        <v>#DIV/0!</v>
      </c>
      <c r="EW92"/>
    </row>
    <row r="93" spans="1:153" x14ac:dyDescent="0.3">
      <c r="A93" s="75" t="s">
        <v>153</v>
      </c>
      <c r="B93" s="74" t="s">
        <v>82</v>
      </c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214"/>
      <c r="S93" s="214"/>
      <c r="T93" s="214"/>
      <c r="U93" s="214"/>
      <c r="V93" s="214"/>
      <c r="W93" s="214"/>
      <c r="X93" s="214"/>
      <c r="Y93" s="214"/>
      <c r="Z93" s="214"/>
      <c r="AA93" s="214"/>
      <c r="AB93" s="214"/>
      <c r="AC93" s="214"/>
      <c r="AD93" s="214"/>
      <c r="AE93" s="214"/>
      <c r="AF93" s="214"/>
      <c r="AG93" s="214"/>
      <c r="AH93" s="214"/>
      <c r="AI93" s="214"/>
      <c r="AJ93" s="214"/>
      <c r="AK93" s="214"/>
      <c r="AL93" s="214"/>
      <c r="AM93" s="214"/>
      <c r="AN93" s="214"/>
      <c r="AO93" s="214"/>
      <c r="AP93" s="214"/>
      <c r="AQ93" s="214"/>
      <c r="AR93" s="214"/>
      <c r="AS93" s="214"/>
      <c r="AT93" s="214"/>
      <c r="AU93" s="214"/>
      <c r="AV93" s="214"/>
      <c r="AW93" s="214"/>
      <c r="AX93" s="214"/>
      <c r="AY93" s="214"/>
      <c r="AZ93" s="214"/>
      <c r="BA93" s="214"/>
      <c r="BB93" s="214"/>
      <c r="BC93" s="214"/>
      <c r="BD93" s="214"/>
      <c r="BE93" s="214"/>
      <c r="BF93" s="214"/>
      <c r="BG93" s="214"/>
      <c r="BH93" s="214"/>
      <c r="BI93" s="214"/>
      <c r="BJ93" s="214"/>
      <c r="BK93" s="214"/>
      <c r="BL93" s="214"/>
      <c r="BM93" s="214"/>
      <c r="BN93" s="214"/>
      <c r="BO93" s="214"/>
      <c r="BP93" s="214"/>
      <c r="BQ93" s="214"/>
      <c r="BR93" s="214"/>
      <c r="BS93" s="214"/>
      <c r="BT93" s="214"/>
      <c r="BU93" s="214"/>
      <c r="BV93" s="214"/>
      <c r="BW93" s="214"/>
      <c r="BX93" s="214"/>
      <c r="BY93" s="214"/>
      <c r="BZ93" s="214"/>
      <c r="CA93" s="214"/>
      <c r="CB93" s="214"/>
      <c r="CC93" s="214"/>
      <c r="CD93" s="214"/>
      <c r="CE93" s="214"/>
      <c r="CF93" s="214"/>
      <c r="CG93" s="214"/>
      <c r="CH93" s="214"/>
      <c r="CI93" s="214"/>
      <c r="CJ93" s="214"/>
      <c r="CK93" s="214"/>
      <c r="CL93" s="214"/>
      <c r="CM93" s="214"/>
      <c r="CN93" s="214"/>
      <c r="CO93" s="214"/>
      <c r="CP93" s="214"/>
      <c r="CQ93" s="214"/>
      <c r="CR93" s="214"/>
      <c r="CS93" s="214"/>
      <c r="CT93" s="214"/>
      <c r="CU93" s="214"/>
      <c r="CV93" s="214"/>
      <c r="CW93" s="214"/>
      <c r="CX93" s="214"/>
      <c r="CY93" s="214"/>
      <c r="CZ93" s="214"/>
      <c r="DA93" s="214"/>
      <c r="DB93" s="214"/>
      <c r="DC93" s="214"/>
      <c r="DD93" s="214"/>
      <c r="DE93" s="214"/>
      <c r="DF93" s="214"/>
      <c r="DG93" s="214"/>
      <c r="DH93" s="214"/>
      <c r="DI93" s="214"/>
      <c r="DJ93" s="214"/>
      <c r="DK93" s="214"/>
      <c r="DL93" s="214"/>
      <c r="DM93" s="214"/>
      <c r="DN93" s="214"/>
      <c r="DO93" s="214"/>
      <c r="DP93" s="214"/>
      <c r="DQ93" s="214"/>
      <c r="DR93" s="214"/>
      <c r="DS93" s="214"/>
      <c r="DT93" s="214"/>
      <c r="DU93" s="214"/>
      <c r="DV93" s="214"/>
      <c r="DW93" s="214"/>
      <c r="DX93" s="214"/>
      <c r="DY93" s="214"/>
      <c r="DZ93" s="214"/>
      <c r="EA93" s="214"/>
      <c r="EB93" s="214"/>
      <c r="EC93" s="214"/>
      <c r="ED93" s="214"/>
      <c r="EE93" s="214"/>
      <c r="EF93" s="214"/>
      <c r="EG93" s="214"/>
      <c r="EH93" s="214"/>
      <c r="EI93" s="214"/>
      <c r="EJ93" s="214"/>
      <c r="EK93" s="214"/>
      <c r="EL93" s="214"/>
      <c r="EM93" s="214"/>
      <c r="EN93" s="214"/>
      <c r="EO93" s="214"/>
      <c r="EP93" s="214"/>
      <c r="EQ93" s="214"/>
      <c r="ER93" s="214"/>
      <c r="ES93" s="214"/>
      <c r="ET93" s="214"/>
      <c r="EU93" s="249">
        <f>[1]AM!EU44</f>
        <v>0</v>
      </c>
      <c r="EV93" s="253" t="e">
        <f>EU93/EU95</f>
        <v>#DIV/0!</v>
      </c>
      <c r="EW93"/>
    </row>
    <row r="94" spans="1:153" x14ac:dyDescent="0.3">
      <c r="A94" s="73"/>
      <c r="B94" s="74" t="s">
        <v>102</v>
      </c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  <c r="X94" s="214"/>
      <c r="Y94" s="214"/>
      <c r="Z94" s="214"/>
      <c r="AA94" s="214"/>
      <c r="AB94" s="214"/>
      <c r="AC94" s="214"/>
      <c r="AD94" s="214"/>
      <c r="AE94" s="214"/>
      <c r="AF94" s="214"/>
      <c r="AG94" s="214"/>
      <c r="AH94" s="214"/>
      <c r="AI94" s="214"/>
      <c r="AJ94" s="214"/>
      <c r="AK94" s="214"/>
      <c r="AL94" s="214"/>
      <c r="AM94" s="214"/>
      <c r="AN94" s="214"/>
      <c r="AO94" s="214"/>
      <c r="AP94" s="214"/>
      <c r="AQ94" s="214"/>
      <c r="AR94" s="214"/>
      <c r="AS94" s="214"/>
      <c r="AT94" s="214"/>
      <c r="AU94" s="214"/>
      <c r="AV94" s="214"/>
      <c r="AW94" s="214"/>
      <c r="AX94" s="214"/>
      <c r="AY94" s="214"/>
      <c r="AZ94" s="214"/>
      <c r="BA94" s="214"/>
      <c r="BB94" s="214"/>
      <c r="BC94" s="214"/>
      <c r="BD94" s="214"/>
      <c r="BE94" s="214"/>
      <c r="BF94" s="214"/>
      <c r="BG94" s="214"/>
      <c r="BH94" s="214"/>
      <c r="BI94" s="214"/>
      <c r="BJ94" s="214"/>
      <c r="BK94" s="214"/>
      <c r="BL94" s="214"/>
      <c r="BM94" s="214"/>
      <c r="BN94" s="214"/>
      <c r="BO94" s="214"/>
      <c r="BP94" s="214"/>
      <c r="BQ94" s="214"/>
      <c r="BR94" s="214"/>
      <c r="BS94" s="214"/>
      <c r="BT94" s="214"/>
      <c r="BU94" s="214"/>
      <c r="BV94" s="214"/>
      <c r="BW94" s="214"/>
      <c r="BX94" s="214"/>
      <c r="BY94" s="214"/>
      <c r="BZ94" s="214"/>
      <c r="CA94" s="214"/>
      <c r="CB94" s="214"/>
      <c r="CC94" s="214"/>
      <c r="CD94" s="214"/>
      <c r="CE94" s="214"/>
      <c r="CF94" s="214"/>
      <c r="CG94" s="214"/>
      <c r="CH94" s="214"/>
      <c r="CI94" s="214"/>
      <c r="CJ94" s="214"/>
      <c r="CK94" s="214"/>
      <c r="CL94" s="214"/>
      <c r="CM94" s="214"/>
      <c r="CN94" s="214"/>
      <c r="CO94" s="214"/>
      <c r="CP94" s="214"/>
      <c r="CQ94" s="214"/>
      <c r="CR94" s="214"/>
      <c r="CS94" s="214"/>
      <c r="CT94" s="214"/>
      <c r="CU94" s="214"/>
      <c r="CV94" s="214"/>
      <c r="CW94" s="214"/>
      <c r="CX94" s="214"/>
      <c r="CY94" s="214"/>
      <c r="CZ94" s="214"/>
      <c r="DA94" s="214"/>
      <c r="DB94" s="214"/>
      <c r="DC94" s="214"/>
      <c r="DD94" s="214"/>
      <c r="DE94" s="214"/>
      <c r="DF94" s="214"/>
      <c r="DG94" s="214"/>
      <c r="DH94" s="214"/>
      <c r="DI94" s="214"/>
      <c r="DJ94" s="214"/>
      <c r="DK94" s="214"/>
      <c r="DL94" s="214"/>
      <c r="DM94" s="214"/>
      <c r="DN94" s="214"/>
      <c r="DO94" s="214"/>
      <c r="DP94" s="214"/>
      <c r="DQ94" s="214"/>
      <c r="DR94" s="214"/>
      <c r="DS94" s="214"/>
      <c r="DT94" s="214"/>
      <c r="DU94" s="214"/>
      <c r="DV94" s="214"/>
      <c r="DW94" s="214"/>
      <c r="DX94" s="214"/>
      <c r="DY94" s="214"/>
      <c r="DZ94" s="214"/>
      <c r="EA94" s="214"/>
      <c r="EB94" s="214"/>
      <c r="EC94" s="214"/>
      <c r="ED94" s="214"/>
      <c r="EE94" s="214"/>
      <c r="EF94" s="214"/>
      <c r="EG94" s="214"/>
      <c r="EH94" s="214"/>
      <c r="EI94" s="214"/>
      <c r="EJ94" s="214"/>
      <c r="EK94" s="214"/>
      <c r="EL94" s="214"/>
      <c r="EM94" s="214"/>
      <c r="EN94" s="214"/>
      <c r="EO94" s="214"/>
      <c r="EP94" s="214"/>
      <c r="EQ94" s="214"/>
      <c r="ER94" s="214"/>
      <c r="ES94" s="214"/>
      <c r="ET94" s="214"/>
      <c r="EU94" s="249">
        <f>[1]AM!EU45</f>
        <v>0</v>
      </c>
      <c r="EV94" s="253" t="e">
        <f>EU94/EU95</f>
        <v>#DIV/0!</v>
      </c>
      <c r="EW94"/>
    </row>
    <row r="95" spans="1:153" ht="13.3" thickBot="1" x14ac:dyDescent="0.35">
      <c r="A95" s="73"/>
      <c r="B95" s="76" t="s">
        <v>83</v>
      </c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214"/>
      <c r="Y95" s="214"/>
      <c r="Z95" s="214"/>
      <c r="AA95" s="214"/>
      <c r="AB95" s="214"/>
      <c r="AC95" s="214"/>
      <c r="AD95" s="214"/>
      <c r="AE95" s="214"/>
      <c r="AF95" s="214"/>
      <c r="AG95" s="214"/>
      <c r="AH95" s="214"/>
      <c r="AI95" s="214"/>
      <c r="AJ95" s="214"/>
      <c r="AK95" s="214"/>
      <c r="AL95" s="214"/>
      <c r="AM95" s="214"/>
      <c r="AN95" s="214"/>
      <c r="AO95" s="214"/>
      <c r="AP95" s="214"/>
      <c r="AQ95" s="214"/>
      <c r="AR95" s="214"/>
      <c r="AS95" s="214"/>
      <c r="AT95" s="214"/>
      <c r="AU95" s="214"/>
      <c r="AV95" s="214"/>
      <c r="AW95" s="214"/>
      <c r="AX95" s="214"/>
      <c r="AY95" s="214"/>
      <c r="AZ95" s="214"/>
      <c r="BA95" s="214"/>
      <c r="BB95" s="214"/>
      <c r="BC95" s="214"/>
      <c r="BD95" s="214"/>
      <c r="BE95" s="214"/>
      <c r="BF95" s="214"/>
      <c r="BG95" s="214"/>
      <c r="BH95" s="214"/>
      <c r="BI95" s="214"/>
      <c r="BJ95" s="214"/>
      <c r="BK95" s="214"/>
      <c r="BL95" s="214"/>
      <c r="BM95" s="214"/>
      <c r="BN95" s="214"/>
      <c r="BO95" s="214"/>
      <c r="BP95" s="214"/>
      <c r="BQ95" s="214"/>
      <c r="BR95" s="214"/>
      <c r="BS95" s="214"/>
      <c r="BT95" s="214"/>
      <c r="BU95" s="214"/>
      <c r="BV95" s="214"/>
      <c r="BW95" s="214"/>
      <c r="BX95" s="214"/>
      <c r="BY95" s="214"/>
      <c r="BZ95" s="214"/>
      <c r="CA95" s="214"/>
      <c r="CB95" s="214"/>
      <c r="CC95" s="214"/>
      <c r="CD95" s="214"/>
      <c r="CE95" s="214"/>
      <c r="CF95" s="214"/>
      <c r="CG95" s="214"/>
      <c r="CH95" s="214"/>
      <c r="CI95" s="214"/>
      <c r="CJ95" s="214"/>
      <c r="CK95" s="214"/>
      <c r="CL95" s="214"/>
      <c r="CM95" s="214"/>
      <c r="CN95" s="214"/>
      <c r="CO95" s="214"/>
      <c r="CP95" s="214"/>
      <c r="CQ95" s="214"/>
      <c r="CR95" s="214"/>
      <c r="CS95" s="214"/>
      <c r="CT95" s="214"/>
      <c r="CU95" s="214"/>
      <c r="CV95" s="214"/>
      <c r="CW95" s="214"/>
      <c r="CX95" s="214"/>
      <c r="CY95" s="214"/>
      <c r="CZ95" s="214"/>
      <c r="DA95" s="214"/>
      <c r="DB95" s="214"/>
      <c r="DC95" s="214"/>
      <c r="DD95" s="214"/>
      <c r="DE95" s="214"/>
      <c r="DF95" s="214"/>
      <c r="DG95" s="214"/>
      <c r="DH95" s="214"/>
      <c r="DI95" s="214"/>
      <c r="DJ95" s="214"/>
      <c r="DK95" s="214"/>
      <c r="DL95" s="214"/>
      <c r="DM95" s="214"/>
      <c r="DN95" s="214"/>
      <c r="DO95" s="214"/>
      <c r="DP95" s="214"/>
      <c r="DQ95" s="214"/>
      <c r="DR95" s="214"/>
      <c r="DS95" s="214"/>
      <c r="DT95" s="214"/>
      <c r="DU95" s="214"/>
      <c r="DV95" s="214"/>
      <c r="DW95" s="214"/>
      <c r="DX95" s="214"/>
      <c r="DY95" s="214"/>
      <c r="DZ95" s="214"/>
      <c r="EA95" s="214"/>
      <c r="EB95" s="214"/>
      <c r="EC95" s="214"/>
      <c r="ED95" s="214"/>
      <c r="EE95" s="214"/>
      <c r="EF95" s="214"/>
      <c r="EG95" s="214"/>
      <c r="EH95" s="214"/>
      <c r="EI95" s="214"/>
      <c r="EJ95" s="214"/>
      <c r="EK95" s="214"/>
      <c r="EL95" s="214"/>
      <c r="EM95" s="214"/>
      <c r="EN95" s="214"/>
      <c r="EO95" s="214"/>
      <c r="EP95" s="214"/>
      <c r="EQ95" s="214"/>
      <c r="ER95" s="214"/>
      <c r="ES95" s="214"/>
      <c r="ET95" s="214"/>
      <c r="EU95" s="249">
        <f>[1]AM!EU46</f>
        <v>0</v>
      </c>
      <c r="EV95" s="254" t="e">
        <f>EU95/EU95</f>
        <v>#DIV/0!</v>
      </c>
      <c r="EW95"/>
    </row>
    <row r="96" spans="1:153" x14ac:dyDescent="0.3">
      <c r="A96" s="73"/>
      <c r="B96" s="74" t="s">
        <v>88</v>
      </c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  <c r="X96" s="214"/>
      <c r="Y96" s="214"/>
      <c r="Z96" s="214"/>
      <c r="AA96" s="214"/>
      <c r="AB96" s="214"/>
      <c r="AC96" s="214"/>
      <c r="AD96" s="214"/>
      <c r="AE96" s="214"/>
      <c r="AF96" s="214"/>
      <c r="AG96" s="214"/>
      <c r="AH96" s="214"/>
      <c r="AI96" s="214"/>
      <c r="AJ96" s="214"/>
      <c r="AK96" s="214"/>
      <c r="AL96" s="214"/>
      <c r="AM96" s="214"/>
      <c r="AN96" s="214"/>
      <c r="AO96" s="214"/>
      <c r="AP96" s="214"/>
      <c r="AQ96" s="214"/>
      <c r="AR96" s="214"/>
      <c r="AS96" s="214"/>
      <c r="AT96" s="214"/>
      <c r="AU96" s="214"/>
      <c r="AV96" s="214"/>
      <c r="AW96" s="214"/>
      <c r="AX96" s="214"/>
      <c r="AY96" s="214"/>
      <c r="AZ96" s="214"/>
      <c r="BA96" s="214"/>
      <c r="BB96" s="214"/>
      <c r="BC96" s="214"/>
      <c r="BD96" s="214"/>
      <c r="BE96" s="214"/>
      <c r="BF96" s="214"/>
      <c r="BG96" s="214"/>
      <c r="BH96" s="214"/>
      <c r="BI96" s="214"/>
      <c r="BJ96" s="214"/>
      <c r="BK96" s="214"/>
      <c r="BL96" s="214"/>
      <c r="BM96" s="214"/>
      <c r="BN96" s="214"/>
      <c r="BO96" s="214"/>
      <c r="BP96" s="214"/>
      <c r="BQ96" s="214"/>
      <c r="BR96" s="214"/>
      <c r="BS96" s="214"/>
      <c r="BT96" s="214"/>
      <c r="BU96" s="214"/>
      <c r="BV96" s="214"/>
      <c r="BW96" s="214"/>
      <c r="BX96" s="214"/>
      <c r="BY96" s="214"/>
      <c r="BZ96" s="214"/>
      <c r="CA96" s="214"/>
      <c r="CB96" s="214"/>
      <c r="CC96" s="214"/>
      <c r="CD96" s="214"/>
      <c r="CE96" s="214"/>
      <c r="CF96" s="214"/>
      <c r="CG96" s="214"/>
      <c r="CH96" s="214"/>
      <c r="CI96" s="214"/>
      <c r="CJ96" s="214"/>
      <c r="CK96" s="214"/>
      <c r="CL96" s="214"/>
      <c r="CM96" s="214"/>
      <c r="CN96" s="214"/>
      <c r="CO96" s="214"/>
      <c r="CP96" s="214"/>
      <c r="CQ96" s="214"/>
      <c r="CR96" s="214"/>
      <c r="CS96" s="214"/>
      <c r="CT96" s="214"/>
      <c r="CU96" s="214"/>
      <c r="CV96" s="214"/>
      <c r="CW96" s="214"/>
      <c r="CX96" s="214"/>
      <c r="CY96" s="214"/>
      <c r="CZ96" s="214"/>
      <c r="DA96" s="214"/>
      <c r="DB96" s="214"/>
      <c r="DC96" s="214"/>
      <c r="DD96" s="214"/>
      <c r="DE96" s="214"/>
      <c r="DF96" s="214"/>
      <c r="DG96" s="214"/>
      <c r="DH96" s="214"/>
      <c r="DI96" s="214"/>
      <c r="DJ96" s="214"/>
      <c r="DK96" s="214"/>
      <c r="DL96" s="214"/>
      <c r="DM96" s="214"/>
      <c r="DN96" s="214"/>
      <c r="DO96" s="214"/>
      <c r="DP96" s="214"/>
      <c r="DQ96" s="214"/>
      <c r="DR96" s="214"/>
      <c r="DS96" s="214"/>
      <c r="DT96" s="214"/>
      <c r="DU96" s="214"/>
      <c r="DV96" s="214"/>
      <c r="DW96" s="214"/>
      <c r="DX96" s="214"/>
      <c r="DY96" s="214"/>
      <c r="DZ96" s="214"/>
      <c r="EA96" s="214"/>
      <c r="EB96" s="214"/>
      <c r="EC96" s="214"/>
      <c r="ED96" s="214"/>
      <c r="EE96" s="214"/>
      <c r="EF96" s="214"/>
      <c r="EG96" s="214"/>
      <c r="EH96" s="214"/>
      <c r="EI96" s="214"/>
      <c r="EJ96" s="214"/>
      <c r="EK96" s="214"/>
      <c r="EL96" s="214"/>
      <c r="EM96" s="214"/>
      <c r="EN96" s="214"/>
      <c r="EO96" s="214"/>
      <c r="EP96" s="214"/>
      <c r="EQ96" s="214"/>
      <c r="ER96" s="214"/>
      <c r="ES96" s="214"/>
      <c r="ET96" s="214"/>
      <c r="EU96" s="249">
        <f>[1]AM!EU47</f>
        <v>0</v>
      </c>
      <c r="EV96" s="255"/>
      <c r="EW96"/>
    </row>
    <row r="97" spans="1:153" x14ac:dyDescent="0.3">
      <c r="A97" s="73"/>
      <c r="B97" s="74" t="s">
        <v>71</v>
      </c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  <c r="W97" s="214"/>
      <c r="X97" s="214"/>
      <c r="Y97" s="214"/>
      <c r="Z97" s="214"/>
      <c r="AA97" s="214"/>
      <c r="AB97" s="214"/>
      <c r="AC97" s="214"/>
      <c r="AD97" s="214"/>
      <c r="AE97" s="214"/>
      <c r="AF97" s="214"/>
      <c r="AG97" s="214"/>
      <c r="AH97" s="214"/>
      <c r="AI97" s="214"/>
      <c r="AJ97" s="214"/>
      <c r="AK97" s="214"/>
      <c r="AL97" s="214"/>
      <c r="AM97" s="214"/>
      <c r="AN97" s="214"/>
      <c r="AO97" s="214"/>
      <c r="AP97" s="214"/>
      <c r="AQ97" s="214"/>
      <c r="AR97" s="214"/>
      <c r="AS97" s="214"/>
      <c r="AT97" s="214"/>
      <c r="AU97" s="214"/>
      <c r="AV97" s="214"/>
      <c r="AW97" s="214"/>
      <c r="AX97" s="214"/>
      <c r="AY97" s="214"/>
      <c r="AZ97" s="214"/>
      <c r="BA97" s="214"/>
      <c r="BB97" s="214"/>
      <c r="BC97" s="214"/>
      <c r="BD97" s="214"/>
      <c r="BE97" s="214"/>
      <c r="BF97" s="214"/>
      <c r="BG97" s="214"/>
      <c r="BH97" s="214"/>
      <c r="BI97" s="214"/>
      <c r="BJ97" s="214"/>
      <c r="BK97" s="214"/>
      <c r="BL97" s="214"/>
      <c r="BM97" s="214"/>
      <c r="BN97" s="214"/>
      <c r="BO97" s="214"/>
      <c r="BP97" s="214"/>
      <c r="BQ97" s="214"/>
      <c r="BR97" s="214"/>
      <c r="BS97" s="214"/>
      <c r="BT97" s="214"/>
      <c r="BU97" s="214"/>
      <c r="BV97" s="214"/>
      <c r="BW97" s="214"/>
      <c r="BX97" s="214"/>
      <c r="BY97" s="214"/>
      <c r="BZ97" s="214"/>
      <c r="CA97" s="214"/>
      <c r="CB97" s="214"/>
      <c r="CC97" s="214"/>
      <c r="CD97" s="214"/>
      <c r="CE97" s="214"/>
      <c r="CF97" s="214"/>
      <c r="CG97" s="214"/>
      <c r="CH97" s="214"/>
      <c r="CI97" s="214"/>
      <c r="CJ97" s="214"/>
      <c r="CK97" s="214"/>
      <c r="CL97" s="214"/>
      <c r="CM97" s="214"/>
      <c r="CN97" s="214"/>
      <c r="CO97" s="214"/>
      <c r="CP97" s="214"/>
      <c r="CQ97" s="214"/>
      <c r="CR97" s="214"/>
      <c r="CS97" s="214"/>
      <c r="CT97" s="214"/>
      <c r="CU97" s="214"/>
      <c r="CV97" s="214"/>
      <c r="CW97" s="214"/>
      <c r="CX97" s="214"/>
      <c r="CY97" s="214"/>
      <c r="CZ97" s="214"/>
      <c r="DA97" s="214"/>
      <c r="DB97" s="214"/>
      <c r="DC97" s="214"/>
      <c r="DD97" s="214"/>
      <c r="DE97" s="214"/>
      <c r="DF97" s="214"/>
      <c r="DG97" s="214"/>
      <c r="DH97" s="214"/>
      <c r="DI97" s="214"/>
      <c r="DJ97" s="214"/>
      <c r="DK97" s="214"/>
      <c r="DL97" s="214"/>
      <c r="DM97" s="214"/>
      <c r="DN97" s="214"/>
      <c r="DO97" s="214"/>
      <c r="DP97" s="214"/>
      <c r="DQ97" s="214"/>
      <c r="DR97" s="214"/>
      <c r="DS97" s="214"/>
      <c r="DT97" s="214"/>
      <c r="DU97" s="214"/>
      <c r="DV97" s="214"/>
      <c r="DW97" s="214"/>
      <c r="DX97" s="214"/>
      <c r="DY97" s="214"/>
      <c r="DZ97" s="214"/>
      <c r="EA97" s="214"/>
      <c r="EB97" s="214"/>
      <c r="EC97" s="214"/>
      <c r="ED97" s="214"/>
      <c r="EE97" s="214"/>
      <c r="EF97" s="214"/>
      <c r="EG97" s="214"/>
      <c r="EH97" s="214"/>
      <c r="EI97" s="214"/>
      <c r="EJ97" s="214"/>
      <c r="EK97" s="214"/>
      <c r="EL97" s="214"/>
      <c r="EM97" s="214"/>
      <c r="EN97" s="214"/>
      <c r="EO97" s="214"/>
      <c r="EP97" s="214"/>
      <c r="EQ97" s="214"/>
      <c r="ER97" s="214"/>
      <c r="ES97" s="214"/>
      <c r="ET97" s="214"/>
      <c r="EU97" s="249">
        <f>[1]AM!EU48</f>
        <v>0</v>
      </c>
      <c r="EV97" s="253"/>
      <c r="EW97"/>
    </row>
    <row r="98" spans="1:153" ht="13.3" thickBot="1" x14ac:dyDescent="0.35">
      <c r="A98" s="77"/>
      <c r="B98" s="78" t="s">
        <v>84</v>
      </c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214"/>
      <c r="S98" s="214"/>
      <c r="T98" s="214"/>
      <c r="U98" s="214"/>
      <c r="V98" s="214"/>
      <c r="W98" s="214"/>
      <c r="X98" s="214"/>
      <c r="Y98" s="214"/>
      <c r="Z98" s="214"/>
      <c r="AA98" s="214"/>
      <c r="AB98" s="214"/>
      <c r="AC98" s="214"/>
      <c r="AD98" s="214"/>
      <c r="AE98" s="214"/>
      <c r="AF98" s="214"/>
      <c r="AG98" s="214"/>
      <c r="AH98" s="214"/>
      <c r="AI98" s="214"/>
      <c r="AJ98" s="214"/>
      <c r="AK98" s="214"/>
      <c r="AL98" s="214"/>
      <c r="AM98" s="214"/>
      <c r="AN98" s="214"/>
      <c r="AO98" s="214"/>
      <c r="AP98" s="214"/>
      <c r="AQ98" s="214"/>
      <c r="AR98" s="214"/>
      <c r="AS98" s="214"/>
      <c r="AT98" s="214"/>
      <c r="AU98" s="214"/>
      <c r="AV98" s="214"/>
      <c r="AW98" s="214"/>
      <c r="AX98" s="214"/>
      <c r="AY98" s="214"/>
      <c r="AZ98" s="214"/>
      <c r="BA98" s="214"/>
      <c r="BB98" s="214"/>
      <c r="BC98" s="214"/>
      <c r="BD98" s="214"/>
      <c r="BE98" s="214"/>
      <c r="BF98" s="214"/>
      <c r="BG98" s="214"/>
      <c r="BH98" s="214"/>
      <c r="BI98" s="214"/>
      <c r="BJ98" s="214"/>
      <c r="BK98" s="214"/>
      <c r="BL98" s="214"/>
      <c r="BM98" s="214"/>
      <c r="BN98" s="214"/>
      <c r="BO98" s="214"/>
      <c r="BP98" s="214"/>
      <c r="BQ98" s="214"/>
      <c r="BR98" s="214"/>
      <c r="BS98" s="214"/>
      <c r="BT98" s="214"/>
      <c r="BU98" s="214"/>
      <c r="BV98" s="214"/>
      <c r="BW98" s="214"/>
      <c r="BX98" s="214"/>
      <c r="BY98" s="214"/>
      <c r="BZ98" s="214"/>
      <c r="CA98" s="214"/>
      <c r="CB98" s="214"/>
      <c r="CC98" s="214"/>
      <c r="CD98" s="214"/>
      <c r="CE98" s="214"/>
      <c r="CF98" s="214"/>
      <c r="CG98" s="214"/>
      <c r="CH98" s="214"/>
      <c r="CI98" s="214"/>
      <c r="CJ98" s="214"/>
      <c r="CK98" s="214"/>
      <c r="CL98" s="214"/>
      <c r="CM98" s="214"/>
      <c r="CN98" s="214"/>
      <c r="CO98" s="214"/>
      <c r="CP98" s="214"/>
      <c r="CQ98" s="214"/>
      <c r="CR98" s="214"/>
      <c r="CS98" s="214"/>
      <c r="CT98" s="214"/>
      <c r="CU98" s="214"/>
      <c r="CV98" s="214"/>
      <c r="CW98" s="214"/>
      <c r="CX98" s="214"/>
      <c r="CY98" s="214"/>
      <c r="CZ98" s="214"/>
      <c r="DA98" s="214"/>
      <c r="DB98" s="214"/>
      <c r="DC98" s="214"/>
      <c r="DD98" s="214"/>
      <c r="DE98" s="214"/>
      <c r="DF98" s="214"/>
      <c r="DG98" s="214"/>
      <c r="DH98" s="214"/>
      <c r="DI98" s="214"/>
      <c r="DJ98" s="214"/>
      <c r="DK98" s="214"/>
      <c r="DL98" s="214"/>
      <c r="DM98" s="214"/>
      <c r="DN98" s="214"/>
      <c r="DO98" s="214"/>
      <c r="DP98" s="214"/>
      <c r="DQ98" s="214"/>
      <c r="DR98" s="214"/>
      <c r="DS98" s="214"/>
      <c r="DT98" s="214"/>
      <c r="DU98" s="214"/>
      <c r="DV98" s="214"/>
      <c r="DW98" s="214"/>
      <c r="DX98" s="214"/>
      <c r="DY98" s="214"/>
      <c r="DZ98" s="214"/>
      <c r="EA98" s="214"/>
      <c r="EB98" s="214"/>
      <c r="EC98" s="214"/>
      <c r="ED98" s="214"/>
      <c r="EE98" s="214"/>
      <c r="EF98" s="214"/>
      <c r="EG98" s="214"/>
      <c r="EH98" s="214"/>
      <c r="EI98" s="214"/>
      <c r="EJ98" s="214"/>
      <c r="EK98" s="214"/>
      <c r="EL98" s="214"/>
      <c r="EM98" s="214"/>
      <c r="EN98" s="214"/>
      <c r="EO98" s="214"/>
      <c r="EP98" s="214"/>
      <c r="EQ98" s="214"/>
      <c r="ER98" s="214"/>
      <c r="ES98" s="214"/>
      <c r="ET98" s="214"/>
      <c r="EU98" s="256">
        <f>[1]AM!EU49</f>
        <v>0</v>
      </c>
      <c r="EV98" s="257"/>
      <c r="EW98"/>
    </row>
    <row r="99" spans="1:153" x14ac:dyDescent="0.3">
      <c r="A99" s="79"/>
      <c r="B99" s="80" t="s">
        <v>89</v>
      </c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214"/>
      <c r="S99" s="214"/>
      <c r="T99" s="214"/>
      <c r="U99" s="214"/>
      <c r="V99" s="214"/>
      <c r="W99" s="214"/>
      <c r="X99" s="214"/>
      <c r="Y99" s="214"/>
      <c r="Z99" s="214"/>
      <c r="AA99" s="214"/>
      <c r="AB99" s="214"/>
      <c r="AC99" s="214"/>
      <c r="AD99" s="214"/>
      <c r="AE99" s="214"/>
      <c r="AF99" s="214"/>
      <c r="AG99" s="214"/>
      <c r="AH99" s="214"/>
      <c r="AI99" s="214"/>
      <c r="AJ99" s="214"/>
      <c r="AK99" s="214"/>
      <c r="AL99" s="214"/>
      <c r="AM99" s="214"/>
      <c r="AN99" s="214"/>
      <c r="AO99" s="214"/>
      <c r="AP99" s="214"/>
      <c r="AQ99" s="214"/>
      <c r="AR99" s="214"/>
      <c r="AS99" s="214"/>
      <c r="AT99" s="214"/>
      <c r="AU99" s="214"/>
      <c r="AV99" s="214"/>
      <c r="AW99" s="214"/>
      <c r="AX99" s="214"/>
      <c r="AY99" s="214"/>
      <c r="AZ99" s="214"/>
      <c r="BA99" s="214"/>
      <c r="BB99" s="214"/>
      <c r="BC99" s="214"/>
      <c r="BD99" s="214"/>
      <c r="BE99" s="214"/>
      <c r="BF99" s="214"/>
      <c r="BG99" s="214"/>
      <c r="BH99" s="214"/>
      <c r="BI99" s="214"/>
      <c r="BJ99" s="214"/>
      <c r="BK99" s="214"/>
      <c r="BL99" s="214"/>
      <c r="BM99" s="214"/>
      <c r="BN99" s="214"/>
      <c r="BO99" s="214"/>
      <c r="BP99" s="214"/>
      <c r="BQ99" s="214"/>
      <c r="BR99" s="214"/>
      <c r="BS99" s="214"/>
      <c r="BT99" s="214"/>
      <c r="BU99" s="214"/>
      <c r="BV99" s="214"/>
      <c r="BW99" s="214"/>
      <c r="BX99" s="214"/>
      <c r="BY99" s="214"/>
      <c r="BZ99" s="214"/>
      <c r="CA99" s="214"/>
      <c r="CB99" s="214"/>
      <c r="CC99" s="214"/>
      <c r="CD99" s="214"/>
      <c r="CE99" s="214"/>
      <c r="CF99" s="214"/>
      <c r="CG99" s="214"/>
      <c r="CH99" s="214"/>
      <c r="CI99" s="214"/>
      <c r="CJ99" s="214"/>
      <c r="CK99" s="214"/>
      <c r="CL99" s="214"/>
      <c r="CM99" s="214"/>
      <c r="CN99" s="214"/>
      <c r="CO99" s="214"/>
      <c r="CP99" s="214"/>
      <c r="CQ99" s="214"/>
      <c r="CR99" s="214"/>
      <c r="CS99" s="214"/>
      <c r="CT99" s="214"/>
      <c r="CU99" s="214"/>
      <c r="CV99" s="214"/>
      <c r="CW99" s="214"/>
      <c r="CX99" s="214"/>
      <c r="CY99" s="214"/>
      <c r="CZ99" s="214"/>
      <c r="DA99" s="214"/>
      <c r="DB99" s="214"/>
      <c r="DC99" s="214"/>
      <c r="DD99" s="214"/>
      <c r="DE99" s="214"/>
      <c r="DF99" s="214"/>
      <c r="DG99" s="214"/>
      <c r="DH99" s="214"/>
      <c r="DI99" s="214"/>
      <c r="DJ99" s="214"/>
      <c r="DK99" s="214"/>
      <c r="DL99" s="214"/>
      <c r="DM99" s="214"/>
      <c r="DN99" s="214"/>
      <c r="DO99" s="214"/>
      <c r="DP99" s="214"/>
      <c r="DQ99" s="214"/>
      <c r="DR99" s="214"/>
      <c r="DS99" s="214"/>
      <c r="DT99" s="214"/>
      <c r="DU99" s="214"/>
      <c r="DV99" s="214"/>
      <c r="DW99" s="214"/>
      <c r="DX99" s="214"/>
      <c r="DY99" s="214"/>
      <c r="DZ99" s="214"/>
      <c r="EA99" s="214"/>
      <c r="EB99" s="214"/>
      <c r="EC99" s="214"/>
      <c r="ED99" s="214"/>
      <c r="EE99" s="214"/>
      <c r="EF99" s="214"/>
      <c r="EG99" s="214"/>
      <c r="EH99" s="214"/>
      <c r="EI99" s="214"/>
      <c r="EJ99" s="214"/>
      <c r="EK99" s="214"/>
      <c r="EL99" s="214"/>
      <c r="EM99" s="214"/>
      <c r="EN99" s="214"/>
      <c r="EO99" s="214"/>
      <c r="EP99" s="214"/>
      <c r="EQ99" s="214"/>
      <c r="ER99" s="214"/>
      <c r="ES99" s="214"/>
      <c r="ET99" s="214"/>
      <c r="EU99" s="258">
        <f>[1]WP!EU39</f>
        <v>0</v>
      </c>
      <c r="EV99" s="259" t="e">
        <f>EU99/EU106</f>
        <v>#DIV/0!</v>
      </c>
      <c r="EW99"/>
    </row>
    <row r="100" spans="1:153" x14ac:dyDescent="0.3">
      <c r="A100" s="79"/>
      <c r="B100" s="80" t="s">
        <v>79</v>
      </c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  <c r="AA100" s="214"/>
      <c r="AB100" s="214"/>
      <c r="AC100" s="214"/>
      <c r="AD100" s="214"/>
      <c r="AE100" s="214"/>
      <c r="AF100" s="214"/>
      <c r="AG100" s="214"/>
      <c r="AH100" s="214"/>
      <c r="AI100" s="214"/>
      <c r="AJ100" s="214"/>
      <c r="AK100" s="214"/>
      <c r="AL100" s="214"/>
      <c r="AM100" s="214"/>
      <c r="AN100" s="214"/>
      <c r="AO100" s="214"/>
      <c r="AP100" s="214"/>
      <c r="AQ100" s="214"/>
      <c r="AR100" s="214"/>
      <c r="AS100" s="214"/>
      <c r="AT100" s="214"/>
      <c r="AU100" s="214"/>
      <c r="AV100" s="214"/>
      <c r="AW100" s="214"/>
      <c r="AX100" s="214"/>
      <c r="AY100" s="214"/>
      <c r="AZ100" s="214"/>
      <c r="BA100" s="214"/>
      <c r="BB100" s="214"/>
      <c r="BC100" s="214"/>
      <c r="BD100" s="214"/>
      <c r="BE100" s="214"/>
      <c r="BF100" s="214"/>
      <c r="BG100" s="214"/>
      <c r="BH100" s="214"/>
      <c r="BI100" s="214"/>
      <c r="BJ100" s="214"/>
      <c r="BK100" s="214"/>
      <c r="BL100" s="214"/>
      <c r="BM100" s="214"/>
      <c r="BN100" s="214"/>
      <c r="BO100" s="214"/>
      <c r="BP100" s="214"/>
      <c r="BQ100" s="214"/>
      <c r="BR100" s="214"/>
      <c r="BS100" s="214"/>
      <c r="BT100" s="214"/>
      <c r="BU100" s="214"/>
      <c r="BV100" s="214"/>
      <c r="BW100" s="214"/>
      <c r="BX100" s="214"/>
      <c r="BY100" s="214"/>
      <c r="BZ100" s="214"/>
      <c r="CA100" s="214"/>
      <c r="CB100" s="214"/>
      <c r="CC100" s="214"/>
      <c r="CD100" s="214"/>
      <c r="CE100" s="214"/>
      <c r="CF100" s="214"/>
      <c r="CG100" s="214"/>
      <c r="CH100" s="214"/>
      <c r="CI100" s="214"/>
      <c r="CJ100" s="214"/>
      <c r="CK100" s="214"/>
      <c r="CL100" s="214"/>
      <c r="CM100" s="214"/>
      <c r="CN100" s="214"/>
      <c r="CO100" s="214"/>
      <c r="CP100" s="214"/>
      <c r="CQ100" s="214"/>
      <c r="CR100" s="214"/>
      <c r="CS100" s="214"/>
      <c r="CT100" s="214"/>
      <c r="CU100" s="214"/>
      <c r="CV100" s="214"/>
      <c r="CW100" s="214"/>
      <c r="CX100" s="214"/>
      <c r="CY100" s="214"/>
      <c r="CZ100" s="214"/>
      <c r="DA100" s="214"/>
      <c r="DB100" s="214"/>
      <c r="DC100" s="214"/>
      <c r="DD100" s="214"/>
      <c r="DE100" s="214"/>
      <c r="DF100" s="214"/>
      <c r="DG100" s="214"/>
      <c r="DH100" s="214"/>
      <c r="DI100" s="214"/>
      <c r="DJ100" s="214"/>
      <c r="DK100" s="214"/>
      <c r="DL100" s="214"/>
      <c r="DM100" s="214"/>
      <c r="DN100" s="214"/>
      <c r="DO100" s="214"/>
      <c r="DP100" s="214"/>
      <c r="DQ100" s="214"/>
      <c r="DR100" s="214"/>
      <c r="DS100" s="214"/>
      <c r="DT100" s="214"/>
      <c r="DU100" s="214"/>
      <c r="DV100" s="214"/>
      <c r="DW100" s="214"/>
      <c r="DX100" s="214"/>
      <c r="DY100" s="214"/>
      <c r="DZ100" s="214"/>
      <c r="EA100" s="214"/>
      <c r="EB100" s="214"/>
      <c r="EC100" s="214"/>
      <c r="ED100" s="214"/>
      <c r="EE100" s="214"/>
      <c r="EF100" s="214"/>
      <c r="EG100" s="214"/>
      <c r="EH100" s="214"/>
      <c r="EI100" s="214"/>
      <c r="EJ100" s="214"/>
      <c r="EK100" s="214"/>
      <c r="EL100" s="214"/>
      <c r="EM100" s="214"/>
      <c r="EN100" s="214"/>
      <c r="EO100" s="214"/>
      <c r="EP100" s="214"/>
      <c r="EQ100" s="214"/>
      <c r="ER100" s="214"/>
      <c r="ES100" s="214"/>
      <c r="ET100" s="214"/>
      <c r="EU100" s="258">
        <f>[1]WP!EU40</f>
        <v>0</v>
      </c>
      <c r="EV100" s="260" t="e">
        <f>EU100/EU106</f>
        <v>#DIV/0!</v>
      </c>
      <c r="EW100"/>
    </row>
    <row r="101" spans="1:153" x14ac:dyDescent="0.3">
      <c r="A101" s="79"/>
      <c r="B101" s="80" t="s">
        <v>107</v>
      </c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214"/>
      <c r="S101" s="214"/>
      <c r="T101" s="214"/>
      <c r="U101" s="214"/>
      <c r="V101" s="214"/>
      <c r="W101" s="214"/>
      <c r="X101" s="214"/>
      <c r="Y101" s="214"/>
      <c r="Z101" s="214"/>
      <c r="AA101" s="214"/>
      <c r="AB101" s="214"/>
      <c r="AC101" s="214"/>
      <c r="AD101" s="214"/>
      <c r="AE101" s="214"/>
      <c r="AF101" s="214"/>
      <c r="AG101" s="214"/>
      <c r="AH101" s="214"/>
      <c r="AI101" s="214"/>
      <c r="AJ101" s="214"/>
      <c r="AK101" s="214"/>
      <c r="AL101" s="214"/>
      <c r="AM101" s="214"/>
      <c r="AN101" s="214"/>
      <c r="AO101" s="214"/>
      <c r="AP101" s="214"/>
      <c r="AQ101" s="214"/>
      <c r="AR101" s="214"/>
      <c r="AS101" s="214"/>
      <c r="AT101" s="214"/>
      <c r="AU101" s="214"/>
      <c r="AV101" s="214"/>
      <c r="AW101" s="214"/>
      <c r="AX101" s="214"/>
      <c r="AY101" s="214"/>
      <c r="AZ101" s="214"/>
      <c r="BA101" s="214"/>
      <c r="BB101" s="214"/>
      <c r="BC101" s="214"/>
      <c r="BD101" s="214"/>
      <c r="BE101" s="214"/>
      <c r="BF101" s="214"/>
      <c r="BG101" s="214"/>
      <c r="BH101" s="214"/>
      <c r="BI101" s="214"/>
      <c r="BJ101" s="214"/>
      <c r="BK101" s="214"/>
      <c r="BL101" s="214"/>
      <c r="BM101" s="214"/>
      <c r="BN101" s="214"/>
      <c r="BO101" s="214"/>
      <c r="BP101" s="214"/>
      <c r="BQ101" s="214"/>
      <c r="BR101" s="214"/>
      <c r="BS101" s="214"/>
      <c r="BT101" s="214"/>
      <c r="BU101" s="214"/>
      <c r="BV101" s="214"/>
      <c r="BW101" s="214"/>
      <c r="BX101" s="214"/>
      <c r="BY101" s="214"/>
      <c r="BZ101" s="214"/>
      <c r="CA101" s="214"/>
      <c r="CB101" s="214"/>
      <c r="CC101" s="214"/>
      <c r="CD101" s="214"/>
      <c r="CE101" s="214"/>
      <c r="CF101" s="214"/>
      <c r="CG101" s="214"/>
      <c r="CH101" s="214"/>
      <c r="CI101" s="214"/>
      <c r="CJ101" s="214"/>
      <c r="CK101" s="214"/>
      <c r="CL101" s="214"/>
      <c r="CM101" s="214"/>
      <c r="CN101" s="214"/>
      <c r="CO101" s="214"/>
      <c r="CP101" s="214"/>
      <c r="CQ101" s="214"/>
      <c r="CR101" s="214"/>
      <c r="CS101" s="214"/>
      <c r="CT101" s="214"/>
      <c r="CU101" s="214"/>
      <c r="CV101" s="214"/>
      <c r="CW101" s="214"/>
      <c r="CX101" s="214"/>
      <c r="CY101" s="214"/>
      <c r="CZ101" s="214"/>
      <c r="DA101" s="214"/>
      <c r="DB101" s="214"/>
      <c r="DC101" s="214"/>
      <c r="DD101" s="214"/>
      <c r="DE101" s="214"/>
      <c r="DF101" s="214"/>
      <c r="DG101" s="214"/>
      <c r="DH101" s="214"/>
      <c r="DI101" s="214"/>
      <c r="DJ101" s="214"/>
      <c r="DK101" s="214"/>
      <c r="DL101" s="214"/>
      <c r="DM101" s="214"/>
      <c r="DN101" s="214"/>
      <c r="DO101" s="214"/>
      <c r="DP101" s="214"/>
      <c r="DQ101" s="214"/>
      <c r="DR101" s="214"/>
      <c r="DS101" s="214"/>
      <c r="DT101" s="214"/>
      <c r="DU101" s="214"/>
      <c r="DV101" s="214"/>
      <c r="DW101" s="214"/>
      <c r="DX101" s="214"/>
      <c r="DY101" s="214"/>
      <c r="DZ101" s="214"/>
      <c r="EA101" s="214"/>
      <c r="EB101" s="214"/>
      <c r="EC101" s="214"/>
      <c r="ED101" s="214"/>
      <c r="EE101" s="214"/>
      <c r="EF101" s="214"/>
      <c r="EG101" s="214"/>
      <c r="EH101" s="214"/>
      <c r="EI101" s="214"/>
      <c r="EJ101" s="214"/>
      <c r="EK101" s="214"/>
      <c r="EL101" s="214"/>
      <c r="EM101" s="214"/>
      <c r="EN101" s="214"/>
      <c r="EO101" s="214"/>
      <c r="EP101" s="214"/>
      <c r="EQ101" s="214"/>
      <c r="ER101" s="214"/>
      <c r="ES101" s="214"/>
      <c r="ET101" s="214"/>
      <c r="EU101" s="258">
        <f>[1]WP!EU41</f>
        <v>0</v>
      </c>
      <c r="EV101" s="260" t="e">
        <f>EU101/EU106</f>
        <v>#DIV/0!</v>
      </c>
      <c r="EW101"/>
    </row>
    <row r="102" spans="1:153" x14ac:dyDescent="0.3">
      <c r="A102" s="81"/>
      <c r="B102" s="80" t="s">
        <v>80</v>
      </c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  <c r="X102" s="214"/>
      <c r="Y102" s="214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214"/>
      <c r="AJ102" s="214"/>
      <c r="AK102" s="214"/>
      <c r="AL102" s="214"/>
      <c r="AM102" s="214"/>
      <c r="AN102" s="214"/>
      <c r="AO102" s="214"/>
      <c r="AP102" s="214"/>
      <c r="AQ102" s="214"/>
      <c r="AR102" s="214"/>
      <c r="AS102" s="214"/>
      <c r="AT102" s="214"/>
      <c r="AU102" s="214"/>
      <c r="AV102" s="214"/>
      <c r="AW102" s="214"/>
      <c r="AX102" s="214"/>
      <c r="AY102" s="214"/>
      <c r="AZ102" s="214"/>
      <c r="BA102" s="214"/>
      <c r="BB102" s="214"/>
      <c r="BC102" s="214"/>
      <c r="BD102" s="214"/>
      <c r="BE102" s="214"/>
      <c r="BF102" s="214"/>
      <c r="BG102" s="214"/>
      <c r="BH102" s="214"/>
      <c r="BI102" s="214"/>
      <c r="BJ102" s="214"/>
      <c r="BK102" s="214"/>
      <c r="BL102" s="214"/>
      <c r="BM102" s="214"/>
      <c r="BN102" s="214"/>
      <c r="BO102" s="214"/>
      <c r="BP102" s="214"/>
      <c r="BQ102" s="214"/>
      <c r="BR102" s="214"/>
      <c r="BS102" s="214"/>
      <c r="BT102" s="214"/>
      <c r="BU102" s="214"/>
      <c r="BV102" s="214"/>
      <c r="BW102" s="214"/>
      <c r="BX102" s="214"/>
      <c r="BY102" s="214"/>
      <c r="BZ102" s="214"/>
      <c r="CA102" s="214"/>
      <c r="CB102" s="214"/>
      <c r="CC102" s="214"/>
      <c r="CD102" s="214"/>
      <c r="CE102" s="214"/>
      <c r="CF102" s="214"/>
      <c r="CG102" s="214"/>
      <c r="CH102" s="214"/>
      <c r="CI102" s="214"/>
      <c r="CJ102" s="214"/>
      <c r="CK102" s="214"/>
      <c r="CL102" s="214"/>
      <c r="CM102" s="214"/>
      <c r="CN102" s="214"/>
      <c r="CO102" s="214"/>
      <c r="CP102" s="214"/>
      <c r="CQ102" s="214"/>
      <c r="CR102" s="214"/>
      <c r="CS102" s="214"/>
      <c r="CT102" s="214"/>
      <c r="CU102" s="214"/>
      <c r="CV102" s="214"/>
      <c r="CW102" s="214"/>
      <c r="CX102" s="214"/>
      <c r="CY102" s="214"/>
      <c r="CZ102" s="214"/>
      <c r="DA102" s="214"/>
      <c r="DB102" s="214"/>
      <c r="DC102" s="214"/>
      <c r="DD102" s="214"/>
      <c r="DE102" s="214"/>
      <c r="DF102" s="214"/>
      <c r="DG102" s="214"/>
      <c r="DH102" s="214"/>
      <c r="DI102" s="214"/>
      <c r="DJ102" s="214"/>
      <c r="DK102" s="214"/>
      <c r="DL102" s="214"/>
      <c r="DM102" s="214"/>
      <c r="DN102" s="214"/>
      <c r="DO102" s="214"/>
      <c r="DP102" s="214"/>
      <c r="DQ102" s="214"/>
      <c r="DR102" s="214"/>
      <c r="DS102" s="214"/>
      <c r="DT102" s="214"/>
      <c r="DU102" s="214"/>
      <c r="DV102" s="214"/>
      <c r="DW102" s="214"/>
      <c r="DX102" s="214"/>
      <c r="DY102" s="214"/>
      <c r="DZ102" s="214"/>
      <c r="EA102" s="214"/>
      <c r="EB102" s="214"/>
      <c r="EC102" s="214"/>
      <c r="ED102" s="214"/>
      <c r="EE102" s="214"/>
      <c r="EF102" s="214"/>
      <c r="EG102" s="214"/>
      <c r="EH102" s="214"/>
      <c r="EI102" s="214"/>
      <c r="EJ102" s="214"/>
      <c r="EK102" s="214"/>
      <c r="EL102" s="214"/>
      <c r="EM102" s="214"/>
      <c r="EN102" s="214"/>
      <c r="EO102" s="214"/>
      <c r="EP102" s="214"/>
      <c r="EQ102" s="214"/>
      <c r="ER102" s="214"/>
      <c r="ES102" s="214"/>
      <c r="ET102" s="214"/>
      <c r="EU102" s="258">
        <f>[1]WP!EU42</f>
        <v>0</v>
      </c>
      <c r="EV102" s="261" t="e">
        <f>EU102/EU106</f>
        <v>#DIV/0!</v>
      </c>
      <c r="EW102"/>
    </row>
    <row r="103" spans="1:153" x14ac:dyDescent="0.3">
      <c r="A103" s="81"/>
      <c r="B103" s="80" t="s">
        <v>81</v>
      </c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214"/>
      <c r="S103" s="214"/>
      <c r="T103" s="214"/>
      <c r="U103" s="214"/>
      <c r="V103" s="214"/>
      <c r="W103" s="214"/>
      <c r="X103" s="214"/>
      <c r="Y103" s="214"/>
      <c r="Z103" s="214"/>
      <c r="AA103" s="214"/>
      <c r="AB103" s="214"/>
      <c r="AC103" s="214"/>
      <c r="AD103" s="214"/>
      <c r="AE103" s="214"/>
      <c r="AF103" s="214"/>
      <c r="AG103" s="214"/>
      <c r="AH103" s="214"/>
      <c r="AI103" s="214"/>
      <c r="AJ103" s="214"/>
      <c r="AK103" s="214"/>
      <c r="AL103" s="214"/>
      <c r="AM103" s="214"/>
      <c r="AN103" s="214"/>
      <c r="AO103" s="214"/>
      <c r="AP103" s="214"/>
      <c r="AQ103" s="214"/>
      <c r="AR103" s="214"/>
      <c r="AS103" s="214"/>
      <c r="AT103" s="214"/>
      <c r="AU103" s="214"/>
      <c r="AV103" s="214"/>
      <c r="AW103" s="214"/>
      <c r="AX103" s="214"/>
      <c r="AY103" s="214"/>
      <c r="AZ103" s="214"/>
      <c r="BA103" s="214"/>
      <c r="BB103" s="214"/>
      <c r="BC103" s="214"/>
      <c r="BD103" s="214"/>
      <c r="BE103" s="214"/>
      <c r="BF103" s="214"/>
      <c r="BG103" s="214"/>
      <c r="BH103" s="214"/>
      <c r="BI103" s="214"/>
      <c r="BJ103" s="214"/>
      <c r="BK103" s="214"/>
      <c r="BL103" s="214"/>
      <c r="BM103" s="214"/>
      <c r="BN103" s="214"/>
      <c r="BO103" s="214"/>
      <c r="BP103" s="214"/>
      <c r="BQ103" s="214"/>
      <c r="BR103" s="214"/>
      <c r="BS103" s="214"/>
      <c r="BT103" s="214"/>
      <c r="BU103" s="214"/>
      <c r="BV103" s="214"/>
      <c r="BW103" s="214"/>
      <c r="BX103" s="214"/>
      <c r="BY103" s="214"/>
      <c r="BZ103" s="214"/>
      <c r="CA103" s="214"/>
      <c r="CB103" s="214"/>
      <c r="CC103" s="214"/>
      <c r="CD103" s="214"/>
      <c r="CE103" s="214"/>
      <c r="CF103" s="214"/>
      <c r="CG103" s="214"/>
      <c r="CH103" s="214"/>
      <c r="CI103" s="214"/>
      <c r="CJ103" s="214"/>
      <c r="CK103" s="214"/>
      <c r="CL103" s="214"/>
      <c r="CM103" s="214"/>
      <c r="CN103" s="214"/>
      <c r="CO103" s="214"/>
      <c r="CP103" s="214"/>
      <c r="CQ103" s="214"/>
      <c r="CR103" s="214"/>
      <c r="CS103" s="214"/>
      <c r="CT103" s="214"/>
      <c r="CU103" s="214"/>
      <c r="CV103" s="214"/>
      <c r="CW103" s="214"/>
      <c r="CX103" s="214"/>
      <c r="CY103" s="214"/>
      <c r="CZ103" s="214"/>
      <c r="DA103" s="214"/>
      <c r="DB103" s="214"/>
      <c r="DC103" s="214"/>
      <c r="DD103" s="214"/>
      <c r="DE103" s="214"/>
      <c r="DF103" s="214"/>
      <c r="DG103" s="214"/>
      <c r="DH103" s="214"/>
      <c r="DI103" s="214"/>
      <c r="DJ103" s="214"/>
      <c r="DK103" s="214"/>
      <c r="DL103" s="214"/>
      <c r="DM103" s="214"/>
      <c r="DN103" s="214"/>
      <c r="DO103" s="214"/>
      <c r="DP103" s="214"/>
      <c r="DQ103" s="214"/>
      <c r="DR103" s="214"/>
      <c r="DS103" s="214"/>
      <c r="DT103" s="214"/>
      <c r="DU103" s="214"/>
      <c r="DV103" s="214"/>
      <c r="DW103" s="214"/>
      <c r="DX103" s="214"/>
      <c r="DY103" s="214"/>
      <c r="DZ103" s="214"/>
      <c r="EA103" s="214"/>
      <c r="EB103" s="214"/>
      <c r="EC103" s="214"/>
      <c r="ED103" s="214"/>
      <c r="EE103" s="214"/>
      <c r="EF103" s="214"/>
      <c r="EG103" s="214"/>
      <c r="EH103" s="214"/>
      <c r="EI103" s="214"/>
      <c r="EJ103" s="214"/>
      <c r="EK103" s="214"/>
      <c r="EL103" s="214"/>
      <c r="EM103" s="214"/>
      <c r="EN103" s="214"/>
      <c r="EO103" s="214"/>
      <c r="EP103" s="214"/>
      <c r="EQ103" s="214"/>
      <c r="ER103" s="214"/>
      <c r="ES103" s="214"/>
      <c r="ET103" s="214"/>
      <c r="EU103" s="258">
        <f>[1]WP!EU43</f>
        <v>0</v>
      </c>
      <c r="EV103" s="262" t="e">
        <f>EU103/EU106</f>
        <v>#DIV/0!</v>
      </c>
      <c r="EW103"/>
    </row>
    <row r="104" spans="1:153" x14ac:dyDescent="0.3">
      <c r="A104" s="81" t="s">
        <v>154</v>
      </c>
      <c r="B104" s="80" t="s">
        <v>82</v>
      </c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  <c r="W104" s="214"/>
      <c r="X104" s="214"/>
      <c r="Y104" s="214"/>
      <c r="Z104" s="214"/>
      <c r="AA104" s="214"/>
      <c r="AB104" s="214"/>
      <c r="AC104" s="214"/>
      <c r="AD104" s="214"/>
      <c r="AE104" s="214"/>
      <c r="AF104" s="214"/>
      <c r="AG104" s="214"/>
      <c r="AH104" s="214"/>
      <c r="AI104" s="214"/>
      <c r="AJ104" s="214"/>
      <c r="AK104" s="214"/>
      <c r="AL104" s="214"/>
      <c r="AM104" s="214"/>
      <c r="AN104" s="214"/>
      <c r="AO104" s="214"/>
      <c r="AP104" s="214"/>
      <c r="AQ104" s="214"/>
      <c r="AR104" s="214"/>
      <c r="AS104" s="214"/>
      <c r="AT104" s="214"/>
      <c r="AU104" s="214"/>
      <c r="AV104" s="214"/>
      <c r="AW104" s="214"/>
      <c r="AX104" s="214"/>
      <c r="AY104" s="214"/>
      <c r="AZ104" s="214"/>
      <c r="BA104" s="214"/>
      <c r="BB104" s="214"/>
      <c r="BC104" s="214"/>
      <c r="BD104" s="214"/>
      <c r="BE104" s="214"/>
      <c r="BF104" s="214"/>
      <c r="BG104" s="214"/>
      <c r="BH104" s="214"/>
      <c r="BI104" s="214"/>
      <c r="BJ104" s="214"/>
      <c r="BK104" s="214"/>
      <c r="BL104" s="214"/>
      <c r="BM104" s="214"/>
      <c r="BN104" s="214"/>
      <c r="BO104" s="214"/>
      <c r="BP104" s="214"/>
      <c r="BQ104" s="214"/>
      <c r="BR104" s="214"/>
      <c r="BS104" s="214"/>
      <c r="BT104" s="214"/>
      <c r="BU104" s="214"/>
      <c r="BV104" s="214"/>
      <c r="BW104" s="214"/>
      <c r="BX104" s="214"/>
      <c r="BY104" s="214"/>
      <c r="BZ104" s="214"/>
      <c r="CA104" s="214"/>
      <c r="CB104" s="214"/>
      <c r="CC104" s="214"/>
      <c r="CD104" s="214"/>
      <c r="CE104" s="214"/>
      <c r="CF104" s="214"/>
      <c r="CG104" s="214"/>
      <c r="CH104" s="214"/>
      <c r="CI104" s="214"/>
      <c r="CJ104" s="214"/>
      <c r="CK104" s="214"/>
      <c r="CL104" s="214"/>
      <c r="CM104" s="214"/>
      <c r="CN104" s="214"/>
      <c r="CO104" s="214"/>
      <c r="CP104" s="214"/>
      <c r="CQ104" s="214"/>
      <c r="CR104" s="214"/>
      <c r="CS104" s="214"/>
      <c r="CT104" s="214"/>
      <c r="CU104" s="214"/>
      <c r="CV104" s="214"/>
      <c r="CW104" s="214"/>
      <c r="CX104" s="214"/>
      <c r="CY104" s="214"/>
      <c r="CZ104" s="214"/>
      <c r="DA104" s="214"/>
      <c r="DB104" s="214"/>
      <c r="DC104" s="214"/>
      <c r="DD104" s="214"/>
      <c r="DE104" s="214"/>
      <c r="DF104" s="214"/>
      <c r="DG104" s="214"/>
      <c r="DH104" s="214"/>
      <c r="DI104" s="214"/>
      <c r="DJ104" s="214"/>
      <c r="DK104" s="214"/>
      <c r="DL104" s="214"/>
      <c r="DM104" s="214"/>
      <c r="DN104" s="214"/>
      <c r="DO104" s="214"/>
      <c r="DP104" s="214"/>
      <c r="DQ104" s="214"/>
      <c r="DR104" s="214"/>
      <c r="DS104" s="214"/>
      <c r="DT104" s="214"/>
      <c r="DU104" s="214"/>
      <c r="DV104" s="214"/>
      <c r="DW104" s="214"/>
      <c r="DX104" s="214"/>
      <c r="DY104" s="214"/>
      <c r="DZ104" s="214"/>
      <c r="EA104" s="214"/>
      <c r="EB104" s="214"/>
      <c r="EC104" s="214"/>
      <c r="ED104" s="214"/>
      <c r="EE104" s="214"/>
      <c r="EF104" s="214"/>
      <c r="EG104" s="214"/>
      <c r="EH104" s="214"/>
      <c r="EI104" s="214"/>
      <c r="EJ104" s="214"/>
      <c r="EK104" s="214"/>
      <c r="EL104" s="214"/>
      <c r="EM104" s="214"/>
      <c r="EN104" s="214"/>
      <c r="EO104" s="214"/>
      <c r="EP104" s="214"/>
      <c r="EQ104" s="214"/>
      <c r="ER104" s="214"/>
      <c r="ES104" s="214"/>
      <c r="ET104" s="214"/>
      <c r="EU104" s="258">
        <f>[1]WP!EU44</f>
        <v>0</v>
      </c>
      <c r="EV104" s="262" t="e">
        <f>EU104/EU106</f>
        <v>#DIV/0!</v>
      </c>
      <c r="EW104"/>
    </row>
    <row r="105" spans="1:153" x14ac:dyDescent="0.3">
      <c r="A105" s="79"/>
      <c r="B105" s="80" t="s">
        <v>102</v>
      </c>
      <c r="C105" s="214"/>
      <c r="D105" s="214"/>
      <c r="E105" s="214"/>
      <c r="F105" s="214"/>
      <c r="G105" s="214"/>
      <c r="H105" s="214"/>
      <c r="I105" s="214"/>
      <c r="J105" s="214"/>
      <c r="K105" s="214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14"/>
      <c r="Y105" s="214"/>
      <c r="Z105" s="214"/>
      <c r="AA105" s="214"/>
      <c r="AB105" s="214"/>
      <c r="AC105" s="214"/>
      <c r="AD105" s="214"/>
      <c r="AE105" s="214"/>
      <c r="AF105" s="214"/>
      <c r="AG105" s="214"/>
      <c r="AH105" s="214"/>
      <c r="AI105" s="214"/>
      <c r="AJ105" s="214"/>
      <c r="AK105" s="214"/>
      <c r="AL105" s="214"/>
      <c r="AM105" s="214"/>
      <c r="AN105" s="214"/>
      <c r="AO105" s="214"/>
      <c r="AP105" s="214"/>
      <c r="AQ105" s="214"/>
      <c r="AR105" s="214"/>
      <c r="AS105" s="214"/>
      <c r="AT105" s="214"/>
      <c r="AU105" s="214"/>
      <c r="AV105" s="214"/>
      <c r="AW105" s="214"/>
      <c r="AX105" s="214"/>
      <c r="AY105" s="214"/>
      <c r="AZ105" s="214"/>
      <c r="BA105" s="214"/>
      <c r="BB105" s="214"/>
      <c r="BC105" s="214"/>
      <c r="BD105" s="214"/>
      <c r="BE105" s="214"/>
      <c r="BF105" s="214"/>
      <c r="BG105" s="214"/>
      <c r="BH105" s="214"/>
      <c r="BI105" s="214"/>
      <c r="BJ105" s="214"/>
      <c r="BK105" s="214"/>
      <c r="BL105" s="214"/>
      <c r="BM105" s="214"/>
      <c r="BN105" s="214"/>
      <c r="BO105" s="214"/>
      <c r="BP105" s="214"/>
      <c r="BQ105" s="214"/>
      <c r="BR105" s="214"/>
      <c r="BS105" s="214"/>
      <c r="BT105" s="214"/>
      <c r="BU105" s="214"/>
      <c r="BV105" s="214"/>
      <c r="BW105" s="214"/>
      <c r="BX105" s="214"/>
      <c r="BY105" s="214"/>
      <c r="BZ105" s="214"/>
      <c r="CA105" s="214"/>
      <c r="CB105" s="214"/>
      <c r="CC105" s="214"/>
      <c r="CD105" s="214"/>
      <c r="CE105" s="214"/>
      <c r="CF105" s="214"/>
      <c r="CG105" s="214"/>
      <c r="CH105" s="214"/>
      <c r="CI105" s="214"/>
      <c r="CJ105" s="214"/>
      <c r="CK105" s="214"/>
      <c r="CL105" s="214"/>
      <c r="CM105" s="214"/>
      <c r="CN105" s="214"/>
      <c r="CO105" s="214"/>
      <c r="CP105" s="214"/>
      <c r="CQ105" s="214"/>
      <c r="CR105" s="214"/>
      <c r="CS105" s="214"/>
      <c r="CT105" s="214"/>
      <c r="CU105" s="214"/>
      <c r="CV105" s="214"/>
      <c r="CW105" s="214"/>
      <c r="CX105" s="214"/>
      <c r="CY105" s="214"/>
      <c r="CZ105" s="214"/>
      <c r="DA105" s="214"/>
      <c r="DB105" s="214"/>
      <c r="DC105" s="214"/>
      <c r="DD105" s="214"/>
      <c r="DE105" s="214"/>
      <c r="DF105" s="214"/>
      <c r="DG105" s="214"/>
      <c r="DH105" s="214"/>
      <c r="DI105" s="214"/>
      <c r="DJ105" s="214"/>
      <c r="DK105" s="214"/>
      <c r="DL105" s="214"/>
      <c r="DM105" s="214"/>
      <c r="DN105" s="214"/>
      <c r="DO105" s="214"/>
      <c r="DP105" s="214"/>
      <c r="DQ105" s="214"/>
      <c r="DR105" s="214"/>
      <c r="DS105" s="214"/>
      <c r="DT105" s="214"/>
      <c r="DU105" s="214"/>
      <c r="DV105" s="214"/>
      <c r="DW105" s="214"/>
      <c r="DX105" s="214"/>
      <c r="DY105" s="214"/>
      <c r="DZ105" s="214"/>
      <c r="EA105" s="214"/>
      <c r="EB105" s="214"/>
      <c r="EC105" s="214"/>
      <c r="ED105" s="214"/>
      <c r="EE105" s="214"/>
      <c r="EF105" s="214"/>
      <c r="EG105" s="214"/>
      <c r="EH105" s="214"/>
      <c r="EI105" s="214"/>
      <c r="EJ105" s="214"/>
      <c r="EK105" s="214"/>
      <c r="EL105" s="214"/>
      <c r="EM105" s="214"/>
      <c r="EN105" s="214"/>
      <c r="EO105" s="214"/>
      <c r="EP105" s="214"/>
      <c r="EQ105" s="214"/>
      <c r="ER105" s="214"/>
      <c r="ES105" s="214"/>
      <c r="ET105" s="214"/>
      <c r="EU105" s="258">
        <f>[1]WP!EU45</f>
        <v>0</v>
      </c>
      <c r="EV105" s="262" t="e">
        <f>EU105/EU106</f>
        <v>#DIV/0!</v>
      </c>
      <c r="EW105"/>
    </row>
    <row r="106" spans="1:153" ht="13.3" thickBot="1" x14ac:dyDescent="0.35">
      <c r="A106" s="79"/>
      <c r="B106" s="82" t="s">
        <v>83</v>
      </c>
      <c r="C106" s="214"/>
      <c r="D106" s="214"/>
      <c r="E106" s="214"/>
      <c r="F106" s="214"/>
      <c r="G106" s="214"/>
      <c r="H106" s="214"/>
      <c r="I106" s="214"/>
      <c r="J106" s="214"/>
      <c r="K106" s="214"/>
      <c r="L106" s="214"/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  <c r="W106" s="214"/>
      <c r="X106" s="214"/>
      <c r="Y106" s="214"/>
      <c r="Z106" s="214"/>
      <c r="AA106" s="214"/>
      <c r="AB106" s="214"/>
      <c r="AC106" s="214"/>
      <c r="AD106" s="214"/>
      <c r="AE106" s="214"/>
      <c r="AF106" s="214"/>
      <c r="AG106" s="214"/>
      <c r="AH106" s="214"/>
      <c r="AI106" s="214"/>
      <c r="AJ106" s="214"/>
      <c r="AK106" s="214"/>
      <c r="AL106" s="214"/>
      <c r="AM106" s="214"/>
      <c r="AN106" s="214"/>
      <c r="AO106" s="214"/>
      <c r="AP106" s="214"/>
      <c r="AQ106" s="214"/>
      <c r="AR106" s="214"/>
      <c r="AS106" s="214"/>
      <c r="AT106" s="214"/>
      <c r="AU106" s="214"/>
      <c r="AV106" s="214"/>
      <c r="AW106" s="214"/>
      <c r="AX106" s="214"/>
      <c r="AY106" s="214"/>
      <c r="AZ106" s="214"/>
      <c r="BA106" s="214"/>
      <c r="BB106" s="214"/>
      <c r="BC106" s="214"/>
      <c r="BD106" s="214"/>
      <c r="BE106" s="214"/>
      <c r="BF106" s="214"/>
      <c r="BG106" s="214"/>
      <c r="BH106" s="214"/>
      <c r="BI106" s="214"/>
      <c r="BJ106" s="214"/>
      <c r="BK106" s="214"/>
      <c r="BL106" s="214"/>
      <c r="BM106" s="214"/>
      <c r="BN106" s="214"/>
      <c r="BO106" s="214"/>
      <c r="BP106" s="214"/>
      <c r="BQ106" s="214"/>
      <c r="BR106" s="214"/>
      <c r="BS106" s="214"/>
      <c r="BT106" s="214"/>
      <c r="BU106" s="214"/>
      <c r="BV106" s="214"/>
      <c r="BW106" s="214"/>
      <c r="BX106" s="214"/>
      <c r="BY106" s="214"/>
      <c r="BZ106" s="214"/>
      <c r="CA106" s="214"/>
      <c r="CB106" s="214"/>
      <c r="CC106" s="214"/>
      <c r="CD106" s="214"/>
      <c r="CE106" s="214"/>
      <c r="CF106" s="214"/>
      <c r="CG106" s="214"/>
      <c r="CH106" s="214"/>
      <c r="CI106" s="214"/>
      <c r="CJ106" s="214"/>
      <c r="CK106" s="214"/>
      <c r="CL106" s="214"/>
      <c r="CM106" s="214"/>
      <c r="CN106" s="214"/>
      <c r="CO106" s="214"/>
      <c r="CP106" s="214"/>
      <c r="CQ106" s="214"/>
      <c r="CR106" s="214"/>
      <c r="CS106" s="214"/>
      <c r="CT106" s="214"/>
      <c r="CU106" s="214"/>
      <c r="CV106" s="214"/>
      <c r="CW106" s="214"/>
      <c r="CX106" s="214"/>
      <c r="CY106" s="214"/>
      <c r="CZ106" s="214"/>
      <c r="DA106" s="214"/>
      <c r="DB106" s="214"/>
      <c r="DC106" s="214"/>
      <c r="DD106" s="214"/>
      <c r="DE106" s="214"/>
      <c r="DF106" s="214"/>
      <c r="DG106" s="214"/>
      <c r="DH106" s="214"/>
      <c r="DI106" s="214"/>
      <c r="DJ106" s="214"/>
      <c r="DK106" s="214"/>
      <c r="DL106" s="214"/>
      <c r="DM106" s="214"/>
      <c r="DN106" s="214"/>
      <c r="DO106" s="214"/>
      <c r="DP106" s="214"/>
      <c r="DQ106" s="214"/>
      <c r="DR106" s="214"/>
      <c r="DS106" s="214"/>
      <c r="DT106" s="214"/>
      <c r="DU106" s="214"/>
      <c r="DV106" s="214"/>
      <c r="DW106" s="214"/>
      <c r="DX106" s="214"/>
      <c r="DY106" s="214"/>
      <c r="DZ106" s="214"/>
      <c r="EA106" s="214"/>
      <c r="EB106" s="214"/>
      <c r="EC106" s="214"/>
      <c r="ED106" s="214"/>
      <c r="EE106" s="214"/>
      <c r="EF106" s="214"/>
      <c r="EG106" s="214"/>
      <c r="EH106" s="214"/>
      <c r="EI106" s="214"/>
      <c r="EJ106" s="214"/>
      <c r="EK106" s="214"/>
      <c r="EL106" s="214"/>
      <c r="EM106" s="214"/>
      <c r="EN106" s="214"/>
      <c r="EO106" s="214"/>
      <c r="EP106" s="214"/>
      <c r="EQ106" s="214"/>
      <c r="ER106" s="214"/>
      <c r="ES106" s="214"/>
      <c r="ET106" s="214"/>
      <c r="EU106" s="258">
        <f>[1]WP!EU46</f>
        <v>0</v>
      </c>
      <c r="EV106" s="263" t="e">
        <f>EU106/EU106</f>
        <v>#DIV/0!</v>
      </c>
      <c r="EW106"/>
    </row>
    <row r="107" spans="1:153" x14ac:dyDescent="0.3">
      <c r="A107" s="79"/>
      <c r="B107" s="80" t="s">
        <v>88</v>
      </c>
      <c r="C107" s="214"/>
      <c r="D107" s="214"/>
      <c r="E107" s="214"/>
      <c r="F107" s="214"/>
      <c r="G107" s="214"/>
      <c r="H107" s="214"/>
      <c r="I107" s="214"/>
      <c r="J107" s="214"/>
      <c r="K107" s="214"/>
      <c r="L107" s="214"/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  <c r="W107" s="214"/>
      <c r="X107" s="214"/>
      <c r="Y107" s="214"/>
      <c r="Z107" s="214"/>
      <c r="AA107" s="214"/>
      <c r="AB107" s="214"/>
      <c r="AC107" s="214"/>
      <c r="AD107" s="214"/>
      <c r="AE107" s="214"/>
      <c r="AF107" s="214"/>
      <c r="AG107" s="214"/>
      <c r="AH107" s="214"/>
      <c r="AI107" s="214"/>
      <c r="AJ107" s="214"/>
      <c r="AK107" s="214"/>
      <c r="AL107" s="214"/>
      <c r="AM107" s="214"/>
      <c r="AN107" s="214"/>
      <c r="AO107" s="214"/>
      <c r="AP107" s="214"/>
      <c r="AQ107" s="214"/>
      <c r="AR107" s="214"/>
      <c r="AS107" s="214"/>
      <c r="AT107" s="214"/>
      <c r="AU107" s="214"/>
      <c r="AV107" s="214"/>
      <c r="AW107" s="214"/>
      <c r="AX107" s="214"/>
      <c r="AY107" s="214"/>
      <c r="AZ107" s="214"/>
      <c r="BA107" s="214"/>
      <c r="BB107" s="214"/>
      <c r="BC107" s="214"/>
      <c r="BD107" s="214"/>
      <c r="BE107" s="214"/>
      <c r="BF107" s="214"/>
      <c r="BG107" s="214"/>
      <c r="BH107" s="214"/>
      <c r="BI107" s="214"/>
      <c r="BJ107" s="214"/>
      <c r="BK107" s="214"/>
      <c r="BL107" s="214"/>
      <c r="BM107" s="214"/>
      <c r="BN107" s="214"/>
      <c r="BO107" s="214"/>
      <c r="BP107" s="214"/>
      <c r="BQ107" s="214"/>
      <c r="BR107" s="214"/>
      <c r="BS107" s="214"/>
      <c r="BT107" s="214"/>
      <c r="BU107" s="214"/>
      <c r="BV107" s="214"/>
      <c r="BW107" s="214"/>
      <c r="BX107" s="214"/>
      <c r="BY107" s="214"/>
      <c r="BZ107" s="214"/>
      <c r="CA107" s="214"/>
      <c r="CB107" s="214"/>
      <c r="CC107" s="214"/>
      <c r="CD107" s="214"/>
      <c r="CE107" s="214"/>
      <c r="CF107" s="214"/>
      <c r="CG107" s="214"/>
      <c r="CH107" s="214"/>
      <c r="CI107" s="214"/>
      <c r="CJ107" s="214"/>
      <c r="CK107" s="214"/>
      <c r="CL107" s="214"/>
      <c r="CM107" s="214"/>
      <c r="CN107" s="214"/>
      <c r="CO107" s="214"/>
      <c r="CP107" s="214"/>
      <c r="CQ107" s="214"/>
      <c r="CR107" s="214"/>
      <c r="CS107" s="214"/>
      <c r="CT107" s="214"/>
      <c r="CU107" s="214"/>
      <c r="CV107" s="214"/>
      <c r="CW107" s="214"/>
      <c r="CX107" s="214"/>
      <c r="CY107" s="214"/>
      <c r="CZ107" s="214"/>
      <c r="DA107" s="214"/>
      <c r="DB107" s="214"/>
      <c r="DC107" s="214"/>
      <c r="DD107" s="214"/>
      <c r="DE107" s="214"/>
      <c r="DF107" s="214"/>
      <c r="DG107" s="214"/>
      <c r="DH107" s="214"/>
      <c r="DI107" s="214"/>
      <c r="DJ107" s="214"/>
      <c r="DK107" s="214"/>
      <c r="DL107" s="214"/>
      <c r="DM107" s="214"/>
      <c r="DN107" s="214"/>
      <c r="DO107" s="214"/>
      <c r="DP107" s="214"/>
      <c r="DQ107" s="214"/>
      <c r="DR107" s="214"/>
      <c r="DS107" s="214"/>
      <c r="DT107" s="214"/>
      <c r="DU107" s="214"/>
      <c r="DV107" s="214"/>
      <c r="DW107" s="214"/>
      <c r="DX107" s="214"/>
      <c r="DY107" s="214"/>
      <c r="DZ107" s="214"/>
      <c r="EA107" s="214"/>
      <c r="EB107" s="214"/>
      <c r="EC107" s="214"/>
      <c r="ED107" s="214"/>
      <c r="EE107" s="214"/>
      <c r="EF107" s="214"/>
      <c r="EG107" s="214"/>
      <c r="EH107" s="214"/>
      <c r="EI107" s="214"/>
      <c r="EJ107" s="214"/>
      <c r="EK107" s="214"/>
      <c r="EL107" s="214"/>
      <c r="EM107" s="214"/>
      <c r="EN107" s="214"/>
      <c r="EO107" s="214"/>
      <c r="EP107" s="214"/>
      <c r="EQ107" s="214"/>
      <c r="ER107" s="214"/>
      <c r="ES107" s="214"/>
      <c r="ET107" s="214"/>
      <c r="EU107" s="258">
        <f>[1]WP!EU47</f>
        <v>0</v>
      </c>
      <c r="EV107" s="262"/>
      <c r="EW107"/>
    </row>
    <row r="108" spans="1:153" x14ac:dyDescent="0.3">
      <c r="A108" s="79"/>
      <c r="B108" s="80" t="s">
        <v>71</v>
      </c>
      <c r="C108" s="214"/>
      <c r="D108" s="214"/>
      <c r="E108" s="214"/>
      <c r="F108" s="214"/>
      <c r="G108" s="214"/>
      <c r="H108" s="214"/>
      <c r="I108" s="214"/>
      <c r="J108" s="214"/>
      <c r="K108" s="214"/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  <c r="W108" s="214"/>
      <c r="X108" s="214"/>
      <c r="Y108" s="214"/>
      <c r="Z108" s="214"/>
      <c r="AA108" s="214"/>
      <c r="AB108" s="214"/>
      <c r="AC108" s="214"/>
      <c r="AD108" s="214"/>
      <c r="AE108" s="214"/>
      <c r="AF108" s="214"/>
      <c r="AG108" s="214"/>
      <c r="AH108" s="214"/>
      <c r="AI108" s="214"/>
      <c r="AJ108" s="214"/>
      <c r="AK108" s="214"/>
      <c r="AL108" s="214"/>
      <c r="AM108" s="214"/>
      <c r="AN108" s="214"/>
      <c r="AO108" s="214"/>
      <c r="AP108" s="214"/>
      <c r="AQ108" s="214"/>
      <c r="AR108" s="214"/>
      <c r="AS108" s="214"/>
      <c r="AT108" s="214"/>
      <c r="AU108" s="214"/>
      <c r="AV108" s="214"/>
      <c r="AW108" s="214"/>
      <c r="AX108" s="214"/>
      <c r="AY108" s="214"/>
      <c r="AZ108" s="214"/>
      <c r="BA108" s="214"/>
      <c r="BB108" s="214"/>
      <c r="BC108" s="214"/>
      <c r="BD108" s="214"/>
      <c r="BE108" s="214"/>
      <c r="BF108" s="214"/>
      <c r="BG108" s="214"/>
      <c r="BH108" s="214"/>
      <c r="BI108" s="214"/>
      <c r="BJ108" s="214"/>
      <c r="BK108" s="214"/>
      <c r="BL108" s="214"/>
      <c r="BM108" s="214"/>
      <c r="BN108" s="214"/>
      <c r="BO108" s="214"/>
      <c r="BP108" s="214"/>
      <c r="BQ108" s="214"/>
      <c r="BR108" s="214"/>
      <c r="BS108" s="214"/>
      <c r="BT108" s="214"/>
      <c r="BU108" s="214"/>
      <c r="BV108" s="214"/>
      <c r="BW108" s="214"/>
      <c r="BX108" s="214"/>
      <c r="BY108" s="214"/>
      <c r="BZ108" s="214"/>
      <c r="CA108" s="214"/>
      <c r="CB108" s="214"/>
      <c r="CC108" s="214"/>
      <c r="CD108" s="214"/>
      <c r="CE108" s="214"/>
      <c r="CF108" s="214"/>
      <c r="CG108" s="214"/>
      <c r="CH108" s="214"/>
      <c r="CI108" s="214"/>
      <c r="CJ108" s="214"/>
      <c r="CK108" s="214"/>
      <c r="CL108" s="214"/>
      <c r="CM108" s="214"/>
      <c r="CN108" s="214"/>
      <c r="CO108" s="214"/>
      <c r="CP108" s="214"/>
      <c r="CQ108" s="214"/>
      <c r="CR108" s="214"/>
      <c r="CS108" s="214"/>
      <c r="CT108" s="214"/>
      <c r="CU108" s="214"/>
      <c r="CV108" s="214"/>
      <c r="CW108" s="214"/>
      <c r="CX108" s="214"/>
      <c r="CY108" s="214"/>
      <c r="CZ108" s="214"/>
      <c r="DA108" s="214"/>
      <c r="DB108" s="214"/>
      <c r="DC108" s="214"/>
      <c r="DD108" s="214"/>
      <c r="DE108" s="214"/>
      <c r="DF108" s="214"/>
      <c r="DG108" s="214"/>
      <c r="DH108" s="214"/>
      <c r="DI108" s="214"/>
      <c r="DJ108" s="214"/>
      <c r="DK108" s="214"/>
      <c r="DL108" s="214"/>
      <c r="DM108" s="214"/>
      <c r="DN108" s="214"/>
      <c r="DO108" s="214"/>
      <c r="DP108" s="214"/>
      <c r="DQ108" s="214"/>
      <c r="DR108" s="214"/>
      <c r="DS108" s="214"/>
      <c r="DT108" s="214"/>
      <c r="DU108" s="214"/>
      <c r="DV108" s="214"/>
      <c r="DW108" s="214"/>
      <c r="DX108" s="214"/>
      <c r="DY108" s="214"/>
      <c r="DZ108" s="214"/>
      <c r="EA108" s="214"/>
      <c r="EB108" s="214"/>
      <c r="EC108" s="214"/>
      <c r="ED108" s="214"/>
      <c r="EE108" s="214"/>
      <c r="EF108" s="214"/>
      <c r="EG108" s="214"/>
      <c r="EH108" s="214"/>
      <c r="EI108" s="214"/>
      <c r="EJ108" s="214"/>
      <c r="EK108" s="214"/>
      <c r="EL108" s="214"/>
      <c r="EM108" s="214"/>
      <c r="EN108" s="214"/>
      <c r="EO108" s="214"/>
      <c r="EP108" s="214"/>
      <c r="EQ108" s="214"/>
      <c r="ER108" s="214"/>
      <c r="ES108" s="214"/>
      <c r="ET108" s="214"/>
      <c r="EU108" s="258">
        <f>[1]WP!EU48</f>
        <v>0</v>
      </c>
      <c r="EV108" s="262"/>
      <c r="EW108"/>
    </row>
    <row r="109" spans="1:153" ht="13.3" thickBot="1" x14ac:dyDescent="0.35">
      <c r="A109" s="83"/>
      <c r="B109" s="84" t="s">
        <v>84</v>
      </c>
      <c r="C109" s="214"/>
      <c r="D109" s="214"/>
      <c r="E109" s="214"/>
      <c r="F109" s="214"/>
      <c r="G109" s="214"/>
      <c r="H109" s="214"/>
      <c r="I109" s="214"/>
      <c r="J109" s="214"/>
      <c r="K109" s="214"/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214"/>
      <c r="W109" s="214"/>
      <c r="X109" s="214"/>
      <c r="Y109" s="214"/>
      <c r="Z109" s="214"/>
      <c r="AA109" s="214"/>
      <c r="AB109" s="214"/>
      <c r="AC109" s="214"/>
      <c r="AD109" s="214"/>
      <c r="AE109" s="214"/>
      <c r="AF109" s="214"/>
      <c r="AG109" s="214"/>
      <c r="AH109" s="214"/>
      <c r="AI109" s="214"/>
      <c r="AJ109" s="214"/>
      <c r="AK109" s="214"/>
      <c r="AL109" s="214"/>
      <c r="AM109" s="214"/>
      <c r="AN109" s="214"/>
      <c r="AO109" s="214"/>
      <c r="AP109" s="214"/>
      <c r="AQ109" s="214"/>
      <c r="AR109" s="214"/>
      <c r="AS109" s="214"/>
      <c r="AT109" s="214"/>
      <c r="AU109" s="214"/>
      <c r="AV109" s="214"/>
      <c r="AW109" s="214"/>
      <c r="AX109" s="214"/>
      <c r="AY109" s="214"/>
      <c r="AZ109" s="214"/>
      <c r="BA109" s="214"/>
      <c r="BB109" s="214"/>
      <c r="BC109" s="214"/>
      <c r="BD109" s="214"/>
      <c r="BE109" s="214"/>
      <c r="BF109" s="214"/>
      <c r="BG109" s="214"/>
      <c r="BH109" s="214"/>
      <c r="BI109" s="214"/>
      <c r="BJ109" s="214"/>
      <c r="BK109" s="214"/>
      <c r="BL109" s="214"/>
      <c r="BM109" s="214"/>
      <c r="BN109" s="214"/>
      <c r="BO109" s="214"/>
      <c r="BP109" s="214"/>
      <c r="BQ109" s="214"/>
      <c r="BR109" s="214"/>
      <c r="BS109" s="214"/>
      <c r="BT109" s="214"/>
      <c r="BU109" s="214"/>
      <c r="BV109" s="214"/>
      <c r="BW109" s="214"/>
      <c r="BX109" s="214"/>
      <c r="BY109" s="214"/>
      <c r="BZ109" s="214"/>
      <c r="CA109" s="214"/>
      <c r="CB109" s="214"/>
      <c r="CC109" s="214"/>
      <c r="CD109" s="214"/>
      <c r="CE109" s="214"/>
      <c r="CF109" s="214"/>
      <c r="CG109" s="214"/>
      <c r="CH109" s="214"/>
      <c r="CI109" s="214"/>
      <c r="CJ109" s="214"/>
      <c r="CK109" s="214"/>
      <c r="CL109" s="214"/>
      <c r="CM109" s="214"/>
      <c r="CN109" s="214"/>
      <c r="CO109" s="214"/>
      <c r="CP109" s="214"/>
      <c r="CQ109" s="214"/>
      <c r="CR109" s="214"/>
      <c r="CS109" s="214"/>
      <c r="CT109" s="214"/>
      <c r="CU109" s="214"/>
      <c r="CV109" s="214"/>
      <c r="CW109" s="214"/>
      <c r="CX109" s="214"/>
      <c r="CY109" s="214"/>
      <c r="CZ109" s="214"/>
      <c r="DA109" s="214"/>
      <c r="DB109" s="214"/>
      <c r="DC109" s="214"/>
      <c r="DD109" s="214"/>
      <c r="DE109" s="214"/>
      <c r="DF109" s="214"/>
      <c r="DG109" s="214"/>
      <c r="DH109" s="214"/>
      <c r="DI109" s="214"/>
      <c r="DJ109" s="214"/>
      <c r="DK109" s="214"/>
      <c r="DL109" s="214"/>
      <c r="DM109" s="214"/>
      <c r="DN109" s="214"/>
      <c r="DO109" s="214"/>
      <c r="DP109" s="214"/>
      <c r="DQ109" s="214"/>
      <c r="DR109" s="214"/>
      <c r="DS109" s="214"/>
      <c r="DT109" s="214"/>
      <c r="DU109" s="214"/>
      <c r="DV109" s="214"/>
      <c r="DW109" s="214"/>
      <c r="DX109" s="214"/>
      <c r="DY109" s="214"/>
      <c r="DZ109" s="214"/>
      <c r="EA109" s="214"/>
      <c r="EB109" s="214"/>
      <c r="EC109" s="214"/>
      <c r="ED109" s="214"/>
      <c r="EE109" s="214"/>
      <c r="EF109" s="214"/>
      <c r="EG109" s="214"/>
      <c r="EH109" s="214"/>
      <c r="EI109" s="214"/>
      <c r="EJ109" s="214"/>
      <c r="EK109" s="214"/>
      <c r="EL109" s="214"/>
      <c r="EM109" s="214"/>
      <c r="EN109" s="214"/>
      <c r="EO109" s="214"/>
      <c r="EP109" s="214"/>
      <c r="EQ109" s="214"/>
      <c r="ER109" s="214"/>
      <c r="ES109" s="214"/>
      <c r="ET109" s="214"/>
      <c r="EU109" s="264">
        <f>[1]WP!EU49</f>
        <v>0</v>
      </c>
      <c r="EV109" s="265"/>
      <c r="EW109"/>
    </row>
    <row r="110" spans="1:153" x14ac:dyDescent="0.3">
      <c r="A110" s="85"/>
      <c r="B110" s="86" t="s">
        <v>89</v>
      </c>
      <c r="C110" s="214"/>
      <c r="D110" s="214"/>
      <c r="E110" s="214"/>
      <c r="F110" s="214"/>
      <c r="G110" s="214"/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  <c r="Y110" s="214"/>
      <c r="Z110" s="214"/>
      <c r="AA110" s="214"/>
      <c r="AB110" s="214"/>
      <c r="AC110" s="214"/>
      <c r="AD110" s="214"/>
      <c r="AE110" s="214"/>
      <c r="AF110" s="214"/>
      <c r="AG110" s="214"/>
      <c r="AH110" s="214"/>
      <c r="AI110" s="214"/>
      <c r="AJ110" s="214"/>
      <c r="AK110" s="214"/>
      <c r="AL110" s="214"/>
      <c r="AM110" s="214"/>
      <c r="AN110" s="214"/>
      <c r="AO110" s="214"/>
      <c r="AP110" s="214"/>
      <c r="AQ110" s="214"/>
      <c r="AR110" s="214"/>
      <c r="AS110" s="214"/>
      <c r="AT110" s="214"/>
      <c r="AU110" s="214"/>
      <c r="AV110" s="214"/>
      <c r="AW110" s="214"/>
      <c r="AX110" s="214"/>
      <c r="AY110" s="214"/>
      <c r="AZ110" s="214"/>
      <c r="BA110" s="214"/>
      <c r="BB110" s="214"/>
      <c r="BC110" s="214"/>
      <c r="BD110" s="214"/>
      <c r="BE110" s="214"/>
      <c r="BF110" s="214"/>
      <c r="BG110" s="214"/>
      <c r="BH110" s="214"/>
      <c r="BI110" s="214"/>
      <c r="BJ110" s="214"/>
      <c r="BK110" s="214"/>
      <c r="BL110" s="214"/>
      <c r="BM110" s="214"/>
      <c r="BN110" s="214"/>
      <c r="BO110" s="214"/>
      <c r="BP110" s="214"/>
      <c r="BQ110" s="214"/>
      <c r="BR110" s="214"/>
      <c r="BS110" s="214"/>
      <c r="BT110" s="214"/>
      <c r="BU110" s="214"/>
      <c r="BV110" s="214"/>
      <c r="BW110" s="214"/>
      <c r="BX110" s="214"/>
      <c r="BY110" s="214"/>
      <c r="BZ110" s="214"/>
      <c r="CA110" s="214"/>
      <c r="CB110" s="214"/>
      <c r="CC110" s="214"/>
      <c r="CD110" s="214"/>
      <c r="CE110" s="214"/>
      <c r="CF110" s="214"/>
      <c r="CG110" s="214"/>
      <c r="CH110" s="214"/>
      <c r="CI110" s="214"/>
      <c r="CJ110" s="214"/>
      <c r="CK110" s="214"/>
      <c r="CL110" s="214"/>
      <c r="CM110" s="214"/>
      <c r="CN110" s="214"/>
      <c r="CO110" s="214"/>
      <c r="CP110" s="214"/>
      <c r="CQ110" s="214"/>
      <c r="CR110" s="214"/>
      <c r="CS110" s="214"/>
      <c r="CT110" s="214"/>
      <c r="CU110" s="214"/>
      <c r="CV110" s="214"/>
      <c r="CW110" s="214"/>
      <c r="CX110" s="214"/>
      <c r="CY110" s="214"/>
      <c r="CZ110" s="214"/>
      <c r="DA110" s="214"/>
      <c r="DB110" s="214"/>
      <c r="DC110" s="214"/>
      <c r="DD110" s="214"/>
      <c r="DE110" s="214"/>
      <c r="DF110" s="214"/>
      <c r="DG110" s="214"/>
      <c r="DH110" s="214"/>
      <c r="DI110" s="214"/>
      <c r="DJ110" s="214"/>
      <c r="DK110" s="214"/>
      <c r="DL110" s="214"/>
      <c r="DM110" s="214"/>
      <c r="DN110" s="214"/>
      <c r="DO110" s="214"/>
      <c r="DP110" s="214"/>
      <c r="DQ110" s="214"/>
      <c r="DR110" s="214"/>
      <c r="DS110" s="214"/>
      <c r="DT110" s="214"/>
      <c r="DU110" s="214"/>
      <c r="DV110" s="214"/>
      <c r="DW110" s="214"/>
      <c r="DX110" s="214"/>
      <c r="DY110" s="214"/>
      <c r="DZ110" s="214"/>
      <c r="EA110" s="214"/>
      <c r="EB110" s="214"/>
      <c r="EC110" s="214"/>
      <c r="ED110" s="214"/>
      <c r="EE110" s="214"/>
      <c r="EF110" s="214"/>
      <c r="EG110" s="214"/>
      <c r="EH110" s="214"/>
      <c r="EI110" s="214"/>
      <c r="EJ110" s="214"/>
      <c r="EK110" s="214"/>
      <c r="EL110" s="214"/>
      <c r="EM110" s="214"/>
      <c r="EN110" s="214"/>
      <c r="EO110" s="214"/>
      <c r="EP110" s="214"/>
      <c r="EQ110" s="214"/>
      <c r="ER110" s="214"/>
      <c r="ES110" s="214"/>
      <c r="ET110" s="214"/>
      <c r="EU110" s="266">
        <f t="shared" ref="EU110:EU120" si="7">EU77+EU88+EU99</f>
        <v>0</v>
      </c>
      <c r="EV110" s="259">
        <f>EU110/EU117</f>
        <v>0</v>
      </c>
      <c r="EW110"/>
    </row>
    <row r="111" spans="1:153" x14ac:dyDescent="0.3">
      <c r="A111" s="85"/>
      <c r="B111" s="86" t="s">
        <v>79</v>
      </c>
      <c r="C111" s="214"/>
      <c r="D111" s="214"/>
      <c r="E111" s="214"/>
      <c r="F111" s="214"/>
      <c r="G111" s="214"/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  <c r="R111" s="214"/>
      <c r="S111" s="214"/>
      <c r="T111" s="214"/>
      <c r="U111" s="214"/>
      <c r="V111" s="214"/>
      <c r="W111" s="214"/>
      <c r="X111" s="214"/>
      <c r="Y111" s="214"/>
      <c r="Z111" s="214"/>
      <c r="AA111" s="214"/>
      <c r="AB111" s="214"/>
      <c r="AC111" s="214"/>
      <c r="AD111" s="214"/>
      <c r="AE111" s="214"/>
      <c r="AF111" s="214"/>
      <c r="AG111" s="214"/>
      <c r="AH111" s="214"/>
      <c r="AI111" s="214"/>
      <c r="AJ111" s="214"/>
      <c r="AK111" s="214"/>
      <c r="AL111" s="214"/>
      <c r="AM111" s="214"/>
      <c r="AN111" s="214"/>
      <c r="AO111" s="214"/>
      <c r="AP111" s="214"/>
      <c r="AQ111" s="214"/>
      <c r="AR111" s="214"/>
      <c r="AS111" s="214"/>
      <c r="AT111" s="214"/>
      <c r="AU111" s="214"/>
      <c r="AV111" s="214"/>
      <c r="AW111" s="214"/>
      <c r="AX111" s="214"/>
      <c r="AY111" s="214"/>
      <c r="AZ111" s="214"/>
      <c r="BA111" s="214"/>
      <c r="BB111" s="214"/>
      <c r="BC111" s="214"/>
      <c r="BD111" s="214"/>
      <c r="BE111" s="214"/>
      <c r="BF111" s="214"/>
      <c r="BG111" s="214"/>
      <c r="BH111" s="214"/>
      <c r="BI111" s="214"/>
      <c r="BJ111" s="214"/>
      <c r="BK111" s="214"/>
      <c r="BL111" s="214"/>
      <c r="BM111" s="214"/>
      <c r="BN111" s="214"/>
      <c r="BO111" s="214"/>
      <c r="BP111" s="214"/>
      <c r="BQ111" s="214"/>
      <c r="BR111" s="214"/>
      <c r="BS111" s="214"/>
      <c r="BT111" s="214"/>
      <c r="BU111" s="214"/>
      <c r="BV111" s="214"/>
      <c r="BW111" s="214"/>
      <c r="BX111" s="214"/>
      <c r="BY111" s="214"/>
      <c r="BZ111" s="214"/>
      <c r="CA111" s="214"/>
      <c r="CB111" s="214"/>
      <c r="CC111" s="214"/>
      <c r="CD111" s="214"/>
      <c r="CE111" s="214"/>
      <c r="CF111" s="214"/>
      <c r="CG111" s="214"/>
      <c r="CH111" s="214"/>
      <c r="CI111" s="214"/>
      <c r="CJ111" s="214"/>
      <c r="CK111" s="214"/>
      <c r="CL111" s="214"/>
      <c r="CM111" s="214"/>
      <c r="CN111" s="214"/>
      <c r="CO111" s="214"/>
      <c r="CP111" s="214"/>
      <c r="CQ111" s="214"/>
      <c r="CR111" s="214"/>
      <c r="CS111" s="214"/>
      <c r="CT111" s="214"/>
      <c r="CU111" s="214"/>
      <c r="CV111" s="214"/>
      <c r="CW111" s="214"/>
      <c r="CX111" s="214"/>
      <c r="CY111" s="214"/>
      <c r="CZ111" s="214"/>
      <c r="DA111" s="214"/>
      <c r="DB111" s="214"/>
      <c r="DC111" s="214"/>
      <c r="DD111" s="214"/>
      <c r="DE111" s="214"/>
      <c r="DF111" s="214"/>
      <c r="DG111" s="214"/>
      <c r="DH111" s="214"/>
      <c r="DI111" s="214"/>
      <c r="DJ111" s="214"/>
      <c r="DK111" s="214"/>
      <c r="DL111" s="214"/>
      <c r="DM111" s="214"/>
      <c r="DN111" s="214"/>
      <c r="DO111" s="214"/>
      <c r="DP111" s="214"/>
      <c r="DQ111" s="214"/>
      <c r="DR111" s="214"/>
      <c r="DS111" s="214"/>
      <c r="DT111" s="214"/>
      <c r="DU111" s="214"/>
      <c r="DV111" s="214"/>
      <c r="DW111" s="214"/>
      <c r="DX111" s="214"/>
      <c r="DY111" s="214"/>
      <c r="DZ111" s="214"/>
      <c r="EA111" s="214"/>
      <c r="EB111" s="214"/>
      <c r="EC111" s="214"/>
      <c r="ED111" s="214"/>
      <c r="EE111" s="214"/>
      <c r="EF111" s="214"/>
      <c r="EG111" s="214"/>
      <c r="EH111" s="214"/>
      <c r="EI111" s="214"/>
      <c r="EJ111" s="214"/>
      <c r="EK111" s="214"/>
      <c r="EL111" s="214"/>
      <c r="EM111" s="214"/>
      <c r="EN111" s="214"/>
      <c r="EO111" s="214"/>
      <c r="EP111" s="214"/>
      <c r="EQ111" s="214"/>
      <c r="ER111" s="214"/>
      <c r="ES111" s="214"/>
      <c r="ET111" s="214"/>
      <c r="EU111" s="267">
        <f t="shared" si="7"/>
        <v>23288842.539048873</v>
      </c>
      <c r="EV111" s="260">
        <f>EU111/EU117</f>
        <v>0.95336945848639065</v>
      </c>
      <c r="EW111"/>
    </row>
    <row r="112" spans="1:153" x14ac:dyDescent="0.3">
      <c r="A112" s="85"/>
      <c r="B112" s="86" t="s">
        <v>107</v>
      </c>
      <c r="C112" s="214"/>
      <c r="D112" s="214"/>
      <c r="E112" s="214"/>
      <c r="F112" s="214"/>
      <c r="G112" s="214"/>
      <c r="H112" s="214"/>
      <c r="I112" s="214"/>
      <c r="J112" s="214"/>
      <c r="K112" s="214"/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  <c r="W112" s="214"/>
      <c r="X112" s="214"/>
      <c r="Y112" s="214"/>
      <c r="Z112" s="214"/>
      <c r="AA112" s="214"/>
      <c r="AB112" s="214"/>
      <c r="AC112" s="214"/>
      <c r="AD112" s="214"/>
      <c r="AE112" s="214"/>
      <c r="AF112" s="214"/>
      <c r="AG112" s="214"/>
      <c r="AH112" s="214"/>
      <c r="AI112" s="214"/>
      <c r="AJ112" s="214"/>
      <c r="AK112" s="214"/>
      <c r="AL112" s="214"/>
      <c r="AM112" s="214"/>
      <c r="AN112" s="214"/>
      <c r="AO112" s="214"/>
      <c r="AP112" s="214"/>
      <c r="AQ112" s="214"/>
      <c r="AR112" s="214"/>
      <c r="AS112" s="214"/>
      <c r="AT112" s="214"/>
      <c r="AU112" s="214"/>
      <c r="AV112" s="214"/>
      <c r="AW112" s="214"/>
      <c r="AX112" s="214"/>
      <c r="AY112" s="214"/>
      <c r="AZ112" s="214"/>
      <c r="BA112" s="214"/>
      <c r="BB112" s="214"/>
      <c r="BC112" s="214"/>
      <c r="BD112" s="214"/>
      <c r="BE112" s="214"/>
      <c r="BF112" s="214"/>
      <c r="BG112" s="214"/>
      <c r="BH112" s="214"/>
      <c r="BI112" s="214"/>
      <c r="BJ112" s="214"/>
      <c r="BK112" s="214"/>
      <c r="BL112" s="214"/>
      <c r="BM112" s="214"/>
      <c r="BN112" s="214"/>
      <c r="BO112" s="214"/>
      <c r="BP112" s="214"/>
      <c r="BQ112" s="214"/>
      <c r="BR112" s="214"/>
      <c r="BS112" s="214"/>
      <c r="BT112" s="214"/>
      <c r="BU112" s="214"/>
      <c r="BV112" s="214"/>
      <c r="BW112" s="214"/>
      <c r="BX112" s="214"/>
      <c r="BY112" s="214"/>
      <c r="BZ112" s="214"/>
      <c r="CA112" s="214"/>
      <c r="CB112" s="214"/>
      <c r="CC112" s="214"/>
      <c r="CD112" s="214"/>
      <c r="CE112" s="214"/>
      <c r="CF112" s="214"/>
      <c r="CG112" s="214"/>
      <c r="CH112" s="214"/>
      <c r="CI112" s="214"/>
      <c r="CJ112" s="214"/>
      <c r="CK112" s="214"/>
      <c r="CL112" s="214"/>
      <c r="CM112" s="214"/>
      <c r="CN112" s="214"/>
      <c r="CO112" s="214"/>
      <c r="CP112" s="214"/>
      <c r="CQ112" s="214"/>
      <c r="CR112" s="214"/>
      <c r="CS112" s="214"/>
      <c r="CT112" s="214"/>
      <c r="CU112" s="214"/>
      <c r="CV112" s="214"/>
      <c r="CW112" s="214"/>
      <c r="CX112" s="214"/>
      <c r="CY112" s="214"/>
      <c r="CZ112" s="214"/>
      <c r="DA112" s="214"/>
      <c r="DB112" s="214"/>
      <c r="DC112" s="214"/>
      <c r="DD112" s="214"/>
      <c r="DE112" s="214"/>
      <c r="DF112" s="214"/>
      <c r="DG112" s="214"/>
      <c r="DH112" s="214"/>
      <c r="DI112" s="214"/>
      <c r="DJ112" s="214"/>
      <c r="DK112" s="214"/>
      <c r="DL112" s="214"/>
      <c r="DM112" s="214"/>
      <c r="DN112" s="214"/>
      <c r="DO112" s="214"/>
      <c r="DP112" s="214"/>
      <c r="DQ112" s="214"/>
      <c r="DR112" s="214"/>
      <c r="DS112" s="214"/>
      <c r="DT112" s="214"/>
      <c r="DU112" s="214"/>
      <c r="DV112" s="214"/>
      <c r="DW112" s="214"/>
      <c r="DX112" s="214"/>
      <c r="DY112" s="214"/>
      <c r="DZ112" s="214"/>
      <c r="EA112" s="214"/>
      <c r="EB112" s="214"/>
      <c r="EC112" s="214"/>
      <c r="ED112" s="214"/>
      <c r="EE112" s="214"/>
      <c r="EF112" s="214"/>
      <c r="EG112" s="214"/>
      <c r="EH112" s="214"/>
      <c r="EI112" s="214"/>
      <c r="EJ112" s="214"/>
      <c r="EK112" s="214"/>
      <c r="EL112" s="214"/>
      <c r="EM112" s="214"/>
      <c r="EN112" s="214"/>
      <c r="EO112" s="214"/>
      <c r="EP112" s="214"/>
      <c r="EQ112" s="214"/>
      <c r="ER112" s="214"/>
      <c r="ES112" s="214"/>
      <c r="ET112" s="214"/>
      <c r="EU112" s="267">
        <f t="shared" si="7"/>
        <v>0</v>
      </c>
      <c r="EV112" s="260">
        <f>EU112/EU117</f>
        <v>0</v>
      </c>
      <c r="EW112"/>
    </row>
    <row r="113" spans="1:153" x14ac:dyDescent="0.3">
      <c r="A113" s="87"/>
      <c r="B113" s="86" t="s">
        <v>80</v>
      </c>
      <c r="C113" s="214"/>
      <c r="D113" s="214"/>
      <c r="E113" s="214"/>
      <c r="F113" s="214"/>
      <c r="G113" s="214"/>
      <c r="H113" s="214"/>
      <c r="I113" s="214"/>
      <c r="J113" s="214"/>
      <c r="K113" s="214"/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  <c r="X113" s="214"/>
      <c r="Y113" s="214"/>
      <c r="Z113" s="214"/>
      <c r="AA113" s="214"/>
      <c r="AB113" s="214"/>
      <c r="AC113" s="214"/>
      <c r="AD113" s="214"/>
      <c r="AE113" s="214"/>
      <c r="AF113" s="214"/>
      <c r="AG113" s="214"/>
      <c r="AH113" s="214"/>
      <c r="AI113" s="214"/>
      <c r="AJ113" s="214"/>
      <c r="AK113" s="214"/>
      <c r="AL113" s="214"/>
      <c r="AM113" s="214"/>
      <c r="AN113" s="214"/>
      <c r="AO113" s="214"/>
      <c r="AP113" s="214"/>
      <c r="AQ113" s="214"/>
      <c r="AR113" s="214"/>
      <c r="AS113" s="214"/>
      <c r="AT113" s="214"/>
      <c r="AU113" s="214"/>
      <c r="AV113" s="214"/>
      <c r="AW113" s="214"/>
      <c r="AX113" s="214"/>
      <c r="AY113" s="214"/>
      <c r="AZ113" s="214"/>
      <c r="BA113" s="214"/>
      <c r="BB113" s="214"/>
      <c r="BC113" s="214"/>
      <c r="BD113" s="214"/>
      <c r="BE113" s="214"/>
      <c r="BF113" s="214"/>
      <c r="BG113" s="214"/>
      <c r="BH113" s="214"/>
      <c r="BI113" s="214"/>
      <c r="BJ113" s="214"/>
      <c r="BK113" s="214"/>
      <c r="BL113" s="214"/>
      <c r="BM113" s="214"/>
      <c r="BN113" s="214"/>
      <c r="BO113" s="214"/>
      <c r="BP113" s="214"/>
      <c r="BQ113" s="214"/>
      <c r="BR113" s="214"/>
      <c r="BS113" s="214"/>
      <c r="BT113" s="214"/>
      <c r="BU113" s="214"/>
      <c r="BV113" s="214"/>
      <c r="BW113" s="214"/>
      <c r="BX113" s="214"/>
      <c r="BY113" s="214"/>
      <c r="BZ113" s="214"/>
      <c r="CA113" s="214"/>
      <c r="CB113" s="214"/>
      <c r="CC113" s="214"/>
      <c r="CD113" s="214"/>
      <c r="CE113" s="214"/>
      <c r="CF113" s="214"/>
      <c r="CG113" s="214"/>
      <c r="CH113" s="214"/>
      <c r="CI113" s="214"/>
      <c r="CJ113" s="214"/>
      <c r="CK113" s="214"/>
      <c r="CL113" s="214"/>
      <c r="CM113" s="214"/>
      <c r="CN113" s="214"/>
      <c r="CO113" s="214"/>
      <c r="CP113" s="214"/>
      <c r="CQ113" s="214"/>
      <c r="CR113" s="214"/>
      <c r="CS113" s="214"/>
      <c r="CT113" s="214"/>
      <c r="CU113" s="214"/>
      <c r="CV113" s="214"/>
      <c r="CW113" s="214"/>
      <c r="CX113" s="214"/>
      <c r="CY113" s="214"/>
      <c r="CZ113" s="214"/>
      <c r="DA113" s="214"/>
      <c r="DB113" s="214"/>
      <c r="DC113" s="214"/>
      <c r="DD113" s="214"/>
      <c r="DE113" s="214"/>
      <c r="DF113" s="214"/>
      <c r="DG113" s="214"/>
      <c r="DH113" s="214"/>
      <c r="DI113" s="214"/>
      <c r="DJ113" s="214"/>
      <c r="DK113" s="214"/>
      <c r="DL113" s="214"/>
      <c r="DM113" s="214"/>
      <c r="DN113" s="214"/>
      <c r="DO113" s="214"/>
      <c r="DP113" s="214"/>
      <c r="DQ113" s="214"/>
      <c r="DR113" s="214"/>
      <c r="DS113" s="214"/>
      <c r="DT113" s="214"/>
      <c r="DU113" s="214"/>
      <c r="DV113" s="214"/>
      <c r="DW113" s="214"/>
      <c r="DX113" s="214"/>
      <c r="DY113" s="214"/>
      <c r="DZ113" s="214"/>
      <c r="EA113" s="214"/>
      <c r="EB113" s="214"/>
      <c r="EC113" s="214"/>
      <c r="ED113" s="214"/>
      <c r="EE113" s="214"/>
      <c r="EF113" s="214"/>
      <c r="EG113" s="214"/>
      <c r="EH113" s="214"/>
      <c r="EI113" s="214"/>
      <c r="EJ113" s="214"/>
      <c r="EK113" s="214"/>
      <c r="EL113" s="214"/>
      <c r="EM113" s="214"/>
      <c r="EN113" s="214"/>
      <c r="EO113" s="214"/>
      <c r="EP113" s="214"/>
      <c r="EQ113" s="214"/>
      <c r="ER113" s="214"/>
      <c r="ES113" s="214"/>
      <c r="ET113" s="214"/>
      <c r="EU113" s="268">
        <f t="shared" si="7"/>
        <v>1138003.035925502</v>
      </c>
      <c r="EV113" s="261">
        <f>EU113/EU117</f>
        <v>4.6586142540017951E-2</v>
      </c>
      <c r="EW113"/>
    </row>
    <row r="114" spans="1:153" x14ac:dyDescent="0.3">
      <c r="A114" s="87"/>
      <c r="B114" s="86" t="s">
        <v>81</v>
      </c>
      <c r="C114" s="214"/>
      <c r="D114" s="214"/>
      <c r="E114" s="214"/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  <c r="W114" s="214"/>
      <c r="X114" s="214"/>
      <c r="Y114" s="214"/>
      <c r="Z114" s="214"/>
      <c r="AA114" s="214"/>
      <c r="AB114" s="214"/>
      <c r="AC114" s="214"/>
      <c r="AD114" s="214"/>
      <c r="AE114" s="214"/>
      <c r="AF114" s="214"/>
      <c r="AG114" s="214"/>
      <c r="AH114" s="214"/>
      <c r="AI114" s="214"/>
      <c r="AJ114" s="214"/>
      <c r="AK114" s="214"/>
      <c r="AL114" s="214"/>
      <c r="AM114" s="214"/>
      <c r="AN114" s="214"/>
      <c r="AO114" s="214"/>
      <c r="AP114" s="214"/>
      <c r="AQ114" s="214"/>
      <c r="AR114" s="214"/>
      <c r="AS114" s="214"/>
      <c r="AT114" s="214"/>
      <c r="AU114" s="214"/>
      <c r="AV114" s="214"/>
      <c r="AW114" s="214"/>
      <c r="AX114" s="214"/>
      <c r="AY114" s="214"/>
      <c r="AZ114" s="214"/>
      <c r="BA114" s="214"/>
      <c r="BB114" s="214"/>
      <c r="BC114" s="214"/>
      <c r="BD114" s="214"/>
      <c r="BE114" s="214"/>
      <c r="BF114" s="214"/>
      <c r="BG114" s="214"/>
      <c r="BH114" s="214"/>
      <c r="BI114" s="214"/>
      <c r="BJ114" s="214"/>
      <c r="BK114" s="214"/>
      <c r="BL114" s="214"/>
      <c r="BM114" s="214"/>
      <c r="BN114" s="214"/>
      <c r="BO114" s="214"/>
      <c r="BP114" s="214"/>
      <c r="BQ114" s="214"/>
      <c r="BR114" s="214"/>
      <c r="BS114" s="214"/>
      <c r="BT114" s="214"/>
      <c r="BU114" s="214"/>
      <c r="BV114" s="214"/>
      <c r="BW114" s="214"/>
      <c r="BX114" s="214"/>
      <c r="BY114" s="214"/>
      <c r="BZ114" s="214"/>
      <c r="CA114" s="214"/>
      <c r="CB114" s="214"/>
      <c r="CC114" s="214"/>
      <c r="CD114" s="214"/>
      <c r="CE114" s="214"/>
      <c r="CF114" s="214"/>
      <c r="CG114" s="214"/>
      <c r="CH114" s="214"/>
      <c r="CI114" s="214"/>
      <c r="CJ114" s="214"/>
      <c r="CK114" s="214"/>
      <c r="CL114" s="214"/>
      <c r="CM114" s="214"/>
      <c r="CN114" s="214"/>
      <c r="CO114" s="214"/>
      <c r="CP114" s="214"/>
      <c r="CQ114" s="214"/>
      <c r="CR114" s="214"/>
      <c r="CS114" s="214"/>
      <c r="CT114" s="214"/>
      <c r="CU114" s="214"/>
      <c r="CV114" s="214"/>
      <c r="CW114" s="214"/>
      <c r="CX114" s="214"/>
      <c r="CY114" s="214"/>
      <c r="CZ114" s="214"/>
      <c r="DA114" s="214"/>
      <c r="DB114" s="214"/>
      <c r="DC114" s="214"/>
      <c r="DD114" s="214"/>
      <c r="DE114" s="214"/>
      <c r="DF114" s="214"/>
      <c r="DG114" s="214"/>
      <c r="DH114" s="214"/>
      <c r="DI114" s="214"/>
      <c r="DJ114" s="214"/>
      <c r="DK114" s="214"/>
      <c r="DL114" s="214"/>
      <c r="DM114" s="214"/>
      <c r="DN114" s="214"/>
      <c r="DO114" s="214"/>
      <c r="DP114" s="214"/>
      <c r="DQ114" s="214"/>
      <c r="DR114" s="214"/>
      <c r="DS114" s="214"/>
      <c r="DT114" s="214"/>
      <c r="DU114" s="214"/>
      <c r="DV114" s="214"/>
      <c r="DW114" s="214"/>
      <c r="DX114" s="214"/>
      <c r="DY114" s="214"/>
      <c r="DZ114" s="214"/>
      <c r="EA114" s="214"/>
      <c r="EB114" s="214"/>
      <c r="EC114" s="214"/>
      <c r="ED114" s="214"/>
      <c r="EE114" s="214"/>
      <c r="EF114" s="214"/>
      <c r="EG114" s="214"/>
      <c r="EH114" s="214"/>
      <c r="EI114" s="214"/>
      <c r="EJ114" s="214"/>
      <c r="EK114" s="214"/>
      <c r="EL114" s="214"/>
      <c r="EM114" s="214"/>
      <c r="EN114" s="214"/>
      <c r="EO114" s="214"/>
      <c r="EP114" s="214"/>
      <c r="EQ114" s="214"/>
      <c r="ER114" s="214"/>
      <c r="ES114" s="214"/>
      <c r="ET114" s="214"/>
      <c r="EU114" s="267">
        <f t="shared" si="7"/>
        <v>0</v>
      </c>
      <c r="EV114" s="262">
        <f>EU114/EU117</f>
        <v>0</v>
      </c>
      <c r="EW114"/>
    </row>
    <row r="115" spans="1:153" x14ac:dyDescent="0.3">
      <c r="A115" s="87" t="s">
        <v>155</v>
      </c>
      <c r="B115" s="86" t="s">
        <v>82</v>
      </c>
      <c r="C115" s="214"/>
      <c r="D115" s="214"/>
      <c r="E115" s="214"/>
      <c r="F115" s="214"/>
      <c r="G115" s="214"/>
      <c r="H115" s="214"/>
      <c r="I115" s="214"/>
      <c r="J115" s="214"/>
      <c r="K115" s="214"/>
      <c r="L115" s="214"/>
      <c r="M115" s="214"/>
      <c r="N115" s="214"/>
      <c r="O115" s="214"/>
      <c r="P115" s="214"/>
      <c r="Q115" s="214"/>
      <c r="R115" s="214"/>
      <c r="S115" s="214"/>
      <c r="T115" s="214"/>
      <c r="U115" s="214"/>
      <c r="V115" s="214"/>
      <c r="W115" s="214"/>
      <c r="X115" s="214"/>
      <c r="Y115" s="214"/>
      <c r="Z115" s="214"/>
      <c r="AA115" s="214"/>
      <c r="AB115" s="214"/>
      <c r="AC115" s="214"/>
      <c r="AD115" s="214"/>
      <c r="AE115" s="214"/>
      <c r="AF115" s="214"/>
      <c r="AG115" s="214"/>
      <c r="AH115" s="214"/>
      <c r="AI115" s="214"/>
      <c r="AJ115" s="214"/>
      <c r="AK115" s="214"/>
      <c r="AL115" s="214"/>
      <c r="AM115" s="214"/>
      <c r="AN115" s="214"/>
      <c r="AO115" s="214"/>
      <c r="AP115" s="214"/>
      <c r="AQ115" s="214"/>
      <c r="AR115" s="214"/>
      <c r="AS115" s="214"/>
      <c r="AT115" s="214"/>
      <c r="AU115" s="214"/>
      <c r="AV115" s="214"/>
      <c r="AW115" s="214"/>
      <c r="AX115" s="214"/>
      <c r="AY115" s="214"/>
      <c r="AZ115" s="214"/>
      <c r="BA115" s="214"/>
      <c r="BB115" s="214"/>
      <c r="BC115" s="214"/>
      <c r="BD115" s="214"/>
      <c r="BE115" s="214"/>
      <c r="BF115" s="214"/>
      <c r="BG115" s="214"/>
      <c r="BH115" s="214"/>
      <c r="BI115" s="214"/>
      <c r="BJ115" s="214"/>
      <c r="BK115" s="214"/>
      <c r="BL115" s="214"/>
      <c r="BM115" s="214"/>
      <c r="BN115" s="214"/>
      <c r="BO115" s="214"/>
      <c r="BP115" s="214"/>
      <c r="BQ115" s="214"/>
      <c r="BR115" s="214"/>
      <c r="BS115" s="214"/>
      <c r="BT115" s="214"/>
      <c r="BU115" s="214"/>
      <c r="BV115" s="214"/>
      <c r="BW115" s="214"/>
      <c r="BX115" s="214"/>
      <c r="BY115" s="214"/>
      <c r="BZ115" s="214"/>
      <c r="CA115" s="214"/>
      <c r="CB115" s="214"/>
      <c r="CC115" s="214"/>
      <c r="CD115" s="214"/>
      <c r="CE115" s="214"/>
      <c r="CF115" s="214"/>
      <c r="CG115" s="214"/>
      <c r="CH115" s="214"/>
      <c r="CI115" s="214"/>
      <c r="CJ115" s="214"/>
      <c r="CK115" s="214"/>
      <c r="CL115" s="214"/>
      <c r="CM115" s="214"/>
      <c r="CN115" s="214"/>
      <c r="CO115" s="214"/>
      <c r="CP115" s="214"/>
      <c r="CQ115" s="214"/>
      <c r="CR115" s="214"/>
      <c r="CS115" s="214"/>
      <c r="CT115" s="214"/>
      <c r="CU115" s="214"/>
      <c r="CV115" s="214"/>
      <c r="CW115" s="214"/>
      <c r="CX115" s="214"/>
      <c r="CY115" s="214"/>
      <c r="CZ115" s="214"/>
      <c r="DA115" s="214"/>
      <c r="DB115" s="214"/>
      <c r="DC115" s="214"/>
      <c r="DD115" s="214"/>
      <c r="DE115" s="214"/>
      <c r="DF115" s="214"/>
      <c r="DG115" s="214"/>
      <c r="DH115" s="214"/>
      <c r="DI115" s="214"/>
      <c r="DJ115" s="214"/>
      <c r="DK115" s="214"/>
      <c r="DL115" s="214"/>
      <c r="DM115" s="214"/>
      <c r="DN115" s="214"/>
      <c r="DO115" s="214"/>
      <c r="DP115" s="214"/>
      <c r="DQ115" s="214"/>
      <c r="DR115" s="214"/>
      <c r="DS115" s="214"/>
      <c r="DT115" s="214"/>
      <c r="DU115" s="214"/>
      <c r="DV115" s="214"/>
      <c r="DW115" s="214"/>
      <c r="DX115" s="214"/>
      <c r="DY115" s="214"/>
      <c r="DZ115" s="214"/>
      <c r="EA115" s="214"/>
      <c r="EB115" s="214"/>
      <c r="EC115" s="214"/>
      <c r="ED115" s="214"/>
      <c r="EE115" s="214"/>
      <c r="EF115" s="214"/>
      <c r="EG115" s="214"/>
      <c r="EH115" s="214"/>
      <c r="EI115" s="214"/>
      <c r="EJ115" s="214"/>
      <c r="EK115" s="214"/>
      <c r="EL115" s="214"/>
      <c r="EM115" s="214"/>
      <c r="EN115" s="214"/>
      <c r="EO115" s="214"/>
      <c r="EP115" s="214"/>
      <c r="EQ115" s="214"/>
      <c r="ER115" s="214"/>
      <c r="ES115" s="214"/>
      <c r="ET115" s="214"/>
      <c r="EU115" s="267">
        <f t="shared" si="7"/>
        <v>1084.5750256234057</v>
      </c>
      <c r="EV115" s="262">
        <f>EU115/EU117</f>
        <v>4.4398973591440605E-5</v>
      </c>
      <c r="EW115"/>
    </row>
    <row r="116" spans="1:153" x14ac:dyDescent="0.3">
      <c r="A116" s="88" t="s">
        <v>92</v>
      </c>
      <c r="B116" s="86" t="s">
        <v>102</v>
      </c>
      <c r="C116" s="214"/>
      <c r="D116" s="214"/>
      <c r="E116" s="214"/>
      <c r="F116" s="214"/>
      <c r="G116" s="214"/>
      <c r="H116" s="214"/>
      <c r="I116" s="214"/>
      <c r="J116" s="214"/>
      <c r="K116" s="214"/>
      <c r="L116" s="214"/>
      <c r="M116" s="214"/>
      <c r="N116" s="214"/>
      <c r="O116" s="214"/>
      <c r="P116" s="214"/>
      <c r="Q116" s="214"/>
      <c r="R116" s="214"/>
      <c r="S116" s="214"/>
      <c r="T116" s="214"/>
      <c r="U116" s="214"/>
      <c r="V116" s="214"/>
      <c r="W116" s="214"/>
      <c r="X116" s="214"/>
      <c r="Y116" s="214"/>
      <c r="Z116" s="214"/>
      <c r="AA116" s="214"/>
      <c r="AB116" s="214"/>
      <c r="AC116" s="214"/>
      <c r="AD116" s="214"/>
      <c r="AE116" s="214"/>
      <c r="AF116" s="214"/>
      <c r="AG116" s="214"/>
      <c r="AH116" s="214"/>
      <c r="AI116" s="214"/>
      <c r="AJ116" s="214"/>
      <c r="AK116" s="214"/>
      <c r="AL116" s="214"/>
      <c r="AM116" s="214"/>
      <c r="AN116" s="214"/>
      <c r="AO116" s="214"/>
      <c r="AP116" s="214"/>
      <c r="AQ116" s="214"/>
      <c r="AR116" s="214"/>
      <c r="AS116" s="214"/>
      <c r="AT116" s="214"/>
      <c r="AU116" s="214"/>
      <c r="AV116" s="214"/>
      <c r="AW116" s="214"/>
      <c r="AX116" s="214"/>
      <c r="AY116" s="214"/>
      <c r="AZ116" s="214"/>
      <c r="BA116" s="214"/>
      <c r="BB116" s="214"/>
      <c r="BC116" s="214"/>
      <c r="BD116" s="214"/>
      <c r="BE116" s="214"/>
      <c r="BF116" s="214"/>
      <c r="BG116" s="214"/>
      <c r="BH116" s="214"/>
      <c r="BI116" s="214"/>
      <c r="BJ116" s="214"/>
      <c r="BK116" s="214"/>
      <c r="BL116" s="214"/>
      <c r="BM116" s="214"/>
      <c r="BN116" s="214"/>
      <c r="BO116" s="214"/>
      <c r="BP116" s="214"/>
      <c r="BQ116" s="214"/>
      <c r="BR116" s="214"/>
      <c r="BS116" s="214"/>
      <c r="BT116" s="214"/>
      <c r="BU116" s="214"/>
      <c r="BV116" s="214"/>
      <c r="BW116" s="214"/>
      <c r="BX116" s="214"/>
      <c r="BY116" s="214"/>
      <c r="BZ116" s="214"/>
      <c r="CA116" s="214"/>
      <c r="CB116" s="214"/>
      <c r="CC116" s="214"/>
      <c r="CD116" s="214"/>
      <c r="CE116" s="214"/>
      <c r="CF116" s="214"/>
      <c r="CG116" s="214"/>
      <c r="CH116" s="214"/>
      <c r="CI116" s="214"/>
      <c r="CJ116" s="214"/>
      <c r="CK116" s="214"/>
      <c r="CL116" s="214"/>
      <c r="CM116" s="214"/>
      <c r="CN116" s="214"/>
      <c r="CO116" s="214"/>
      <c r="CP116" s="214"/>
      <c r="CQ116" s="214"/>
      <c r="CR116" s="214"/>
      <c r="CS116" s="214"/>
      <c r="CT116" s="214"/>
      <c r="CU116" s="214"/>
      <c r="CV116" s="214"/>
      <c r="CW116" s="214"/>
      <c r="CX116" s="214"/>
      <c r="CY116" s="214"/>
      <c r="CZ116" s="214"/>
      <c r="DA116" s="214"/>
      <c r="DB116" s="214"/>
      <c r="DC116" s="214"/>
      <c r="DD116" s="214"/>
      <c r="DE116" s="214"/>
      <c r="DF116" s="214"/>
      <c r="DG116" s="214"/>
      <c r="DH116" s="214"/>
      <c r="DI116" s="214"/>
      <c r="DJ116" s="214"/>
      <c r="DK116" s="214"/>
      <c r="DL116" s="214"/>
      <c r="DM116" s="214"/>
      <c r="DN116" s="214"/>
      <c r="DO116" s="214"/>
      <c r="DP116" s="214"/>
      <c r="DQ116" s="214"/>
      <c r="DR116" s="214"/>
      <c r="DS116" s="214"/>
      <c r="DT116" s="214"/>
      <c r="DU116" s="214"/>
      <c r="DV116" s="214"/>
      <c r="DW116" s="214"/>
      <c r="DX116" s="214"/>
      <c r="DY116" s="214"/>
      <c r="DZ116" s="214"/>
      <c r="EA116" s="214"/>
      <c r="EB116" s="214"/>
      <c r="EC116" s="214"/>
      <c r="ED116" s="214"/>
      <c r="EE116" s="214"/>
      <c r="EF116" s="214"/>
      <c r="EG116" s="214"/>
      <c r="EH116" s="214"/>
      <c r="EI116" s="214"/>
      <c r="EJ116" s="214"/>
      <c r="EK116" s="214"/>
      <c r="EL116" s="214"/>
      <c r="EM116" s="214"/>
      <c r="EN116" s="214"/>
      <c r="EO116" s="214"/>
      <c r="EP116" s="214"/>
      <c r="EQ116" s="214"/>
      <c r="ER116" s="214"/>
      <c r="ES116" s="214"/>
      <c r="ET116" s="214"/>
      <c r="EU116" s="267">
        <f t="shared" si="7"/>
        <v>0</v>
      </c>
      <c r="EV116" s="262">
        <f>EU116/EU117</f>
        <v>0</v>
      </c>
      <c r="EW116"/>
    </row>
    <row r="117" spans="1:153" ht="13.3" thickBot="1" x14ac:dyDescent="0.35">
      <c r="A117" s="85"/>
      <c r="B117" s="89" t="s">
        <v>83</v>
      </c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  <c r="V117" s="214"/>
      <c r="W117" s="214"/>
      <c r="X117" s="214"/>
      <c r="Y117" s="214"/>
      <c r="Z117" s="214"/>
      <c r="AA117" s="214"/>
      <c r="AB117" s="214"/>
      <c r="AC117" s="214"/>
      <c r="AD117" s="214"/>
      <c r="AE117" s="214"/>
      <c r="AF117" s="214"/>
      <c r="AG117" s="214"/>
      <c r="AH117" s="214"/>
      <c r="AI117" s="214"/>
      <c r="AJ117" s="214"/>
      <c r="AK117" s="214"/>
      <c r="AL117" s="214"/>
      <c r="AM117" s="214"/>
      <c r="AN117" s="214"/>
      <c r="AO117" s="214"/>
      <c r="AP117" s="214"/>
      <c r="AQ117" s="214"/>
      <c r="AR117" s="214"/>
      <c r="AS117" s="214"/>
      <c r="AT117" s="214"/>
      <c r="AU117" s="214"/>
      <c r="AV117" s="214"/>
      <c r="AW117" s="214"/>
      <c r="AX117" s="214"/>
      <c r="AY117" s="214"/>
      <c r="AZ117" s="214"/>
      <c r="BA117" s="214"/>
      <c r="BB117" s="214"/>
      <c r="BC117" s="214"/>
      <c r="BD117" s="214"/>
      <c r="BE117" s="214"/>
      <c r="BF117" s="214"/>
      <c r="BG117" s="214"/>
      <c r="BH117" s="214"/>
      <c r="BI117" s="214"/>
      <c r="BJ117" s="214"/>
      <c r="BK117" s="214"/>
      <c r="BL117" s="214"/>
      <c r="BM117" s="214"/>
      <c r="BN117" s="214"/>
      <c r="BO117" s="214"/>
      <c r="BP117" s="214"/>
      <c r="BQ117" s="214"/>
      <c r="BR117" s="214"/>
      <c r="BS117" s="214"/>
      <c r="BT117" s="214"/>
      <c r="BU117" s="214"/>
      <c r="BV117" s="214"/>
      <c r="BW117" s="214"/>
      <c r="BX117" s="214"/>
      <c r="BY117" s="214"/>
      <c r="BZ117" s="214"/>
      <c r="CA117" s="214"/>
      <c r="CB117" s="214"/>
      <c r="CC117" s="214"/>
      <c r="CD117" s="214"/>
      <c r="CE117" s="214"/>
      <c r="CF117" s="214"/>
      <c r="CG117" s="214"/>
      <c r="CH117" s="214"/>
      <c r="CI117" s="214"/>
      <c r="CJ117" s="214"/>
      <c r="CK117" s="214"/>
      <c r="CL117" s="214"/>
      <c r="CM117" s="214"/>
      <c r="CN117" s="214"/>
      <c r="CO117" s="214"/>
      <c r="CP117" s="214"/>
      <c r="CQ117" s="214"/>
      <c r="CR117" s="214"/>
      <c r="CS117" s="214"/>
      <c r="CT117" s="214"/>
      <c r="CU117" s="214"/>
      <c r="CV117" s="214"/>
      <c r="CW117" s="214"/>
      <c r="CX117" s="214"/>
      <c r="CY117" s="214"/>
      <c r="CZ117" s="214"/>
      <c r="DA117" s="214"/>
      <c r="DB117" s="214"/>
      <c r="DC117" s="214"/>
      <c r="DD117" s="214"/>
      <c r="DE117" s="214"/>
      <c r="DF117" s="214"/>
      <c r="DG117" s="214"/>
      <c r="DH117" s="214"/>
      <c r="DI117" s="214"/>
      <c r="DJ117" s="214"/>
      <c r="DK117" s="214"/>
      <c r="DL117" s="214"/>
      <c r="DM117" s="214"/>
      <c r="DN117" s="214"/>
      <c r="DO117" s="214"/>
      <c r="DP117" s="214"/>
      <c r="DQ117" s="214"/>
      <c r="DR117" s="214"/>
      <c r="DS117" s="214"/>
      <c r="DT117" s="214"/>
      <c r="DU117" s="214"/>
      <c r="DV117" s="214"/>
      <c r="DW117" s="214"/>
      <c r="DX117" s="214"/>
      <c r="DY117" s="214"/>
      <c r="DZ117" s="214"/>
      <c r="EA117" s="214"/>
      <c r="EB117" s="214"/>
      <c r="EC117" s="214"/>
      <c r="ED117" s="214"/>
      <c r="EE117" s="214"/>
      <c r="EF117" s="214"/>
      <c r="EG117" s="214"/>
      <c r="EH117" s="214"/>
      <c r="EI117" s="214"/>
      <c r="EJ117" s="214"/>
      <c r="EK117" s="214"/>
      <c r="EL117" s="214"/>
      <c r="EM117" s="214"/>
      <c r="EN117" s="214"/>
      <c r="EO117" s="214"/>
      <c r="EP117" s="214"/>
      <c r="EQ117" s="214"/>
      <c r="ER117" s="214"/>
      <c r="ES117" s="214"/>
      <c r="ET117" s="214"/>
      <c r="EU117" s="269">
        <f t="shared" si="7"/>
        <v>24427930.149999999</v>
      </c>
      <c r="EV117" s="270">
        <f>EU117/EU117</f>
        <v>1</v>
      </c>
      <c r="EW117"/>
    </row>
    <row r="118" spans="1:153" x14ac:dyDescent="0.3">
      <c r="A118" s="85"/>
      <c r="B118" s="86" t="s">
        <v>88</v>
      </c>
      <c r="C118" s="214"/>
      <c r="D118" s="214"/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  <c r="X118" s="214"/>
      <c r="Y118" s="214"/>
      <c r="Z118" s="214"/>
      <c r="AA118" s="214"/>
      <c r="AB118" s="214"/>
      <c r="AC118" s="214"/>
      <c r="AD118" s="214"/>
      <c r="AE118" s="214"/>
      <c r="AF118" s="214"/>
      <c r="AG118" s="214"/>
      <c r="AH118" s="214"/>
      <c r="AI118" s="214"/>
      <c r="AJ118" s="214"/>
      <c r="AK118" s="214"/>
      <c r="AL118" s="214"/>
      <c r="AM118" s="214"/>
      <c r="AN118" s="214"/>
      <c r="AO118" s="214"/>
      <c r="AP118" s="214"/>
      <c r="AQ118" s="214"/>
      <c r="AR118" s="214"/>
      <c r="AS118" s="214"/>
      <c r="AT118" s="214"/>
      <c r="AU118" s="214"/>
      <c r="AV118" s="214"/>
      <c r="AW118" s="214"/>
      <c r="AX118" s="214"/>
      <c r="AY118" s="214"/>
      <c r="AZ118" s="214"/>
      <c r="BA118" s="214"/>
      <c r="BB118" s="214"/>
      <c r="BC118" s="214"/>
      <c r="BD118" s="214"/>
      <c r="BE118" s="214"/>
      <c r="BF118" s="214"/>
      <c r="BG118" s="214"/>
      <c r="BH118" s="214"/>
      <c r="BI118" s="214"/>
      <c r="BJ118" s="214"/>
      <c r="BK118" s="214"/>
      <c r="BL118" s="214"/>
      <c r="BM118" s="214"/>
      <c r="BN118" s="214"/>
      <c r="BO118" s="214"/>
      <c r="BP118" s="214"/>
      <c r="BQ118" s="214"/>
      <c r="BR118" s="214"/>
      <c r="BS118" s="214"/>
      <c r="BT118" s="214"/>
      <c r="BU118" s="214"/>
      <c r="BV118" s="214"/>
      <c r="BW118" s="214"/>
      <c r="BX118" s="214"/>
      <c r="BY118" s="214"/>
      <c r="BZ118" s="214"/>
      <c r="CA118" s="214"/>
      <c r="CB118" s="214"/>
      <c r="CC118" s="214"/>
      <c r="CD118" s="214"/>
      <c r="CE118" s="214"/>
      <c r="CF118" s="214"/>
      <c r="CG118" s="214"/>
      <c r="CH118" s="214"/>
      <c r="CI118" s="214"/>
      <c r="CJ118" s="214"/>
      <c r="CK118" s="214"/>
      <c r="CL118" s="214"/>
      <c r="CM118" s="214"/>
      <c r="CN118" s="214"/>
      <c r="CO118" s="214"/>
      <c r="CP118" s="214"/>
      <c r="CQ118" s="214"/>
      <c r="CR118" s="214"/>
      <c r="CS118" s="214"/>
      <c r="CT118" s="214"/>
      <c r="CU118" s="214"/>
      <c r="CV118" s="214"/>
      <c r="CW118" s="214"/>
      <c r="CX118" s="214"/>
      <c r="CY118" s="214"/>
      <c r="CZ118" s="214"/>
      <c r="DA118" s="214"/>
      <c r="DB118" s="214"/>
      <c r="DC118" s="214"/>
      <c r="DD118" s="214"/>
      <c r="DE118" s="214"/>
      <c r="DF118" s="214"/>
      <c r="DG118" s="214"/>
      <c r="DH118" s="214"/>
      <c r="DI118" s="214"/>
      <c r="DJ118" s="214"/>
      <c r="DK118" s="214"/>
      <c r="DL118" s="214"/>
      <c r="DM118" s="214"/>
      <c r="DN118" s="214"/>
      <c r="DO118" s="214"/>
      <c r="DP118" s="214"/>
      <c r="DQ118" s="214"/>
      <c r="DR118" s="214"/>
      <c r="DS118" s="214"/>
      <c r="DT118" s="214"/>
      <c r="DU118" s="214"/>
      <c r="DV118" s="214"/>
      <c r="DW118" s="214"/>
      <c r="DX118" s="214"/>
      <c r="DY118" s="214"/>
      <c r="DZ118" s="214"/>
      <c r="EA118" s="214"/>
      <c r="EB118" s="214"/>
      <c r="EC118" s="214"/>
      <c r="ED118" s="214"/>
      <c r="EE118" s="214"/>
      <c r="EF118" s="214"/>
      <c r="EG118" s="214"/>
      <c r="EH118" s="214"/>
      <c r="EI118" s="214"/>
      <c r="EJ118" s="214"/>
      <c r="EK118" s="214"/>
      <c r="EL118" s="214"/>
      <c r="EM118" s="214"/>
      <c r="EN118" s="214"/>
      <c r="EO118" s="214"/>
      <c r="EP118" s="214"/>
      <c r="EQ118" s="214"/>
      <c r="ER118" s="214"/>
      <c r="ES118" s="214"/>
      <c r="ET118" s="214"/>
      <c r="EU118" s="266">
        <f t="shared" si="7"/>
        <v>7280554.9550000001</v>
      </c>
      <c r="EV118" s="262"/>
      <c r="EW118"/>
    </row>
    <row r="119" spans="1:153" x14ac:dyDescent="0.3">
      <c r="A119" s="85"/>
      <c r="B119" s="86" t="s">
        <v>71</v>
      </c>
      <c r="C119" s="214"/>
      <c r="D119" s="214"/>
      <c r="E119" s="214"/>
      <c r="F119" s="214"/>
      <c r="G119" s="214"/>
      <c r="H119" s="214"/>
      <c r="I119" s="214"/>
      <c r="J119" s="214"/>
      <c r="K119" s="214"/>
      <c r="L119" s="214"/>
      <c r="M119" s="214"/>
      <c r="N119" s="214"/>
      <c r="O119" s="214"/>
      <c r="P119" s="214"/>
      <c r="Q119" s="214"/>
      <c r="R119" s="214"/>
      <c r="S119" s="214"/>
      <c r="T119" s="214"/>
      <c r="U119" s="214"/>
      <c r="V119" s="214"/>
      <c r="W119" s="214"/>
      <c r="X119" s="214"/>
      <c r="Y119" s="214"/>
      <c r="Z119" s="214"/>
      <c r="AA119" s="214"/>
      <c r="AB119" s="214"/>
      <c r="AC119" s="214"/>
      <c r="AD119" s="214"/>
      <c r="AE119" s="214"/>
      <c r="AF119" s="214"/>
      <c r="AG119" s="214"/>
      <c r="AH119" s="214"/>
      <c r="AI119" s="214"/>
      <c r="AJ119" s="214"/>
      <c r="AK119" s="214"/>
      <c r="AL119" s="214"/>
      <c r="AM119" s="214"/>
      <c r="AN119" s="214"/>
      <c r="AO119" s="214"/>
      <c r="AP119" s="214"/>
      <c r="AQ119" s="214"/>
      <c r="AR119" s="214"/>
      <c r="AS119" s="214"/>
      <c r="AT119" s="214"/>
      <c r="AU119" s="214"/>
      <c r="AV119" s="214"/>
      <c r="AW119" s="214"/>
      <c r="AX119" s="214"/>
      <c r="AY119" s="214"/>
      <c r="AZ119" s="214"/>
      <c r="BA119" s="214"/>
      <c r="BB119" s="214"/>
      <c r="BC119" s="214"/>
      <c r="BD119" s="214"/>
      <c r="BE119" s="214"/>
      <c r="BF119" s="214"/>
      <c r="BG119" s="214"/>
      <c r="BH119" s="214"/>
      <c r="BI119" s="214"/>
      <c r="BJ119" s="214"/>
      <c r="BK119" s="214"/>
      <c r="BL119" s="214"/>
      <c r="BM119" s="214"/>
      <c r="BN119" s="214"/>
      <c r="BO119" s="214"/>
      <c r="BP119" s="214"/>
      <c r="BQ119" s="214"/>
      <c r="BR119" s="214"/>
      <c r="BS119" s="214"/>
      <c r="BT119" s="214"/>
      <c r="BU119" s="214"/>
      <c r="BV119" s="214"/>
      <c r="BW119" s="214"/>
      <c r="BX119" s="214"/>
      <c r="BY119" s="214"/>
      <c r="BZ119" s="214"/>
      <c r="CA119" s="214"/>
      <c r="CB119" s="214"/>
      <c r="CC119" s="214"/>
      <c r="CD119" s="214"/>
      <c r="CE119" s="214"/>
      <c r="CF119" s="214"/>
      <c r="CG119" s="214"/>
      <c r="CH119" s="214"/>
      <c r="CI119" s="214"/>
      <c r="CJ119" s="214"/>
      <c r="CK119" s="214"/>
      <c r="CL119" s="214"/>
      <c r="CM119" s="214"/>
      <c r="CN119" s="214"/>
      <c r="CO119" s="214"/>
      <c r="CP119" s="214"/>
      <c r="CQ119" s="214"/>
      <c r="CR119" s="214"/>
      <c r="CS119" s="214"/>
      <c r="CT119" s="214"/>
      <c r="CU119" s="214"/>
      <c r="CV119" s="214"/>
      <c r="CW119" s="214"/>
      <c r="CX119" s="214"/>
      <c r="CY119" s="214"/>
      <c r="CZ119" s="214"/>
      <c r="DA119" s="214"/>
      <c r="DB119" s="214"/>
      <c r="DC119" s="214"/>
      <c r="DD119" s="214"/>
      <c r="DE119" s="214"/>
      <c r="DF119" s="214"/>
      <c r="DG119" s="214"/>
      <c r="DH119" s="214"/>
      <c r="DI119" s="214"/>
      <c r="DJ119" s="214"/>
      <c r="DK119" s="214"/>
      <c r="DL119" s="214"/>
      <c r="DM119" s="214"/>
      <c r="DN119" s="214"/>
      <c r="DO119" s="214"/>
      <c r="DP119" s="214"/>
      <c r="DQ119" s="214"/>
      <c r="DR119" s="214"/>
      <c r="DS119" s="214"/>
      <c r="DT119" s="214"/>
      <c r="DU119" s="214"/>
      <c r="DV119" s="214"/>
      <c r="DW119" s="214"/>
      <c r="DX119" s="214"/>
      <c r="DY119" s="214"/>
      <c r="DZ119" s="214"/>
      <c r="EA119" s="214"/>
      <c r="EB119" s="214"/>
      <c r="EC119" s="214"/>
      <c r="ED119" s="214"/>
      <c r="EE119" s="214"/>
      <c r="EF119" s="214"/>
      <c r="EG119" s="214"/>
      <c r="EH119" s="214"/>
      <c r="EI119" s="214"/>
      <c r="EJ119" s="214"/>
      <c r="EK119" s="214"/>
      <c r="EL119" s="214"/>
      <c r="EM119" s="214"/>
      <c r="EN119" s="214"/>
      <c r="EO119" s="214"/>
      <c r="EP119" s="214"/>
      <c r="EQ119" s="214"/>
      <c r="ER119" s="214"/>
      <c r="ES119" s="214"/>
      <c r="ET119" s="214"/>
      <c r="EU119" s="267">
        <f t="shared" si="7"/>
        <v>3583307.9299999997</v>
      </c>
      <c r="EV119" s="262"/>
      <c r="EW119"/>
    </row>
    <row r="120" spans="1:153" ht="13.3" thickBot="1" x14ac:dyDescent="0.35">
      <c r="A120" s="90"/>
      <c r="B120" s="91" t="s">
        <v>84</v>
      </c>
      <c r="C120" s="214"/>
      <c r="D120" s="214"/>
      <c r="E120" s="214"/>
      <c r="F120" s="214"/>
      <c r="G120" s="214"/>
      <c r="H120" s="214"/>
      <c r="I120" s="214"/>
      <c r="J120" s="214"/>
      <c r="K120" s="214"/>
      <c r="L120" s="214"/>
      <c r="M120" s="214"/>
      <c r="N120" s="214"/>
      <c r="O120" s="214"/>
      <c r="P120" s="214"/>
      <c r="Q120" s="214"/>
      <c r="R120" s="214"/>
      <c r="S120" s="214"/>
      <c r="T120" s="214"/>
      <c r="U120" s="214"/>
      <c r="V120" s="214"/>
      <c r="W120" s="214"/>
      <c r="X120" s="214"/>
      <c r="Y120" s="214"/>
      <c r="Z120" s="214"/>
      <c r="AA120" s="214"/>
      <c r="AB120" s="214"/>
      <c r="AC120" s="214"/>
      <c r="AD120" s="214"/>
      <c r="AE120" s="214"/>
      <c r="AF120" s="214"/>
      <c r="AG120" s="214"/>
      <c r="AH120" s="214"/>
      <c r="AI120" s="214"/>
      <c r="AJ120" s="214"/>
      <c r="AK120" s="214"/>
      <c r="AL120" s="214"/>
      <c r="AM120" s="214"/>
      <c r="AN120" s="214"/>
      <c r="AO120" s="214"/>
      <c r="AP120" s="214"/>
      <c r="AQ120" s="214"/>
      <c r="AR120" s="214"/>
      <c r="AS120" s="214"/>
      <c r="AT120" s="214"/>
      <c r="AU120" s="214"/>
      <c r="AV120" s="214"/>
      <c r="AW120" s="214"/>
      <c r="AX120" s="214"/>
      <c r="AY120" s="214"/>
      <c r="AZ120" s="214"/>
      <c r="BA120" s="214"/>
      <c r="BB120" s="214"/>
      <c r="BC120" s="214"/>
      <c r="BD120" s="214"/>
      <c r="BE120" s="214"/>
      <c r="BF120" s="214"/>
      <c r="BG120" s="214"/>
      <c r="BH120" s="214"/>
      <c r="BI120" s="214"/>
      <c r="BJ120" s="214"/>
      <c r="BK120" s="214"/>
      <c r="BL120" s="214"/>
      <c r="BM120" s="214"/>
      <c r="BN120" s="214"/>
      <c r="BO120" s="214"/>
      <c r="BP120" s="214"/>
      <c r="BQ120" s="214"/>
      <c r="BR120" s="214"/>
      <c r="BS120" s="214"/>
      <c r="BT120" s="214"/>
      <c r="BU120" s="214"/>
      <c r="BV120" s="214"/>
      <c r="BW120" s="214"/>
      <c r="BX120" s="214"/>
      <c r="BY120" s="214"/>
      <c r="BZ120" s="214"/>
      <c r="CA120" s="214"/>
      <c r="CB120" s="214"/>
      <c r="CC120" s="214"/>
      <c r="CD120" s="214"/>
      <c r="CE120" s="214"/>
      <c r="CF120" s="214"/>
      <c r="CG120" s="214"/>
      <c r="CH120" s="214"/>
      <c r="CI120" s="214"/>
      <c r="CJ120" s="214"/>
      <c r="CK120" s="214"/>
      <c r="CL120" s="214"/>
      <c r="CM120" s="214"/>
      <c r="CN120" s="214"/>
      <c r="CO120" s="214"/>
      <c r="CP120" s="214"/>
      <c r="CQ120" s="214"/>
      <c r="CR120" s="214"/>
      <c r="CS120" s="214"/>
      <c r="CT120" s="214"/>
      <c r="CU120" s="214"/>
      <c r="CV120" s="214"/>
      <c r="CW120" s="214"/>
      <c r="CX120" s="214"/>
      <c r="CY120" s="214"/>
      <c r="CZ120" s="214"/>
      <c r="DA120" s="214"/>
      <c r="DB120" s="214"/>
      <c r="DC120" s="214"/>
      <c r="DD120" s="214"/>
      <c r="DE120" s="214"/>
      <c r="DF120" s="214"/>
      <c r="DG120" s="214"/>
      <c r="DH120" s="214"/>
      <c r="DI120" s="214"/>
      <c r="DJ120" s="214"/>
      <c r="DK120" s="214"/>
      <c r="DL120" s="214"/>
      <c r="DM120" s="214"/>
      <c r="DN120" s="214"/>
      <c r="DO120" s="214"/>
      <c r="DP120" s="214"/>
      <c r="DQ120" s="214"/>
      <c r="DR120" s="214"/>
      <c r="DS120" s="214"/>
      <c r="DT120" s="214"/>
      <c r="DU120" s="214"/>
      <c r="DV120" s="214"/>
      <c r="DW120" s="214"/>
      <c r="DX120" s="214"/>
      <c r="DY120" s="214"/>
      <c r="DZ120" s="214"/>
      <c r="EA120" s="214"/>
      <c r="EB120" s="214"/>
      <c r="EC120" s="214"/>
      <c r="ED120" s="214"/>
      <c r="EE120" s="214"/>
      <c r="EF120" s="214"/>
      <c r="EG120" s="214"/>
      <c r="EH120" s="214"/>
      <c r="EI120" s="214"/>
      <c r="EJ120" s="214"/>
      <c r="EK120" s="214"/>
      <c r="EL120" s="214"/>
      <c r="EM120" s="214"/>
      <c r="EN120" s="214"/>
      <c r="EO120" s="214"/>
      <c r="EP120" s="214"/>
      <c r="EQ120" s="214"/>
      <c r="ER120" s="214"/>
      <c r="ES120" s="214"/>
      <c r="ET120" s="214"/>
      <c r="EU120" s="271">
        <f t="shared" si="7"/>
        <v>35291792.534999996</v>
      </c>
      <c r="EV120" s="265"/>
      <c r="EW120"/>
    </row>
    <row r="121" spans="1:153" x14ac:dyDescent="0.3">
      <c r="C121" s="214"/>
      <c r="D121" s="214"/>
      <c r="E121" s="214"/>
      <c r="F121" s="214"/>
      <c r="G121" s="214"/>
      <c r="H121" s="214"/>
      <c r="I121" s="214"/>
      <c r="J121" s="214"/>
      <c r="K121" s="214"/>
      <c r="L121" s="214"/>
      <c r="M121" s="214"/>
      <c r="N121" s="214"/>
      <c r="O121" s="214"/>
      <c r="P121" s="214"/>
      <c r="Q121" s="214"/>
      <c r="R121" s="214"/>
      <c r="S121" s="214"/>
      <c r="T121" s="214"/>
      <c r="U121" s="214"/>
      <c r="V121" s="214"/>
      <c r="W121" s="214"/>
      <c r="X121" s="214"/>
      <c r="Y121" s="214"/>
      <c r="Z121" s="214"/>
      <c r="AA121" s="214"/>
      <c r="AB121" s="214"/>
      <c r="AC121" s="214"/>
      <c r="AD121" s="214"/>
      <c r="AE121" s="214"/>
      <c r="AF121" s="214"/>
      <c r="AG121" s="214"/>
      <c r="AH121" s="214"/>
      <c r="AI121" s="214"/>
      <c r="AJ121" s="214"/>
      <c r="AK121" s="214"/>
      <c r="AL121" s="214"/>
      <c r="AM121" s="214"/>
      <c r="AN121" s="214"/>
      <c r="AO121" s="214"/>
      <c r="AP121" s="214"/>
      <c r="AQ121" s="214"/>
      <c r="AR121" s="214"/>
      <c r="AS121" s="214"/>
      <c r="AT121" s="214"/>
      <c r="AU121" s="214"/>
      <c r="AV121" s="214"/>
      <c r="AW121" s="214"/>
      <c r="AX121" s="214"/>
      <c r="AY121" s="214"/>
      <c r="AZ121" s="214"/>
      <c r="BA121" s="214"/>
      <c r="BB121" s="214"/>
      <c r="BC121" s="214"/>
      <c r="BD121" s="214"/>
      <c r="BE121" s="214"/>
      <c r="BF121" s="214"/>
      <c r="BG121" s="214"/>
      <c r="BH121" s="214"/>
      <c r="BI121" s="214"/>
      <c r="BJ121" s="214"/>
      <c r="BK121" s="214"/>
      <c r="BL121" s="214"/>
      <c r="BM121" s="214"/>
      <c r="BN121" s="214"/>
      <c r="BO121" s="214"/>
      <c r="BP121" s="214"/>
      <c r="BQ121" s="214"/>
      <c r="BR121" s="214"/>
      <c r="BS121" s="214"/>
      <c r="BT121" s="214"/>
      <c r="BU121" s="214"/>
      <c r="BV121" s="214"/>
      <c r="BW121" s="214"/>
      <c r="BX121" s="214"/>
      <c r="BY121" s="214"/>
      <c r="BZ121" s="214"/>
      <c r="CA121" s="214"/>
      <c r="CB121" s="214"/>
      <c r="CC121" s="214"/>
      <c r="CD121" s="214"/>
      <c r="CE121" s="214"/>
      <c r="CF121" s="214"/>
      <c r="CG121" s="214"/>
      <c r="CH121" s="214"/>
      <c r="CI121" s="214"/>
      <c r="CJ121" s="214"/>
      <c r="CK121" s="214"/>
      <c r="CL121" s="214"/>
      <c r="CM121" s="214"/>
      <c r="CN121" s="214"/>
      <c r="CO121" s="214"/>
      <c r="CP121" s="214"/>
      <c r="CQ121" s="214"/>
      <c r="CR121" s="214"/>
      <c r="CS121" s="214"/>
      <c r="CT121" s="214"/>
      <c r="CU121" s="214"/>
      <c r="CV121" s="214"/>
      <c r="CW121" s="214"/>
      <c r="CX121" s="214"/>
      <c r="CY121" s="214"/>
      <c r="CZ121" s="214"/>
      <c r="DA121" s="214"/>
      <c r="DB121" s="214"/>
      <c r="DC121" s="214"/>
      <c r="DD121" s="214"/>
      <c r="DE121" s="214"/>
      <c r="DF121" s="214"/>
      <c r="DG121" s="214"/>
      <c r="DH121" s="214"/>
      <c r="DI121" s="214"/>
      <c r="DJ121" s="214"/>
      <c r="DK121" s="214"/>
      <c r="DL121" s="214"/>
      <c r="DM121" s="214"/>
      <c r="DN121" s="214"/>
      <c r="DO121" s="214"/>
      <c r="DP121" s="214"/>
      <c r="DQ121" s="214"/>
      <c r="DR121" s="214"/>
      <c r="DS121" s="214"/>
      <c r="DT121" s="214"/>
      <c r="DU121" s="214"/>
      <c r="DV121" s="214"/>
      <c r="DW121" s="214"/>
      <c r="DX121" s="214"/>
      <c r="DY121" s="214"/>
      <c r="DZ121" s="214"/>
      <c r="EA121" s="214"/>
      <c r="EB121" s="214"/>
      <c r="EC121" s="214"/>
      <c r="ED121" s="214"/>
      <c r="EE121" s="214"/>
      <c r="EF121" s="214"/>
      <c r="EG121" s="214"/>
      <c r="EH121" s="214"/>
      <c r="EI121" s="214"/>
      <c r="EJ121" s="214"/>
      <c r="EK121" s="214"/>
      <c r="EL121" s="214"/>
      <c r="EM121" s="214"/>
      <c r="EN121" s="214"/>
      <c r="EO121" s="214"/>
      <c r="EP121" s="214"/>
      <c r="EQ121" s="214"/>
      <c r="ER121" s="214"/>
      <c r="ES121" s="214"/>
      <c r="ET121" s="214"/>
      <c r="EW121"/>
    </row>
    <row r="122" spans="1:153" x14ac:dyDescent="0.3">
      <c r="C122" s="214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14"/>
      <c r="W122" s="214"/>
      <c r="X122" s="214"/>
      <c r="Y122" s="214"/>
      <c r="Z122" s="214"/>
      <c r="AA122" s="214"/>
      <c r="AB122" s="214"/>
      <c r="AC122" s="214"/>
      <c r="AD122" s="214"/>
      <c r="AE122" s="214"/>
      <c r="AF122" s="214"/>
      <c r="AG122" s="214"/>
      <c r="AH122" s="214"/>
      <c r="AI122" s="214"/>
      <c r="AJ122" s="214"/>
      <c r="AK122" s="214"/>
      <c r="AL122" s="214"/>
      <c r="AM122" s="214"/>
      <c r="AN122" s="214"/>
      <c r="AO122" s="214"/>
      <c r="AP122" s="214"/>
      <c r="AQ122" s="214"/>
      <c r="AR122" s="214"/>
      <c r="AS122" s="214"/>
      <c r="AT122" s="214"/>
      <c r="AU122" s="214"/>
      <c r="AV122" s="214"/>
      <c r="AW122" s="214"/>
      <c r="AX122" s="214"/>
      <c r="AY122" s="214"/>
      <c r="AZ122" s="214"/>
      <c r="BA122" s="214"/>
      <c r="BB122" s="214"/>
      <c r="BC122" s="214"/>
      <c r="BD122" s="214"/>
      <c r="BE122" s="214"/>
      <c r="BF122" s="214"/>
      <c r="BG122" s="214"/>
      <c r="BH122" s="214"/>
      <c r="BI122" s="214"/>
      <c r="BJ122" s="214"/>
      <c r="BK122" s="214"/>
      <c r="BL122" s="214"/>
      <c r="BM122" s="214"/>
      <c r="BN122" s="214"/>
      <c r="BO122" s="214"/>
      <c r="BP122" s="214"/>
      <c r="BQ122" s="214"/>
      <c r="BR122" s="214"/>
      <c r="BS122" s="214"/>
      <c r="BT122" s="214"/>
      <c r="BU122" s="214"/>
      <c r="BV122" s="214"/>
      <c r="BW122" s="214"/>
      <c r="BX122" s="214"/>
      <c r="BY122" s="214"/>
      <c r="BZ122" s="214"/>
      <c r="CA122" s="214"/>
      <c r="CB122" s="214"/>
      <c r="CC122" s="214"/>
      <c r="CD122" s="214"/>
      <c r="CE122" s="214"/>
      <c r="CF122" s="214"/>
      <c r="CG122" s="214"/>
      <c r="CH122" s="214"/>
      <c r="CI122" s="214"/>
      <c r="CJ122" s="214"/>
      <c r="CK122" s="214"/>
      <c r="CL122" s="214"/>
      <c r="CM122" s="214"/>
      <c r="CN122" s="214"/>
      <c r="CO122" s="214"/>
      <c r="CP122" s="214"/>
      <c r="CQ122" s="214"/>
      <c r="CR122" s="214"/>
      <c r="CS122" s="214"/>
      <c r="CT122" s="214"/>
      <c r="CU122" s="214"/>
      <c r="CV122" s="214"/>
      <c r="CW122" s="214"/>
      <c r="CX122" s="214"/>
      <c r="CY122" s="214"/>
      <c r="CZ122" s="214"/>
      <c r="DA122" s="214"/>
      <c r="DB122" s="214"/>
      <c r="DC122" s="214"/>
      <c r="DD122" s="214"/>
      <c r="DE122" s="214"/>
      <c r="DF122" s="214"/>
      <c r="DG122" s="214"/>
      <c r="DH122" s="214"/>
      <c r="DI122" s="214"/>
      <c r="DJ122" s="214"/>
      <c r="DK122" s="214"/>
      <c r="DL122" s="214"/>
      <c r="DM122" s="214"/>
      <c r="DN122" s="214"/>
      <c r="DO122" s="214"/>
      <c r="DP122" s="214"/>
      <c r="DQ122" s="214"/>
      <c r="DR122" s="214"/>
      <c r="DS122" s="214"/>
      <c r="DT122" s="214"/>
      <c r="DU122" s="214"/>
      <c r="DV122" s="214"/>
      <c r="DW122" s="214"/>
      <c r="DX122" s="214"/>
      <c r="DY122" s="214"/>
      <c r="DZ122" s="214"/>
      <c r="EA122" s="214"/>
      <c r="EB122" s="214"/>
      <c r="EC122" s="214"/>
      <c r="ED122" s="214"/>
      <c r="EE122" s="214"/>
      <c r="EF122" s="214"/>
      <c r="EG122" s="214"/>
      <c r="EH122" s="214"/>
      <c r="EI122" s="214"/>
      <c r="EJ122" s="214"/>
      <c r="EK122" s="214"/>
      <c r="EL122" s="214"/>
      <c r="EM122" s="214"/>
      <c r="EN122" s="214"/>
      <c r="EO122" s="214"/>
      <c r="EP122" s="214"/>
      <c r="EQ122" s="214"/>
      <c r="ER122" s="214"/>
      <c r="ES122" s="214"/>
      <c r="ET122" s="214"/>
      <c r="EW122"/>
    </row>
    <row r="123" spans="1:153" x14ac:dyDescent="0.3">
      <c r="C123" s="214"/>
      <c r="D123" s="214"/>
      <c r="E123" s="214"/>
      <c r="F123" s="214"/>
      <c r="G123" s="214"/>
      <c r="H123" s="214"/>
      <c r="I123" s="214"/>
      <c r="J123" s="214"/>
      <c r="K123" s="214"/>
      <c r="L123" s="214"/>
      <c r="M123" s="214"/>
      <c r="N123" s="214"/>
      <c r="O123" s="214"/>
      <c r="P123" s="214"/>
      <c r="Q123" s="214"/>
      <c r="R123" s="214"/>
      <c r="S123" s="214"/>
      <c r="T123" s="214"/>
      <c r="U123" s="214"/>
      <c r="V123" s="214"/>
      <c r="W123" s="214"/>
      <c r="X123" s="214"/>
      <c r="Y123" s="214"/>
      <c r="Z123" s="214"/>
      <c r="AA123" s="214"/>
      <c r="AB123" s="214"/>
      <c r="AC123" s="214"/>
      <c r="AD123" s="214"/>
      <c r="AE123" s="214"/>
      <c r="AF123" s="214"/>
      <c r="AG123" s="214"/>
      <c r="AH123" s="214"/>
      <c r="AI123" s="214"/>
      <c r="AJ123" s="214"/>
      <c r="AK123" s="214"/>
      <c r="AL123" s="214"/>
      <c r="AM123" s="214"/>
      <c r="AN123" s="214"/>
      <c r="AO123" s="214"/>
      <c r="AP123" s="214"/>
      <c r="AQ123" s="214"/>
      <c r="AR123" s="214"/>
      <c r="AS123" s="214"/>
      <c r="AT123" s="214"/>
      <c r="AU123" s="214"/>
      <c r="AV123" s="214"/>
      <c r="AW123" s="214"/>
      <c r="AX123" s="214"/>
      <c r="AY123" s="214"/>
      <c r="AZ123" s="214"/>
      <c r="BA123" s="214"/>
      <c r="BB123" s="214"/>
      <c r="BC123" s="214"/>
      <c r="BD123" s="214"/>
      <c r="BE123" s="214"/>
      <c r="BF123" s="214"/>
      <c r="BG123" s="214"/>
      <c r="BH123" s="214"/>
      <c r="BI123" s="214"/>
      <c r="BJ123" s="214"/>
      <c r="BK123" s="214"/>
      <c r="BL123" s="214"/>
      <c r="BM123" s="214"/>
      <c r="BN123" s="214"/>
      <c r="BO123" s="214"/>
      <c r="BP123" s="214"/>
      <c r="BQ123" s="214"/>
      <c r="BR123" s="214"/>
      <c r="BS123" s="214"/>
      <c r="BT123" s="214"/>
      <c r="BU123" s="214"/>
      <c r="BV123" s="214"/>
      <c r="BW123" s="214"/>
      <c r="BX123" s="214"/>
      <c r="BY123" s="214"/>
      <c r="BZ123" s="214"/>
      <c r="CA123" s="214"/>
      <c r="CB123" s="214"/>
      <c r="CC123" s="214"/>
      <c r="CD123" s="214"/>
      <c r="CE123" s="214"/>
      <c r="CF123" s="214"/>
      <c r="CG123" s="214"/>
      <c r="CH123" s="214"/>
      <c r="CI123" s="214"/>
      <c r="CJ123" s="214"/>
      <c r="CK123" s="214"/>
      <c r="CL123" s="214"/>
      <c r="CM123" s="214"/>
      <c r="CN123" s="214"/>
      <c r="CO123" s="214"/>
      <c r="CP123" s="214"/>
      <c r="CQ123" s="214"/>
      <c r="CR123" s="214"/>
      <c r="CS123" s="214"/>
      <c r="CT123" s="214"/>
      <c r="CU123" s="214"/>
      <c r="CV123" s="214"/>
      <c r="CW123" s="214"/>
      <c r="CX123" s="214"/>
      <c r="CY123" s="214"/>
      <c r="CZ123" s="214"/>
      <c r="DA123" s="214"/>
      <c r="DB123" s="214"/>
      <c r="DC123" s="214"/>
      <c r="DD123" s="214"/>
      <c r="DE123" s="214"/>
      <c r="DF123" s="214"/>
      <c r="DG123" s="214"/>
      <c r="DH123" s="214"/>
      <c r="DI123" s="214"/>
      <c r="DJ123" s="214"/>
      <c r="DK123" s="214"/>
      <c r="DL123" s="214"/>
      <c r="DM123" s="214"/>
      <c r="DN123" s="214"/>
      <c r="DO123" s="214"/>
      <c r="DP123" s="214"/>
      <c r="DQ123" s="214"/>
      <c r="DR123" s="214"/>
      <c r="DS123" s="214"/>
      <c r="DT123" s="214"/>
      <c r="DU123" s="214"/>
      <c r="DV123" s="214"/>
      <c r="DW123" s="214"/>
      <c r="DX123" s="214"/>
      <c r="DY123" s="214"/>
      <c r="DZ123" s="214"/>
      <c r="EA123" s="214"/>
      <c r="EB123" s="214"/>
      <c r="EC123" s="214"/>
      <c r="ED123" s="214"/>
      <c r="EE123" s="214"/>
      <c r="EF123" s="214"/>
      <c r="EG123" s="214"/>
      <c r="EH123" s="214"/>
      <c r="EI123" s="214"/>
      <c r="EJ123" s="214"/>
      <c r="EK123" s="214"/>
      <c r="EL123" s="214"/>
      <c r="EM123" s="214"/>
      <c r="EN123" s="214"/>
      <c r="EO123" s="214"/>
      <c r="EP123" s="214"/>
      <c r="EQ123" s="214"/>
      <c r="ER123" s="214"/>
      <c r="ES123" s="214"/>
      <c r="ET123" s="214"/>
      <c r="EW123"/>
    </row>
    <row r="124" spans="1:153" x14ac:dyDescent="0.3">
      <c r="C124" s="214"/>
      <c r="D124" s="214"/>
      <c r="E124" s="214"/>
      <c r="F124" s="214"/>
      <c r="G124" s="214"/>
      <c r="H124" s="214"/>
      <c r="I124" s="214"/>
      <c r="J124" s="214"/>
      <c r="K124" s="214"/>
      <c r="L124" s="214"/>
      <c r="M124" s="214"/>
      <c r="N124" s="214"/>
      <c r="O124" s="214"/>
      <c r="P124" s="214"/>
      <c r="Q124" s="214"/>
      <c r="R124" s="214"/>
      <c r="S124" s="214"/>
      <c r="T124" s="214"/>
      <c r="U124" s="214"/>
      <c r="V124" s="214"/>
      <c r="W124" s="214"/>
      <c r="X124" s="214"/>
      <c r="Y124" s="214"/>
      <c r="Z124" s="214"/>
      <c r="AA124" s="214"/>
      <c r="AB124" s="214"/>
      <c r="AC124" s="214"/>
      <c r="AD124" s="214"/>
      <c r="AE124" s="214"/>
      <c r="AF124" s="214"/>
      <c r="AG124" s="214"/>
      <c r="AH124" s="214"/>
      <c r="AI124" s="214"/>
      <c r="AJ124" s="214"/>
      <c r="AK124" s="214"/>
      <c r="AL124" s="214"/>
      <c r="AM124" s="214"/>
      <c r="AN124" s="214"/>
      <c r="AO124" s="214"/>
      <c r="AP124" s="214"/>
      <c r="AQ124" s="214"/>
      <c r="AR124" s="214"/>
      <c r="AS124" s="214"/>
      <c r="AT124" s="214"/>
      <c r="AU124" s="214"/>
      <c r="AV124" s="214"/>
      <c r="AW124" s="214"/>
      <c r="AX124" s="214"/>
      <c r="AY124" s="214"/>
      <c r="AZ124" s="214"/>
      <c r="BA124" s="214"/>
      <c r="BB124" s="214"/>
      <c r="BC124" s="214"/>
      <c r="BD124" s="214"/>
      <c r="BE124" s="214"/>
      <c r="BF124" s="214"/>
      <c r="BG124" s="214"/>
      <c r="BH124" s="214"/>
      <c r="BI124" s="214"/>
      <c r="BJ124" s="214"/>
      <c r="BK124" s="214"/>
      <c r="BL124" s="214"/>
      <c r="BM124" s="214"/>
      <c r="BN124" s="214"/>
      <c r="BO124" s="214"/>
      <c r="BP124" s="214"/>
      <c r="BQ124" s="214"/>
      <c r="BR124" s="214"/>
      <c r="BS124" s="214"/>
      <c r="BT124" s="214"/>
      <c r="BU124" s="214"/>
      <c r="BV124" s="214"/>
      <c r="BW124" s="214"/>
      <c r="BX124" s="214"/>
      <c r="BY124" s="214"/>
      <c r="BZ124" s="214"/>
      <c r="CA124" s="214"/>
      <c r="CB124" s="214"/>
      <c r="CC124" s="214"/>
      <c r="CD124" s="214"/>
      <c r="CE124" s="214"/>
      <c r="CF124" s="214"/>
      <c r="CG124" s="214"/>
      <c r="CH124" s="214"/>
      <c r="CI124" s="214"/>
      <c r="CJ124" s="214"/>
      <c r="CK124" s="214"/>
      <c r="CL124" s="214"/>
      <c r="CM124" s="214"/>
      <c r="CN124" s="214"/>
      <c r="CO124" s="214"/>
      <c r="CP124" s="214"/>
      <c r="CQ124" s="214"/>
      <c r="CR124" s="214"/>
      <c r="CS124" s="214"/>
      <c r="CT124" s="214"/>
      <c r="CU124" s="214"/>
      <c r="CV124" s="214"/>
      <c r="CW124" s="214"/>
      <c r="CX124" s="214"/>
      <c r="CY124" s="214"/>
      <c r="CZ124" s="214"/>
      <c r="DA124" s="214"/>
      <c r="DB124" s="214"/>
      <c r="DC124" s="214"/>
      <c r="DD124" s="214"/>
      <c r="DE124" s="214"/>
      <c r="DF124" s="214"/>
      <c r="DG124" s="214"/>
      <c r="DH124" s="214"/>
      <c r="DI124" s="214"/>
      <c r="DJ124" s="214"/>
      <c r="DK124" s="214"/>
      <c r="DL124" s="214"/>
      <c r="DM124" s="214"/>
      <c r="DN124" s="214"/>
      <c r="DO124" s="214"/>
      <c r="DP124" s="214"/>
      <c r="DQ124" s="214"/>
      <c r="DR124" s="214"/>
      <c r="DS124" s="214"/>
      <c r="DT124" s="214"/>
      <c r="DU124" s="214"/>
      <c r="DV124" s="214"/>
      <c r="DW124" s="214"/>
      <c r="DX124" s="214"/>
      <c r="DY124" s="214"/>
      <c r="DZ124" s="214"/>
      <c r="EA124" s="214"/>
      <c r="EB124" s="214"/>
      <c r="EC124" s="214"/>
      <c r="ED124" s="214"/>
      <c r="EE124" s="214"/>
      <c r="EF124" s="214"/>
      <c r="EG124" s="214"/>
      <c r="EH124" s="214"/>
      <c r="EI124" s="214"/>
      <c r="EJ124" s="214"/>
      <c r="EK124" s="214"/>
      <c r="EL124" s="214"/>
      <c r="EM124" s="214"/>
      <c r="EN124" s="214"/>
      <c r="EO124" s="214"/>
      <c r="EP124" s="214"/>
      <c r="EQ124" s="214"/>
      <c r="ER124" s="214"/>
      <c r="ES124" s="214"/>
      <c r="ET124" s="214"/>
      <c r="EW124"/>
    </row>
    <row r="125" spans="1:153" x14ac:dyDescent="0.3">
      <c r="C125" s="214"/>
      <c r="D125" s="214"/>
      <c r="E125" s="214"/>
      <c r="F125" s="214"/>
      <c r="G125" s="214"/>
      <c r="H125" s="214"/>
      <c r="I125" s="214"/>
      <c r="J125" s="214"/>
      <c r="K125" s="214"/>
      <c r="L125" s="214"/>
      <c r="M125" s="214"/>
      <c r="N125" s="214"/>
      <c r="O125" s="214"/>
      <c r="P125" s="214"/>
      <c r="Q125" s="214"/>
      <c r="R125" s="214"/>
      <c r="S125" s="214"/>
      <c r="T125" s="214"/>
      <c r="U125" s="214"/>
      <c r="V125" s="214"/>
      <c r="W125" s="214"/>
      <c r="X125" s="214"/>
      <c r="Y125" s="214"/>
      <c r="Z125" s="214"/>
      <c r="AA125" s="214"/>
      <c r="AB125" s="214"/>
      <c r="AC125" s="214"/>
      <c r="AD125" s="214"/>
      <c r="AE125" s="214"/>
      <c r="AF125" s="214"/>
      <c r="AG125" s="214"/>
      <c r="AH125" s="214"/>
      <c r="AI125" s="214"/>
      <c r="AJ125" s="214"/>
      <c r="AK125" s="214"/>
      <c r="AL125" s="214"/>
      <c r="AM125" s="214"/>
      <c r="AN125" s="214"/>
      <c r="AO125" s="214"/>
      <c r="AP125" s="214"/>
      <c r="AQ125" s="214"/>
      <c r="AR125" s="214"/>
      <c r="AS125" s="214"/>
      <c r="AT125" s="214"/>
      <c r="AU125" s="214"/>
      <c r="AV125" s="214"/>
      <c r="AW125" s="214"/>
      <c r="AX125" s="214"/>
      <c r="AY125" s="214"/>
      <c r="AZ125" s="214"/>
      <c r="BA125" s="214"/>
      <c r="BB125" s="214"/>
      <c r="BC125" s="214"/>
      <c r="BD125" s="214"/>
      <c r="BE125" s="214"/>
      <c r="BF125" s="214"/>
      <c r="BG125" s="214"/>
      <c r="BH125" s="214"/>
      <c r="BI125" s="214"/>
      <c r="BJ125" s="214"/>
      <c r="BK125" s="214"/>
      <c r="BL125" s="214"/>
      <c r="BM125" s="214"/>
      <c r="BN125" s="214"/>
      <c r="BO125" s="214"/>
      <c r="BP125" s="214"/>
      <c r="BQ125" s="214"/>
      <c r="BR125" s="214"/>
      <c r="BS125" s="214"/>
      <c r="BT125" s="214"/>
      <c r="BU125" s="214"/>
      <c r="BV125" s="214"/>
      <c r="BW125" s="214"/>
      <c r="BX125" s="214"/>
      <c r="BY125" s="214"/>
      <c r="BZ125" s="214"/>
      <c r="CA125" s="214"/>
      <c r="CB125" s="214"/>
      <c r="CC125" s="214"/>
      <c r="CD125" s="214"/>
      <c r="CE125" s="214"/>
      <c r="CF125" s="214"/>
      <c r="CG125" s="214"/>
      <c r="CH125" s="214"/>
      <c r="CI125" s="214"/>
      <c r="CJ125" s="214"/>
      <c r="CK125" s="214"/>
      <c r="CL125" s="214"/>
      <c r="CM125" s="214"/>
      <c r="CN125" s="214"/>
      <c r="CO125" s="214"/>
      <c r="CP125" s="214"/>
      <c r="CQ125" s="214"/>
      <c r="CR125" s="214"/>
      <c r="CS125" s="214"/>
      <c r="CT125" s="214"/>
      <c r="CU125" s="214"/>
      <c r="CV125" s="214"/>
      <c r="CW125" s="214"/>
      <c r="CX125" s="214"/>
      <c r="CY125" s="214"/>
      <c r="CZ125" s="214"/>
      <c r="DA125" s="214"/>
      <c r="DB125" s="214"/>
      <c r="DC125" s="214"/>
      <c r="DD125" s="214"/>
      <c r="DE125" s="214"/>
      <c r="DF125" s="214"/>
      <c r="DG125" s="214"/>
      <c r="DH125" s="214"/>
      <c r="DI125" s="214"/>
      <c r="DJ125" s="214"/>
      <c r="DK125" s="214"/>
      <c r="DL125" s="214"/>
      <c r="DM125" s="214"/>
      <c r="DN125" s="214"/>
      <c r="DO125" s="214"/>
      <c r="DP125" s="214"/>
      <c r="DQ125" s="214"/>
      <c r="DR125" s="214"/>
      <c r="DS125" s="214"/>
      <c r="DT125" s="214"/>
      <c r="DU125" s="214"/>
      <c r="DV125" s="214"/>
      <c r="DW125" s="214"/>
      <c r="DX125" s="214"/>
      <c r="DY125" s="214"/>
      <c r="DZ125" s="214"/>
      <c r="EA125" s="214"/>
      <c r="EB125" s="214"/>
      <c r="EC125" s="214"/>
      <c r="ED125" s="214"/>
      <c r="EE125" s="214"/>
      <c r="EF125" s="214"/>
      <c r="EG125" s="214"/>
      <c r="EH125" s="214"/>
      <c r="EI125" s="214"/>
      <c r="EJ125" s="214"/>
      <c r="EK125" s="214"/>
      <c r="EL125" s="214"/>
      <c r="EM125" s="214"/>
      <c r="EN125" s="214"/>
      <c r="EO125" s="214"/>
      <c r="EP125" s="214"/>
      <c r="EQ125" s="214"/>
      <c r="ER125" s="214"/>
      <c r="ES125" s="214"/>
      <c r="ET125" s="214"/>
      <c r="EW125"/>
    </row>
    <row r="126" spans="1:153" x14ac:dyDescent="0.3">
      <c r="C126" s="214"/>
      <c r="D126" s="214"/>
      <c r="E126" s="214"/>
      <c r="F126" s="214"/>
      <c r="G126" s="214"/>
      <c r="H126" s="214"/>
      <c r="I126" s="214"/>
      <c r="J126" s="214"/>
      <c r="K126" s="214"/>
      <c r="L126" s="214"/>
      <c r="M126" s="214"/>
      <c r="N126" s="214"/>
      <c r="O126" s="214"/>
      <c r="P126" s="214"/>
      <c r="Q126" s="214"/>
      <c r="R126" s="214"/>
      <c r="S126" s="214"/>
      <c r="T126" s="214"/>
      <c r="U126" s="214"/>
      <c r="V126" s="214"/>
      <c r="W126" s="214"/>
      <c r="X126" s="214"/>
      <c r="Y126" s="214"/>
      <c r="Z126" s="214"/>
      <c r="AA126" s="214"/>
      <c r="AB126" s="214"/>
      <c r="AC126" s="214"/>
      <c r="AD126" s="214"/>
      <c r="AE126" s="214"/>
      <c r="AF126" s="214"/>
      <c r="AG126" s="214"/>
      <c r="AH126" s="214"/>
      <c r="AI126" s="214"/>
      <c r="AJ126" s="214"/>
      <c r="AK126" s="214"/>
      <c r="AL126" s="214"/>
      <c r="AM126" s="214"/>
      <c r="AN126" s="214"/>
      <c r="AO126" s="214"/>
      <c r="AP126" s="214"/>
      <c r="AQ126" s="214"/>
      <c r="AR126" s="214"/>
      <c r="AS126" s="214"/>
      <c r="AT126" s="214"/>
      <c r="AU126" s="214"/>
      <c r="AV126" s="214"/>
      <c r="AW126" s="214"/>
      <c r="AX126" s="214"/>
      <c r="AY126" s="214"/>
      <c r="AZ126" s="214"/>
      <c r="BA126" s="214"/>
      <c r="BB126" s="214"/>
      <c r="BC126" s="214"/>
      <c r="BD126" s="214"/>
      <c r="BE126" s="214"/>
      <c r="BF126" s="214"/>
      <c r="BG126" s="214"/>
      <c r="BH126" s="214"/>
      <c r="BI126" s="214"/>
      <c r="BJ126" s="214"/>
      <c r="BK126" s="214"/>
      <c r="BL126" s="214"/>
      <c r="BM126" s="214"/>
      <c r="BN126" s="214"/>
      <c r="BO126" s="214"/>
      <c r="BP126" s="214"/>
      <c r="BQ126" s="214"/>
      <c r="BR126" s="214"/>
      <c r="BS126" s="214"/>
      <c r="BT126" s="214"/>
      <c r="BU126" s="214"/>
      <c r="BV126" s="214"/>
      <c r="BW126" s="214"/>
      <c r="BX126" s="214"/>
      <c r="BY126" s="214"/>
      <c r="BZ126" s="214"/>
      <c r="CA126" s="214"/>
      <c r="CB126" s="214"/>
      <c r="CC126" s="214"/>
      <c r="CD126" s="214"/>
      <c r="CE126" s="214"/>
      <c r="CF126" s="214"/>
      <c r="CG126" s="214"/>
      <c r="CH126" s="214"/>
      <c r="CI126" s="214"/>
      <c r="CJ126" s="214"/>
      <c r="CK126" s="214"/>
      <c r="CL126" s="214"/>
      <c r="CM126" s="214"/>
      <c r="CN126" s="214"/>
      <c r="CO126" s="214"/>
      <c r="CP126" s="214"/>
      <c r="CQ126" s="214"/>
      <c r="CR126" s="214"/>
      <c r="CS126" s="214"/>
      <c r="CT126" s="214"/>
      <c r="CU126" s="214"/>
      <c r="CV126" s="214"/>
      <c r="CW126" s="214"/>
      <c r="CX126" s="214"/>
      <c r="CY126" s="214"/>
      <c r="CZ126" s="214"/>
      <c r="DA126" s="214"/>
      <c r="DB126" s="214"/>
      <c r="DC126" s="214"/>
      <c r="DD126" s="214"/>
      <c r="DE126" s="214"/>
      <c r="DF126" s="214"/>
      <c r="DG126" s="214"/>
      <c r="DH126" s="214"/>
      <c r="DI126" s="214"/>
      <c r="DJ126" s="214"/>
      <c r="DK126" s="214"/>
      <c r="DL126" s="214"/>
      <c r="DM126" s="214"/>
      <c r="DN126" s="214"/>
      <c r="DO126" s="214"/>
      <c r="DP126" s="214"/>
      <c r="DQ126" s="214"/>
      <c r="DR126" s="214"/>
      <c r="DS126" s="214"/>
      <c r="DT126" s="214"/>
      <c r="DU126" s="214"/>
      <c r="DV126" s="214"/>
      <c r="DW126" s="214"/>
      <c r="DX126" s="214"/>
      <c r="DY126" s="214"/>
      <c r="DZ126" s="214"/>
      <c r="EA126" s="214"/>
      <c r="EB126" s="214"/>
      <c r="EC126" s="214"/>
      <c r="ED126" s="214"/>
      <c r="EE126" s="214"/>
      <c r="EF126" s="214"/>
      <c r="EG126" s="214"/>
      <c r="EH126" s="214"/>
      <c r="EI126" s="214"/>
      <c r="EJ126" s="214"/>
      <c r="EK126" s="214"/>
      <c r="EL126" s="214"/>
      <c r="EM126" s="214"/>
      <c r="EN126" s="214"/>
      <c r="EO126" s="214"/>
      <c r="EP126" s="214"/>
      <c r="EQ126" s="214"/>
      <c r="ER126" s="214"/>
      <c r="ES126" s="214"/>
      <c r="ET126" s="214"/>
      <c r="EW126"/>
    </row>
    <row r="127" spans="1:153" x14ac:dyDescent="0.3">
      <c r="C127" s="214"/>
      <c r="D127" s="214"/>
      <c r="E127" s="214"/>
      <c r="F127" s="214"/>
      <c r="G127" s="214"/>
      <c r="H127" s="214"/>
      <c r="I127" s="214"/>
      <c r="J127" s="214"/>
      <c r="K127" s="214"/>
      <c r="L127" s="214"/>
      <c r="M127" s="214"/>
      <c r="N127" s="214"/>
      <c r="O127" s="214"/>
      <c r="P127" s="214"/>
      <c r="Q127" s="214"/>
      <c r="R127" s="214"/>
      <c r="S127" s="214"/>
      <c r="T127" s="214"/>
      <c r="U127" s="214"/>
      <c r="V127" s="214"/>
      <c r="W127" s="214"/>
      <c r="X127" s="214"/>
      <c r="Y127" s="214"/>
      <c r="Z127" s="214"/>
      <c r="AA127" s="214"/>
      <c r="AB127" s="214"/>
      <c r="AC127" s="214"/>
      <c r="AD127" s="214"/>
      <c r="AE127" s="214"/>
      <c r="AF127" s="214"/>
      <c r="AG127" s="214"/>
      <c r="AH127" s="214"/>
      <c r="AI127" s="214"/>
      <c r="AJ127" s="214"/>
      <c r="AK127" s="214"/>
      <c r="AL127" s="214"/>
      <c r="AM127" s="214"/>
      <c r="AN127" s="214"/>
      <c r="AO127" s="214"/>
      <c r="AP127" s="214"/>
      <c r="AQ127" s="214"/>
      <c r="AR127" s="214"/>
      <c r="AS127" s="214"/>
      <c r="AT127" s="214"/>
      <c r="AU127" s="214"/>
      <c r="AV127" s="214"/>
      <c r="AW127" s="214"/>
      <c r="AX127" s="214"/>
      <c r="AY127" s="214"/>
      <c r="AZ127" s="214"/>
      <c r="BA127" s="214"/>
      <c r="BB127" s="214"/>
      <c r="BC127" s="214"/>
      <c r="BD127" s="214"/>
      <c r="BE127" s="214"/>
      <c r="BF127" s="214"/>
      <c r="BG127" s="214"/>
      <c r="BH127" s="214"/>
      <c r="BI127" s="214"/>
      <c r="BJ127" s="214"/>
      <c r="BK127" s="214"/>
      <c r="BL127" s="214"/>
      <c r="BM127" s="214"/>
      <c r="BN127" s="214"/>
      <c r="BO127" s="214"/>
      <c r="BP127" s="214"/>
      <c r="BQ127" s="214"/>
      <c r="BR127" s="214"/>
      <c r="BS127" s="214"/>
      <c r="BT127" s="214"/>
      <c r="BU127" s="214"/>
      <c r="BV127" s="214"/>
      <c r="BW127" s="214"/>
      <c r="BX127" s="214"/>
      <c r="BY127" s="214"/>
      <c r="BZ127" s="214"/>
      <c r="CA127" s="214"/>
      <c r="CB127" s="214"/>
      <c r="CC127" s="214"/>
      <c r="CD127" s="214"/>
      <c r="CE127" s="214"/>
      <c r="CF127" s="214"/>
      <c r="CG127" s="214"/>
      <c r="CH127" s="214"/>
      <c r="CI127" s="214"/>
      <c r="CJ127" s="214"/>
      <c r="CK127" s="214"/>
      <c r="CL127" s="214"/>
      <c r="CM127" s="214"/>
      <c r="CN127" s="214"/>
      <c r="CO127" s="214"/>
      <c r="CP127" s="214"/>
      <c r="CQ127" s="214"/>
      <c r="CR127" s="214"/>
      <c r="CS127" s="214"/>
      <c r="CT127" s="214"/>
      <c r="CU127" s="214"/>
      <c r="CV127" s="214"/>
      <c r="CW127" s="214"/>
      <c r="CX127" s="214"/>
      <c r="CY127" s="214"/>
      <c r="CZ127" s="214"/>
      <c r="DA127" s="214"/>
      <c r="DB127" s="214"/>
      <c r="DC127" s="214"/>
      <c r="DD127" s="214"/>
      <c r="DE127" s="214"/>
      <c r="DF127" s="214"/>
      <c r="DG127" s="214"/>
      <c r="DH127" s="214"/>
      <c r="DI127" s="214"/>
      <c r="DJ127" s="214"/>
      <c r="DK127" s="214"/>
      <c r="DL127" s="214"/>
      <c r="DM127" s="214"/>
      <c r="DN127" s="214"/>
      <c r="DO127" s="214"/>
      <c r="DP127" s="214"/>
      <c r="DQ127" s="214"/>
      <c r="DR127" s="214"/>
      <c r="DS127" s="214"/>
      <c r="DT127" s="214"/>
      <c r="DU127" s="214"/>
      <c r="DV127" s="214"/>
      <c r="DW127" s="214"/>
      <c r="DX127" s="214"/>
      <c r="DY127" s="214"/>
      <c r="DZ127" s="214"/>
      <c r="EA127" s="214"/>
      <c r="EB127" s="214"/>
      <c r="EC127" s="214"/>
      <c r="ED127" s="214"/>
      <c r="EE127" s="214"/>
      <c r="EF127" s="214"/>
      <c r="EG127" s="214"/>
      <c r="EH127" s="214"/>
      <c r="EI127" s="214"/>
      <c r="EJ127" s="214"/>
      <c r="EK127" s="214"/>
      <c r="EL127" s="214"/>
      <c r="EM127" s="214"/>
      <c r="EN127" s="214"/>
      <c r="EO127" s="214"/>
      <c r="EP127" s="214"/>
      <c r="EQ127" s="214"/>
      <c r="ER127" s="214"/>
      <c r="ES127" s="214"/>
      <c r="ET127" s="214"/>
      <c r="EW127"/>
    </row>
    <row r="128" spans="1:153" x14ac:dyDescent="0.3">
      <c r="C128" s="214"/>
      <c r="D128" s="214"/>
      <c r="E128" s="214"/>
      <c r="F128" s="214"/>
      <c r="G128" s="214"/>
      <c r="H128" s="214"/>
      <c r="I128" s="214"/>
      <c r="J128" s="214"/>
      <c r="K128" s="214"/>
      <c r="L128" s="214"/>
      <c r="M128" s="214"/>
      <c r="N128" s="214"/>
      <c r="O128" s="214"/>
      <c r="P128" s="214"/>
      <c r="Q128" s="214"/>
      <c r="R128" s="214"/>
      <c r="S128" s="214"/>
      <c r="T128" s="214"/>
      <c r="U128" s="214"/>
      <c r="V128" s="214"/>
      <c r="W128" s="214"/>
      <c r="X128" s="214"/>
      <c r="Y128" s="214"/>
      <c r="Z128" s="214"/>
      <c r="AA128" s="214"/>
      <c r="AB128" s="214"/>
      <c r="AC128" s="214"/>
      <c r="AD128" s="214"/>
      <c r="AE128" s="214"/>
      <c r="AF128" s="214"/>
      <c r="AG128" s="214"/>
      <c r="AH128" s="214"/>
      <c r="AI128" s="214"/>
      <c r="AJ128" s="214"/>
      <c r="AK128" s="214"/>
      <c r="AL128" s="214"/>
      <c r="AM128" s="214"/>
      <c r="AN128" s="214"/>
      <c r="AO128" s="214"/>
      <c r="AP128" s="214"/>
      <c r="AQ128" s="214"/>
      <c r="AR128" s="214"/>
      <c r="AS128" s="214"/>
      <c r="AT128" s="214"/>
      <c r="AU128" s="214"/>
      <c r="AV128" s="214"/>
      <c r="AW128" s="214"/>
      <c r="AX128" s="214"/>
      <c r="AY128" s="214"/>
      <c r="AZ128" s="214"/>
      <c r="BA128" s="214"/>
      <c r="BB128" s="214"/>
      <c r="BC128" s="214"/>
      <c r="BD128" s="214"/>
      <c r="BE128" s="214"/>
      <c r="BF128" s="214"/>
      <c r="BG128" s="214"/>
      <c r="BH128" s="214"/>
      <c r="BI128" s="214"/>
      <c r="BJ128" s="214"/>
      <c r="BK128" s="214"/>
      <c r="BL128" s="214"/>
      <c r="BM128" s="214"/>
      <c r="BN128" s="214"/>
      <c r="BO128" s="214"/>
      <c r="BP128" s="214"/>
      <c r="BQ128" s="214"/>
      <c r="BR128" s="214"/>
      <c r="BS128" s="214"/>
      <c r="BT128" s="214"/>
      <c r="BU128" s="214"/>
      <c r="BV128" s="214"/>
      <c r="BW128" s="214"/>
      <c r="BX128" s="214"/>
      <c r="BY128" s="214"/>
      <c r="BZ128" s="214"/>
      <c r="CA128" s="214"/>
      <c r="CB128" s="214"/>
      <c r="CC128" s="214"/>
      <c r="CD128" s="214"/>
      <c r="CE128" s="214"/>
      <c r="CF128" s="214"/>
      <c r="CG128" s="214"/>
      <c r="CH128" s="214"/>
      <c r="CI128" s="214"/>
      <c r="CJ128" s="214"/>
      <c r="CK128" s="214"/>
      <c r="CL128" s="214"/>
      <c r="CM128" s="214"/>
      <c r="CN128" s="214"/>
      <c r="CO128" s="214"/>
      <c r="CP128" s="214"/>
      <c r="CQ128" s="214"/>
      <c r="CR128" s="214"/>
      <c r="CS128" s="214"/>
      <c r="CT128" s="214"/>
      <c r="CU128" s="214"/>
      <c r="CV128" s="214"/>
      <c r="CW128" s="214"/>
      <c r="CX128" s="214"/>
      <c r="CY128" s="214"/>
      <c r="CZ128" s="214"/>
      <c r="DA128" s="214"/>
      <c r="DB128" s="214"/>
      <c r="DC128" s="214"/>
      <c r="DD128" s="214"/>
      <c r="DE128" s="214"/>
      <c r="DF128" s="214"/>
      <c r="DG128" s="214"/>
      <c r="DH128" s="214"/>
      <c r="DI128" s="214"/>
      <c r="DJ128" s="214"/>
      <c r="DK128" s="214"/>
      <c r="DL128" s="214"/>
      <c r="DM128" s="214"/>
      <c r="DN128" s="214"/>
      <c r="DO128" s="214"/>
      <c r="DP128" s="214"/>
      <c r="DQ128" s="214"/>
      <c r="DR128" s="214"/>
      <c r="DS128" s="214"/>
      <c r="DT128" s="214"/>
      <c r="DU128" s="214"/>
      <c r="DV128" s="214"/>
      <c r="DW128" s="214"/>
      <c r="DX128" s="214"/>
      <c r="DY128" s="214"/>
      <c r="DZ128" s="214"/>
      <c r="EA128" s="214"/>
      <c r="EB128" s="214"/>
      <c r="EC128" s="214"/>
      <c r="ED128" s="214"/>
      <c r="EE128" s="214"/>
      <c r="EF128" s="214"/>
      <c r="EG128" s="214"/>
      <c r="EH128" s="214"/>
      <c r="EI128" s="214"/>
      <c r="EJ128" s="214"/>
      <c r="EK128" s="214"/>
      <c r="EL128" s="214"/>
      <c r="EM128" s="214"/>
      <c r="EN128" s="214"/>
      <c r="EO128" s="214"/>
      <c r="EP128" s="214"/>
      <c r="EQ128" s="214"/>
      <c r="ER128" s="214"/>
      <c r="ES128" s="214"/>
      <c r="ET128" s="214"/>
      <c r="EW128"/>
    </row>
    <row r="129" spans="3:153" x14ac:dyDescent="0.3">
      <c r="C129" s="214"/>
      <c r="D129" s="214"/>
      <c r="E129" s="214"/>
      <c r="F129" s="214"/>
      <c r="G129" s="214"/>
      <c r="H129" s="214"/>
      <c r="I129" s="214"/>
      <c r="J129" s="214"/>
      <c r="K129" s="214"/>
      <c r="L129" s="214"/>
      <c r="M129" s="214"/>
      <c r="N129" s="214"/>
      <c r="O129" s="214"/>
      <c r="P129" s="214"/>
      <c r="Q129" s="214"/>
      <c r="R129" s="214"/>
      <c r="S129" s="214"/>
      <c r="T129" s="214"/>
      <c r="U129" s="214"/>
      <c r="V129" s="214"/>
      <c r="W129" s="214"/>
      <c r="X129" s="214"/>
      <c r="Y129" s="214"/>
      <c r="Z129" s="214"/>
      <c r="AA129" s="214"/>
      <c r="AB129" s="214"/>
      <c r="AC129" s="214"/>
      <c r="AD129" s="214"/>
      <c r="AE129" s="214"/>
      <c r="AF129" s="214"/>
      <c r="AG129" s="214"/>
      <c r="AH129" s="214"/>
      <c r="AI129" s="214"/>
      <c r="AJ129" s="214"/>
      <c r="AK129" s="214"/>
      <c r="AL129" s="214"/>
      <c r="AM129" s="214"/>
      <c r="AN129" s="214"/>
      <c r="AO129" s="214"/>
      <c r="AP129" s="214"/>
      <c r="AQ129" s="214"/>
      <c r="AR129" s="214"/>
      <c r="AS129" s="214"/>
      <c r="AT129" s="214"/>
      <c r="AU129" s="214"/>
      <c r="AV129" s="214"/>
      <c r="AW129" s="214"/>
      <c r="AX129" s="214"/>
      <c r="AY129" s="214"/>
      <c r="AZ129" s="214"/>
      <c r="BA129" s="214"/>
      <c r="BB129" s="214"/>
      <c r="BC129" s="214"/>
      <c r="BD129" s="214"/>
      <c r="BE129" s="214"/>
      <c r="BF129" s="214"/>
      <c r="BG129" s="214"/>
      <c r="BH129" s="214"/>
      <c r="BI129" s="214"/>
      <c r="BJ129" s="214"/>
      <c r="BK129" s="214"/>
      <c r="BL129" s="214"/>
      <c r="BM129" s="214"/>
      <c r="BN129" s="214"/>
      <c r="BO129" s="214"/>
      <c r="BP129" s="214"/>
      <c r="BQ129" s="214"/>
      <c r="BR129" s="214"/>
      <c r="BS129" s="214"/>
      <c r="BT129" s="214"/>
      <c r="BU129" s="214"/>
      <c r="BV129" s="214"/>
      <c r="BW129" s="214"/>
      <c r="BX129" s="214"/>
      <c r="BY129" s="214"/>
      <c r="BZ129" s="214"/>
      <c r="CA129" s="214"/>
      <c r="CB129" s="214"/>
      <c r="CC129" s="214"/>
      <c r="CD129" s="214"/>
      <c r="CE129" s="214"/>
      <c r="CF129" s="214"/>
      <c r="CG129" s="214"/>
      <c r="CH129" s="214"/>
      <c r="CI129" s="214"/>
      <c r="CJ129" s="214"/>
      <c r="CK129" s="214"/>
      <c r="CL129" s="214"/>
      <c r="CM129" s="214"/>
      <c r="CN129" s="214"/>
      <c r="CO129" s="214"/>
      <c r="CP129" s="214"/>
      <c r="CQ129" s="214"/>
      <c r="CR129" s="214"/>
      <c r="CS129" s="214"/>
      <c r="CT129" s="214"/>
      <c r="CU129" s="214"/>
      <c r="CV129" s="214"/>
      <c r="CW129" s="214"/>
      <c r="CX129" s="214"/>
      <c r="CY129" s="214"/>
      <c r="CZ129" s="214"/>
      <c r="DA129" s="214"/>
      <c r="DB129" s="214"/>
      <c r="DC129" s="214"/>
      <c r="DD129" s="214"/>
      <c r="DE129" s="214"/>
      <c r="DF129" s="214"/>
      <c r="DG129" s="214"/>
      <c r="DH129" s="214"/>
      <c r="DI129" s="214"/>
      <c r="DJ129" s="214"/>
      <c r="DK129" s="214"/>
      <c r="DL129" s="214"/>
      <c r="DM129" s="214"/>
      <c r="DN129" s="214"/>
      <c r="DO129" s="214"/>
      <c r="DP129" s="214"/>
      <c r="DQ129" s="214"/>
      <c r="DR129" s="214"/>
      <c r="DS129" s="214"/>
      <c r="DT129" s="214"/>
      <c r="DU129" s="214"/>
      <c r="DV129" s="214"/>
      <c r="DW129" s="214"/>
      <c r="DX129" s="214"/>
      <c r="DY129" s="214"/>
      <c r="DZ129" s="214"/>
      <c r="EA129" s="214"/>
      <c r="EB129" s="214"/>
      <c r="EC129" s="214"/>
      <c r="ED129" s="214"/>
      <c r="EE129" s="214"/>
      <c r="EF129" s="214"/>
      <c r="EG129" s="214"/>
      <c r="EH129" s="214"/>
      <c r="EI129" s="214"/>
      <c r="EJ129" s="214"/>
      <c r="EK129" s="214"/>
      <c r="EL129" s="214"/>
      <c r="EM129" s="214"/>
      <c r="EN129" s="214"/>
      <c r="EO129" s="214"/>
      <c r="EP129" s="214"/>
      <c r="EQ129" s="214"/>
      <c r="ER129" s="214"/>
      <c r="ES129" s="214"/>
      <c r="ET129" s="214"/>
      <c r="EW129"/>
    </row>
    <row r="130" spans="3:153" x14ac:dyDescent="0.3">
      <c r="C130" s="214"/>
      <c r="D130" s="214"/>
      <c r="E130" s="214"/>
      <c r="F130" s="214"/>
      <c r="G130" s="214"/>
      <c r="H130" s="214"/>
      <c r="I130" s="214"/>
      <c r="J130" s="214"/>
      <c r="K130" s="214"/>
      <c r="L130" s="214"/>
      <c r="M130" s="214"/>
      <c r="N130" s="214"/>
      <c r="O130" s="214"/>
      <c r="P130" s="214"/>
      <c r="Q130" s="214"/>
      <c r="R130" s="214"/>
      <c r="S130" s="214"/>
      <c r="T130" s="214"/>
      <c r="U130" s="214"/>
      <c r="V130" s="214"/>
      <c r="W130" s="214"/>
      <c r="X130" s="214"/>
      <c r="Y130" s="214"/>
      <c r="Z130" s="214"/>
      <c r="AA130" s="214"/>
      <c r="AB130" s="214"/>
      <c r="AC130" s="214"/>
      <c r="AD130" s="214"/>
      <c r="AE130" s="214"/>
      <c r="AF130" s="214"/>
      <c r="AG130" s="214"/>
      <c r="AH130" s="214"/>
      <c r="AI130" s="214"/>
      <c r="AJ130" s="214"/>
      <c r="AK130" s="214"/>
      <c r="AL130" s="214"/>
      <c r="AM130" s="214"/>
      <c r="AN130" s="214"/>
      <c r="AO130" s="214"/>
      <c r="AP130" s="214"/>
      <c r="AQ130" s="214"/>
      <c r="AR130" s="214"/>
      <c r="AS130" s="214"/>
      <c r="AT130" s="214"/>
      <c r="AU130" s="214"/>
      <c r="AV130" s="214"/>
      <c r="AW130" s="214"/>
      <c r="AX130" s="214"/>
      <c r="AY130" s="214"/>
      <c r="AZ130" s="214"/>
      <c r="BA130" s="214"/>
      <c r="BB130" s="214"/>
      <c r="BC130" s="214"/>
      <c r="BD130" s="214"/>
      <c r="BE130" s="214"/>
      <c r="BF130" s="214"/>
      <c r="BG130" s="214"/>
      <c r="BH130" s="214"/>
      <c r="BI130" s="214"/>
      <c r="BJ130" s="214"/>
      <c r="BK130" s="214"/>
      <c r="BL130" s="214"/>
      <c r="BM130" s="214"/>
      <c r="BN130" s="214"/>
      <c r="BO130" s="214"/>
      <c r="BP130" s="214"/>
      <c r="BQ130" s="214"/>
      <c r="BR130" s="214"/>
      <c r="BS130" s="214"/>
      <c r="BT130" s="214"/>
      <c r="BU130" s="214"/>
      <c r="BV130" s="214"/>
      <c r="BW130" s="214"/>
      <c r="BX130" s="214"/>
      <c r="BY130" s="214"/>
      <c r="BZ130" s="214"/>
      <c r="CA130" s="214"/>
      <c r="CB130" s="214"/>
      <c r="CC130" s="214"/>
      <c r="CD130" s="214"/>
      <c r="CE130" s="214"/>
      <c r="CF130" s="214"/>
      <c r="CG130" s="214"/>
      <c r="CH130" s="214"/>
      <c r="CI130" s="214"/>
      <c r="CJ130" s="214"/>
      <c r="CK130" s="214"/>
      <c r="CL130" s="214"/>
      <c r="CM130" s="214"/>
      <c r="CN130" s="214"/>
      <c r="CO130" s="214"/>
      <c r="CP130" s="214"/>
      <c r="CQ130" s="214"/>
      <c r="CR130" s="214"/>
      <c r="CS130" s="214"/>
      <c r="CT130" s="214"/>
      <c r="CU130" s="214"/>
      <c r="CV130" s="214"/>
      <c r="CW130" s="214"/>
      <c r="CX130" s="214"/>
      <c r="CY130" s="214"/>
      <c r="CZ130" s="214"/>
      <c r="DA130" s="214"/>
      <c r="DB130" s="214"/>
      <c r="DC130" s="214"/>
      <c r="DD130" s="214"/>
      <c r="DE130" s="214"/>
      <c r="DF130" s="214"/>
      <c r="DG130" s="214"/>
      <c r="DH130" s="214"/>
      <c r="DI130" s="214"/>
      <c r="DJ130" s="214"/>
      <c r="DK130" s="214"/>
      <c r="DL130" s="214"/>
      <c r="DM130" s="214"/>
      <c r="DN130" s="214"/>
      <c r="DO130" s="214"/>
      <c r="DP130" s="214"/>
      <c r="DQ130" s="214"/>
      <c r="DR130" s="214"/>
      <c r="DS130" s="214"/>
      <c r="DT130" s="214"/>
      <c r="DU130" s="214"/>
      <c r="DV130" s="214"/>
      <c r="DW130" s="214"/>
      <c r="DX130" s="214"/>
      <c r="DY130" s="214"/>
      <c r="DZ130" s="214"/>
      <c r="EA130" s="214"/>
      <c r="EB130" s="214"/>
      <c r="EC130" s="214"/>
      <c r="ED130" s="214"/>
      <c r="EE130" s="214"/>
      <c r="EF130" s="214"/>
      <c r="EG130" s="214"/>
      <c r="EH130" s="214"/>
      <c r="EI130" s="214"/>
      <c r="EJ130" s="214"/>
      <c r="EK130" s="214"/>
      <c r="EL130" s="214"/>
      <c r="EM130" s="214"/>
      <c r="EN130" s="214"/>
      <c r="EO130" s="214"/>
      <c r="EP130" s="214"/>
      <c r="EQ130" s="214"/>
      <c r="ER130" s="214"/>
      <c r="ES130" s="214"/>
      <c r="ET130" s="214"/>
      <c r="EW130"/>
    </row>
    <row r="131" spans="3:153" x14ac:dyDescent="0.3">
      <c r="C131" s="214"/>
      <c r="D131" s="214"/>
      <c r="E131" s="214"/>
      <c r="F131" s="214"/>
      <c r="G131" s="214"/>
      <c r="H131" s="214"/>
      <c r="I131" s="214"/>
      <c r="J131" s="214"/>
      <c r="K131" s="214"/>
      <c r="L131" s="214"/>
      <c r="M131" s="214"/>
      <c r="N131" s="214"/>
      <c r="O131" s="214"/>
      <c r="P131" s="214"/>
      <c r="Q131" s="214"/>
      <c r="R131" s="214"/>
      <c r="S131" s="214"/>
      <c r="T131" s="214"/>
      <c r="U131" s="214"/>
      <c r="V131" s="214"/>
      <c r="W131" s="214"/>
      <c r="X131" s="214"/>
      <c r="Y131" s="214"/>
      <c r="Z131" s="214"/>
      <c r="AA131" s="214"/>
      <c r="AB131" s="214"/>
      <c r="AC131" s="214"/>
      <c r="AD131" s="214"/>
      <c r="AE131" s="214"/>
      <c r="AF131" s="214"/>
      <c r="AG131" s="214"/>
      <c r="AH131" s="214"/>
      <c r="AI131" s="214"/>
      <c r="AJ131" s="214"/>
      <c r="AK131" s="214"/>
      <c r="AL131" s="214"/>
      <c r="AM131" s="214"/>
      <c r="AN131" s="214"/>
      <c r="AO131" s="214"/>
      <c r="AP131" s="214"/>
      <c r="AQ131" s="214"/>
      <c r="AR131" s="214"/>
      <c r="AS131" s="214"/>
      <c r="AT131" s="214"/>
      <c r="AU131" s="214"/>
      <c r="AV131" s="214"/>
      <c r="AW131" s="214"/>
      <c r="AX131" s="214"/>
      <c r="AY131" s="214"/>
      <c r="AZ131" s="214"/>
      <c r="BA131" s="214"/>
      <c r="BB131" s="214"/>
      <c r="BC131" s="214"/>
      <c r="BD131" s="214"/>
      <c r="BE131" s="214"/>
      <c r="BF131" s="214"/>
      <c r="BG131" s="214"/>
      <c r="BH131" s="214"/>
      <c r="BI131" s="214"/>
      <c r="BJ131" s="214"/>
      <c r="BK131" s="214"/>
      <c r="BL131" s="214"/>
      <c r="BM131" s="214"/>
      <c r="BN131" s="214"/>
      <c r="BO131" s="214"/>
      <c r="BP131" s="214"/>
      <c r="BQ131" s="214"/>
      <c r="BR131" s="214"/>
      <c r="BS131" s="214"/>
      <c r="BT131" s="214"/>
      <c r="BU131" s="214"/>
      <c r="BV131" s="214"/>
      <c r="BW131" s="214"/>
      <c r="BX131" s="214"/>
      <c r="BY131" s="214"/>
      <c r="BZ131" s="214"/>
      <c r="CA131" s="214"/>
      <c r="CB131" s="214"/>
      <c r="CC131" s="214"/>
      <c r="CD131" s="214"/>
      <c r="CE131" s="214"/>
      <c r="CF131" s="214"/>
      <c r="CG131" s="214"/>
      <c r="CH131" s="214"/>
      <c r="CI131" s="214"/>
      <c r="CJ131" s="214"/>
      <c r="CK131" s="214"/>
      <c r="CL131" s="214"/>
      <c r="CM131" s="214"/>
      <c r="CN131" s="214"/>
      <c r="CO131" s="214"/>
      <c r="CP131" s="214"/>
      <c r="CQ131" s="214"/>
      <c r="CR131" s="214"/>
      <c r="CS131" s="214"/>
      <c r="CT131" s="214"/>
      <c r="CU131" s="214"/>
      <c r="CV131" s="214"/>
      <c r="CW131" s="214"/>
      <c r="CX131" s="214"/>
      <c r="CY131" s="214"/>
      <c r="CZ131" s="214"/>
      <c r="DA131" s="214"/>
      <c r="DB131" s="214"/>
      <c r="DC131" s="214"/>
      <c r="DD131" s="214"/>
      <c r="DE131" s="214"/>
      <c r="DF131" s="214"/>
      <c r="DG131" s="214"/>
      <c r="DH131" s="214"/>
      <c r="DI131" s="214"/>
      <c r="DJ131" s="214"/>
      <c r="DK131" s="214"/>
      <c r="DL131" s="214"/>
      <c r="DM131" s="214"/>
      <c r="DN131" s="214"/>
      <c r="DO131" s="214"/>
      <c r="DP131" s="214"/>
      <c r="DQ131" s="214"/>
      <c r="DR131" s="214"/>
      <c r="DS131" s="214"/>
      <c r="DT131" s="214"/>
      <c r="DU131" s="214"/>
      <c r="DV131" s="214"/>
      <c r="DW131" s="214"/>
      <c r="DX131" s="214"/>
      <c r="DY131" s="214"/>
      <c r="DZ131" s="214"/>
      <c r="EA131" s="214"/>
      <c r="EB131" s="214"/>
      <c r="EC131" s="214"/>
      <c r="ED131" s="214"/>
      <c r="EE131" s="214"/>
      <c r="EF131" s="214"/>
      <c r="EG131" s="214"/>
      <c r="EH131" s="214"/>
      <c r="EI131" s="214"/>
      <c r="EJ131" s="214"/>
      <c r="EK131" s="214"/>
      <c r="EL131" s="214"/>
      <c r="EM131" s="214"/>
      <c r="EN131" s="214"/>
      <c r="EO131" s="214"/>
      <c r="EP131" s="214"/>
      <c r="EQ131" s="214"/>
      <c r="ER131" s="214"/>
      <c r="ES131" s="214"/>
      <c r="ET131" s="214"/>
      <c r="EW131"/>
    </row>
    <row r="132" spans="3:153" x14ac:dyDescent="0.3">
      <c r="C132" s="214"/>
      <c r="D132" s="214"/>
      <c r="E132" s="214"/>
      <c r="F132" s="214"/>
      <c r="G132" s="214"/>
      <c r="H132" s="214"/>
      <c r="I132" s="214"/>
      <c r="J132" s="214"/>
      <c r="K132" s="214"/>
      <c r="L132" s="214"/>
      <c r="M132" s="214"/>
      <c r="N132" s="214"/>
      <c r="O132" s="214"/>
      <c r="P132" s="214"/>
      <c r="Q132" s="214"/>
      <c r="R132" s="214"/>
      <c r="S132" s="214"/>
      <c r="T132" s="214"/>
      <c r="U132" s="214"/>
      <c r="V132" s="214"/>
      <c r="W132" s="214"/>
      <c r="X132" s="214"/>
      <c r="Y132" s="214"/>
      <c r="Z132" s="214"/>
      <c r="AA132" s="214"/>
      <c r="AB132" s="214"/>
      <c r="AC132" s="214"/>
      <c r="AD132" s="214"/>
      <c r="AE132" s="214"/>
      <c r="AF132" s="214"/>
      <c r="AG132" s="214"/>
      <c r="AH132" s="214"/>
      <c r="AI132" s="214"/>
      <c r="AJ132" s="214"/>
      <c r="AK132" s="214"/>
      <c r="AL132" s="214"/>
      <c r="AM132" s="214"/>
      <c r="AN132" s="214"/>
      <c r="AO132" s="214"/>
      <c r="AP132" s="214"/>
      <c r="AQ132" s="214"/>
      <c r="AR132" s="214"/>
      <c r="AS132" s="214"/>
      <c r="AT132" s="214"/>
      <c r="AU132" s="214"/>
      <c r="AV132" s="214"/>
      <c r="AW132" s="214"/>
      <c r="AX132" s="214"/>
      <c r="AY132" s="214"/>
      <c r="AZ132" s="214"/>
      <c r="BA132" s="214"/>
      <c r="BB132" s="214"/>
      <c r="BC132" s="214"/>
      <c r="BD132" s="214"/>
      <c r="BE132" s="214"/>
      <c r="BF132" s="214"/>
      <c r="BG132" s="214"/>
      <c r="BH132" s="214"/>
      <c r="BI132" s="214"/>
      <c r="BJ132" s="214"/>
      <c r="BK132" s="214"/>
      <c r="BL132" s="214"/>
      <c r="BM132" s="214"/>
      <c r="BN132" s="214"/>
      <c r="BO132" s="214"/>
      <c r="BP132" s="214"/>
      <c r="BQ132" s="214"/>
      <c r="BR132" s="214"/>
      <c r="BS132" s="214"/>
      <c r="BT132" s="214"/>
      <c r="BU132" s="214"/>
      <c r="BV132" s="214"/>
      <c r="BW132" s="214"/>
      <c r="BX132" s="214"/>
      <c r="BY132" s="214"/>
      <c r="BZ132" s="214"/>
      <c r="CA132" s="214"/>
      <c r="CB132" s="214"/>
      <c r="CC132" s="214"/>
      <c r="CD132" s="214"/>
      <c r="CE132" s="214"/>
      <c r="CF132" s="214"/>
      <c r="CG132" s="214"/>
      <c r="CH132" s="214"/>
      <c r="CI132" s="214"/>
      <c r="CJ132" s="214"/>
      <c r="CK132" s="214"/>
      <c r="CL132" s="214"/>
      <c r="CM132" s="214"/>
      <c r="CN132" s="214"/>
      <c r="CO132" s="214"/>
      <c r="CP132" s="214"/>
      <c r="CQ132" s="214"/>
      <c r="CR132" s="214"/>
      <c r="CS132" s="214"/>
      <c r="CT132" s="214"/>
      <c r="CU132" s="214"/>
      <c r="CV132" s="214"/>
      <c r="CW132" s="214"/>
      <c r="CX132" s="214"/>
      <c r="CY132" s="214"/>
      <c r="CZ132" s="214"/>
      <c r="DA132" s="214"/>
      <c r="DB132" s="214"/>
      <c r="DC132" s="214"/>
      <c r="DD132" s="214"/>
      <c r="DE132" s="214"/>
      <c r="DF132" s="214"/>
      <c r="DG132" s="214"/>
      <c r="DH132" s="214"/>
      <c r="DI132" s="214"/>
      <c r="DJ132" s="214"/>
      <c r="DK132" s="214"/>
      <c r="DL132" s="214"/>
      <c r="DM132" s="214"/>
      <c r="DN132" s="214"/>
      <c r="DO132" s="214"/>
      <c r="DP132" s="214"/>
      <c r="DQ132" s="214"/>
      <c r="DR132" s="214"/>
      <c r="DS132" s="214"/>
      <c r="DT132" s="214"/>
      <c r="DU132" s="214"/>
      <c r="DV132" s="214"/>
      <c r="DW132" s="214"/>
      <c r="DX132" s="214"/>
      <c r="DY132" s="214"/>
      <c r="DZ132" s="214"/>
      <c r="EA132" s="214"/>
      <c r="EB132" s="214"/>
      <c r="EC132" s="214"/>
      <c r="ED132" s="214"/>
      <c r="EE132" s="214"/>
      <c r="EF132" s="214"/>
      <c r="EG132" s="214"/>
      <c r="EH132" s="214"/>
      <c r="EI132" s="214"/>
      <c r="EJ132" s="214"/>
      <c r="EK132" s="214"/>
      <c r="EL132" s="214"/>
      <c r="EM132" s="214"/>
      <c r="EN132" s="214"/>
      <c r="EO132" s="214"/>
      <c r="EP132" s="214"/>
      <c r="EQ132" s="214"/>
      <c r="ER132" s="214"/>
      <c r="ES132" s="214"/>
      <c r="ET132" s="214"/>
      <c r="EW132"/>
    </row>
    <row r="133" spans="3:153" x14ac:dyDescent="0.3">
      <c r="C133" s="214"/>
      <c r="D133" s="214"/>
      <c r="E133" s="214"/>
      <c r="F133" s="214"/>
      <c r="G133" s="214"/>
      <c r="H133" s="214"/>
      <c r="I133" s="214"/>
      <c r="J133" s="214"/>
      <c r="K133" s="214"/>
      <c r="L133" s="214"/>
      <c r="M133" s="214"/>
      <c r="N133" s="214"/>
      <c r="O133" s="214"/>
      <c r="P133" s="214"/>
      <c r="Q133" s="214"/>
      <c r="R133" s="214"/>
      <c r="S133" s="214"/>
      <c r="T133" s="214"/>
      <c r="U133" s="214"/>
      <c r="V133" s="214"/>
      <c r="W133" s="214"/>
      <c r="X133" s="214"/>
      <c r="Y133" s="214"/>
      <c r="Z133" s="214"/>
      <c r="AA133" s="214"/>
      <c r="AB133" s="214"/>
      <c r="AC133" s="214"/>
      <c r="AD133" s="214"/>
      <c r="AE133" s="214"/>
      <c r="AF133" s="214"/>
      <c r="AG133" s="214"/>
      <c r="AH133" s="214"/>
      <c r="AI133" s="214"/>
      <c r="AJ133" s="214"/>
      <c r="AK133" s="214"/>
      <c r="AL133" s="214"/>
      <c r="AM133" s="214"/>
      <c r="AN133" s="214"/>
      <c r="AO133" s="214"/>
      <c r="AP133" s="214"/>
      <c r="AQ133" s="214"/>
      <c r="AR133" s="214"/>
      <c r="AS133" s="214"/>
      <c r="AT133" s="214"/>
      <c r="AU133" s="214"/>
      <c r="AV133" s="214"/>
      <c r="AW133" s="214"/>
      <c r="AX133" s="214"/>
      <c r="AY133" s="214"/>
      <c r="AZ133" s="214"/>
      <c r="BA133" s="214"/>
      <c r="BB133" s="214"/>
      <c r="BC133" s="214"/>
      <c r="BD133" s="214"/>
      <c r="BE133" s="214"/>
      <c r="BF133" s="214"/>
      <c r="BG133" s="214"/>
      <c r="BH133" s="214"/>
      <c r="BI133" s="214"/>
      <c r="BJ133" s="214"/>
      <c r="BK133" s="214"/>
      <c r="BL133" s="214"/>
      <c r="BM133" s="214"/>
      <c r="BN133" s="214"/>
      <c r="BO133" s="214"/>
      <c r="BP133" s="214"/>
      <c r="BQ133" s="214"/>
      <c r="BR133" s="214"/>
      <c r="BS133" s="214"/>
      <c r="BT133" s="214"/>
      <c r="BU133" s="214"/>
      <c r="BV133" s="214"/>
      <c r="BW133" s="214"/>
      <c r="BX133" s="214"/>
      <c r="BY133" s="214"/>
      <c r="BZ133" s="214"/>
      <c r="CA133" s="214"/>
      <c r="CB133" s="214"/>
      <c r="CC133" s="214"/>
      <c r="CD133" s="214"/>
      <c r="CE133" s="214"/>
      <c r="CF133" s="214"/>
      <c r="CG133" s="214"/>
      <c r="CH133" s="214"/>
      <c r="CI133" s="214"/>
      <c r="CJ133" s="214"/>
      <c r="CK133" s="214"/>
      <c r="CL133" s="214"/>
      <c r="CM133" s="214"/>
      <c r="CN133" s="214"/>
      <c r="CO133" s="214"/>
      <c r="CP133" s="214"/>
      <c r="CQ133" s="214"/>
      <c r="CR133" s="214"/>
      <c r="CS133" s="214"/>
      <c r="CT133" s="214"/>
      <c r="CU133" s="214"/>
      <c r="CV133" s="214"/>
      <c r="CW133" s="214"/>
      <c r="CX133" s="214"/>
      <c r="CY133" s="214"/>
      <c r="CZ133" s="214"/>
      <c r="DA133" s="214"/>
      <c r="DB133" s="214"/>
      <c r="DC133" s="214"/>
      <c r="DD133" s="214"/>
      <c r="DE133" s="214"/>
      <c r="DF133" s="214"/>
      <c r="DG133" s="214"/>
      <c r="DH133" s="214"/>
      <c r="DI133" s="214"/>
      <c r="DJ133" s="214"/>
      <c r="DK133" s="214"/>
      <c r="DL133" s="214"/>
      <c r="DM133" s="214"/>
      <c r="DN133" s="214"/>
      <c r="DO133" s="214"/>
      <c r="DP133" s="214"/>
      <c r="DQ133" s="214"/>
      <c r="DR133" s="214"/>
      <c r="DS133" s="214"/>
      <c r="DT133" s="214"/>
      <c r="DU133" s="214"/>
      <c r="DV133" s="214"/>
      <c r="DW133" s="214"/>
      <c r="DX133" s="214"/>
      <c r="DY133" s="214"/>
      <c r="DZ133" s="214"/>
      <c r="EA133" s="214"/>
      <c r="EB133" s="214"/>
      <c r="EC133" s="214"/>
      <c r="ED133" s="214"/>
      <c r="EE133" s="214"/>
      <c r="EF133" s="214"/>
      <c r="EG133" s="214"/>
      <c r="EH133" s="214"/>
      <c r="EI133" s="214"/>
      <c r="EJ133" s="214"/>
      <c r="EK133" s="214"/>
      <c r="EL133" s="214"/>
      <c r="EM133" s="214"/>
      <c r="EN133" s="214"/>
      <c r="EO133" s="214"/>
      <c r="EP133" s="214"/>
      <c r="EQ133" s="214"/>
      <c r="ER133" s="214"/>
      <c r="ES133" s="214"/>
      <c r="ET133" s="214"/>
      <c r="EW133"/>
    </row>
    <row r="134" spans="3:153" x14ac:dyDescent="0.3">
      <c r="C134" s="214"/>
      <c r="D134" s="214"/>
      <c r="E134" s="214"/>
      <c r="F134" s="214"/>
      <c r="G134" s="214"/>
      <c r="H134" s="214"/>
      <c r="I134" s="214"/>
      <c r="J134" s="214"/>
      <c r="K134" s="214"/>
      <c r="L134" s="214"/>
      <c r="M134" s="214"/>
      <c r="N134" s="214"/>
      <c r="O134" s="214"/>
      <c r="P134" s="214"/>
      <c r="Q134" s="214"/>
      <c r="R134" s="214"/>
      <c r="S134" s="214"/>
      <c r="T134" s="214"/>
      <c r="U134" s="214"/>
      <c r="V134" s="214"/>
      <c r="W134" s="214"/>
      <c r="X134" s="214"/>
      <c r="Y134" s="214"/>
      <c r="Z134" s="214"/>
      <c r="AA134" s="214"/>
      <c r="AB134" s="214"/>
      <c r="AC134" s="214"/>
      <c r="AD134" s="214"/>
      <c r="AE134" s="214"/>
      <c r="AF134" s="214"/>
      <c r="AG134" s="214"/>
      <c r="AH134" s="214"/>
      <c r="AI134" s="214"/>
      <c r="AJ134" s="214"/>
      <c r="AK134" s="214"/>
      <c r="AL134" s="214"/>
      <c r="AM134" s="214"/>
      <c r="AN134" s="214"/>
      <c r="AO134" s="214"/>
      <c r="AP134" s="214"/>
      <c r="AQ134" s="214"/>
      <c r="AR134" s="214"/>
      <c r="AS134" s="214"/>
      <c r="AT134" s="214"/>
      <c r="AU134" s="214"/>
      <c r="AV134" s="214"/>
      <c r="AW134" s="214"/>
      <c r="AX134" s="214"/>
      <c r="AY134" s="214"/>
      <c r="AZ134" s="214"/>
      <c r="BA134" s="214"/>
      <c r="BB134" s="214"/>
      <c r="BC134" s="214"/>
      <c r="BD134" s="214"/>
      <c r="BE134" s="214"/>
      <c r="BF134" s="214"/>
      <c r="BG134" s="214"/>
      <c r="BH134" s="214"/>
      <c r="BI134" s="214"/>
      <c r="BJ134" s="214"/>
      <c r="BK134" s="214"/>
      <c r="BL134" s="214"/>
      <c r="BM134" s="214"/>
      <c r="BN134" s="214"/>
      <c r="BO134" s="214"/>
      <c r="BP134" s="214"/>
      <c r="BQ134" s="214"/>
      <c r="BR134" s="214"/>
      <c r="BS134" s="214"/>
      <c r="BT134" s="214"/>
      <c r="BU134" s="214"/>
      <c r="BV134" s="214"/>
      <c r="BW134" s="214"/>
      <c r="BX134" s="214"/>
      <c r="BY134" s="214"/>
      <c r="BZ134" s="214"/>
      <c r="CA134" s="214"/>
      <c r="CB134" s="214"/>
      <c r="CC134" s="214"/>
      <c r="CD134" s="214"/>
      <c r="CE134" s="214"/>
      <c r="CF134" s="214"/>
      <c r="CG134" s="214"/>
      <c r="CH134" s="214"/>
      <c r="CI134" s="214"/>
      <c r="CJ134" s="214"/>
      <c r="CK134" s="214"/>
      <c r="CL134" s="214"/>
      <c r="CM134" s="214"/>
      <c r="CN134" s="214"/>
      <c r="CO134" s="214"/>
      <c r="CP134" s="214"/>
      <c r="CQ134" s="214"/>
      <c r="CR134" s="214"/>
      <c r="CS134" s="214"/>
      <c r="CT134" s="214"/>
      <c r="CU134" s="214"/>
      <c r="CV134" s="214"/>
      <c r="CW134" s="214"/>
      <c r="CX134" s="214"/>
      <c r="CY134" s="214"/>
      <c r="CZ134" s="214"/>
      <c r="DA134" s="214"/>
      <c r="DB134" s="214"/>
      <c r="DC134" s="214"/>
      <c r="DD134" s="214"/>
      <c r="DE134" s="214"/>
      <c r="DF134" s="214"/>
      <c r="DG134" s="214"/>
      <c r="DH134" s="214"/>
      <c r="DI134" s="214"/>
      <c r="DJ134" s="214"/>
      <c r="DK134" s="214"/>
      <c r="DL134" s="214"/>
      <c r="DM134" s="214"/>
      <c r="DN134" s="214"/>
      <c r="DO134" s="214"/>
      <c r="DP134" s="214"/>
      <c r="DQ134" s="214"/>
      <c r="DR134" s="214"/>
      <c r="DS134" s="214"/>
      <c r="DT134" s="214"/>
      <c r="DU134" s="214"/>
      <c r="DV134" s="214"/>
      <c r="DW134" s="214"/>
      <c r="DX134" s="214"/>
      <c r="DY134" s="214"/>
      <c r="DZ134" s="214"/>
      <c r="EA134" s="214"/>
      <c r="EB134" s="214"/>
      <c r="EC134" s="214"/>
      <c r="ED134" s="214"/>
      <c r="EE134" s="214"/>
      <c r="EF134" s="214"/>
      <c r="EG134" s="214"/>
      <c r="EH134" s="214"/>
      <c r="EI134" s="214"/>
      <c r="EJ134" s="214"/>
      <c r="EK134" s="214"/>
      <c r="EL134" s="214"/>
      <c r="EM134" s="214"/>
      <c r="EN134" s="214"/>
      <c r="EO134" s="214"/>
      <c r="EP134" s="214"/>
      <c r="EQ134" s="214"/>
      <c r="ER134" s="214"/>
      <c r="ES134" s="214"/>
      <c r="ET134" s="214"/>
      <c r="EW134"/>
    </row>
    <row r="135" spans="3:153" x14ac:dyDescent="0.3">
      <c r="C135" s="214"/>
      <c r="D135" s="214"/>
      <c r="E135" s="214"/>
      <c r="F135" s="214"/>
      <c r="G135" s="214"/>
      <c r="H135" s="214"/>
      <c r="I135" s="214"/>
      <c r="J135" s="214"/>
      <c r="K135" s="214"/>
      <c r="L135" s="214"/>
      <c r="M135" s="214"/>
      <c r="N135" s="214"/>
      <c r="O135" s="214"/>
      <c r="P135" s="214"/>
      <c r="Q135" s="214"/>
      <c r="R135" s="214"/>
      <c r="S135" s="214"/>
      <c r="T135" s="214"/>
      <c r="U135" s="214"/>
      <c r="V135" s="214"/>
      <c r="W135" s="214"/>
      <c r="X135" s="214"/>
      <c r="Y135" s="214"/>
      <c r="Z135" s="214"/>
      <c r="AA135" s="214"/>
      <c r="AB135" s="214"/>
      <c r="AC135" s="214"/>
      <c r="AD135" s="214"/>
      <c r="AE135" s="214"/>
      <c r="AF135" s="214"/>
      <c r="AG135" s="214"/>
      <c r="AH135" s="214"/>
      <c r="AI135" s="214"/>
      <c r="AJ135" s="214"/>
      <c r="AK135" s="214"/>
      <c r="AL135" s="214"/>
      <c r="AM135" s="214"/>
      <c r="AN135" s="214"/>
      <c r="AO135" s="214"/>
      <c r="AP135" s="214"/>
      <c r="AQ135" s="214"/>
      <c r="AR135" s="214"/>
      <c r="AS135" s="214"/>
      <c r="AT135" s="214"/>
      <c r="AU135" s="214"/>
      <c r="AV135" s="214"/>
      <c r="AW135" s="214"/>
      <c r="AX135" s="214"/>
      <c r="AY135" s="214"/>
      <c r="AZ135" s="214"/>
      <c r="BA135" s="214"/>
      <c r="BB135" s="214"/>
      <c r="BC135" s="214"/>
      <c r="BD135" s="214"/>
      <c r="BE135" s="214"/>
      <c r="BF135" s="214"/>
      <c r="BG135" s="214"/>
      <c r="BH135" s="214"/>
      <c r="BI135" s="214"/>
      <c r="BJ135" s="214"/>
      <c r="BK135" s="214"/>
      <c r="BL135" s="214"/>
      <c r="BM135" s="214"/>
      <c r="BN135" s="214"/>
      <c r="BO135" s="214"/>
      <c r="BP135" s="214"/>
      <c r="BQ135" s="214"/>
      <c r="BR135" s="214"/>
      <c r="BS135" s="214"/>
      <c r="BT135" s="214"/>
      <c r="BU135" s="214"/>
      <c r="BV135" s="214"/>
      <c r="BW135" s="214"/>
      <c r="BX135" s="214"/>
      <c r="BY135" s="214"/>
      <c r="BZ135" s="214"/>
      <c r="CA135" s="214"/>
      <c r="CB135" s="214"/>
      <c r="CC135" s="214"/>
      <c r="CD135" s="214"/>
      <c r="CE135" s="214"/>
      <c r="CF135" s="214"/>
      <c r="CG135" s="214"/>
      <c r="CH135" s="214"/>
      <c r="CI135" s="214"/>
      <c r="CJ135" s="214"/>
      <c r="CK135" s="214"/>
      <c r="CL135" s="214"/>
      <c r="CM135" s="214"/>
      <c r="CN135" s="214"/>
      <c r="CO135" s="214"/>
      <c r="CP135" s="214"/>
      <c r="CQ135" s="214"/>
      <c r="CR135" s="214"/>
      <c r="CS135" s="214"/>
      <c r="CT135" s="214"/>
      <c r="CU135" s="214"/>
      <c r="CV135" s="214"/>
      <c r="CW135" s="214"/>
      <c r="CX135" s="214"/>
      <c r="CY135" s="214"/>
      <c r="CZ135" s="214"/>
      <c r="DA135" s="214"/>
      <c r="DB135" s="214"/>
      <c r="DC135" s="214"/>
      <c r="DD135" s="214"/>
      <c r="DE135" s="214"/>
      <c r="DF135" s="214"/>
      <c r="DG135" s="214"/>
      <c r="DH135" s="214"/>
      <c r="DI135" s="214"/>
      <c r="DJ135" s="214"/>
      <c r="DK135" s="214"/>
      <c r="DL135" s="214"/>
      <c r="DM135" s="214"/>
      <c r="DN135" s="214"/>
      <c r="DO135" s="214"/>
      <c r="DP135" s="214"/>
      <c r="DQ135" s="214"/>
      <c r="DR135" s="214"/>
      <c r="DS135" s="214"/>
      <c r="DT135" s="214"/>
      <c r="DU135" s="214"/>
      <c r="DV135" s="214"/>
      <c r="DW135" s="214"/>
      <c r="DX135" s="214"/>
      <c r="DY135" s="214"/>
      <c r="DZ135" s="214"/>
      <c r="EA135" s="214"/>
      <c r="EB135" s="214"/>
      <c r="EC135" s="214"/>
      <c r="ED135" s="214"/>
      <c r="EE135" s="214"/>
      <c r="EF135" s="214"/>
      <c r="EG135" s="214"/>
      <c r="EH135" s="214"/>
      <c r="EI135" s="214"/>
      <c r="EJ135" s="214"/>
      <c r="EK135" s="214"/>
      <c r="EL135" s="214"/>
      <c r="EM135" s="214"/>
      <c r="EN135" s="214"/>
      <c r="EO135" s="214"/>
      <c r="EP135" s="214"/>
      <c r="EQ135" s="214"/>
      <c r="ER135" s="214"/>
      <c r="ES135" s="214"/>
      <c r="ET135" s="214"/>
      <c r="EW135"/>
    </row>
    <row r="136" spans="3:153" x14ac:dyDescent="0.3">
      <c r="C136" s="214"/>
      <c r="D136" s="214"/>
      <c r="E136" s="214"/>
      <c r="F136" s="214"/>
      <c r="G136" s="214"/>
      <c r="H136" s="214"/>
      <c r="I136" s="214"/>
      <c r="J136" s="214"/>
      <c r="K136" s="214"/>
      <c r="L136" s="214"/>
      <c r="M136" s="214"/>
      <c r="N136" s="214"/>
      <c r="O136" s="214"/>
      <c r="P136" s="214"/>
      <c r="Q136" s="214"/>
      <c r="R136" s="214"/>
      <c r="S136" s="214"/>
      <c r="T136" s="214"/>
      <c r="U136" s="214"/>
      <c r="V136" s="214"/>
      <c r="W136" s="214"/>
      <c r="X136" s="214"/>
      <c r="Y136" s="214"/>
      <c r="Z136" s="214"/>
      <c r="AA136" s="214"/>
      <c r="AB136" s="214"/>
      <c r="AC136" s="214"/>
      <c r="AD136" s="214"/>
      <c r="AE136" s="214"/>
      <c r="AF136" s="214"/>
      <c r="AG136" s="214"/>
      <c r="AH136" s="214"/>
      <c r="AI136" s="214"/>
      <c r="AJ136" s="214"/>
      <c r="AK136" s="214"/>
      <c r="AL136" s="214"/>
      <c r="AM136" s="214"/>
      <c r="AN136" s="214"/>
      <c r="AO136" s="214"/>
      <c r="AP136" s="214"/>
      <c r="AQ136" s="214"/>
      <c r="AR136" s="214"/>
      <c r="AS136" s="214"/>
      <c r="AT136" s="214"/>
      <c r="AU136" s="214"/>
      <c r="AV136" s="214"/>
      <c r="AW136" s="214"/>
      <c r="AX136" s="214"/>
      <c r="AY136" s="214"/>
      <c r="AZ136" s="214"/>
      <c r="BA136" s="214"/>
      <c r="BB136" s="214"/>
      <c r="BC136" s="214"/>
      <c r="BD136" s="214"/>
      <c r="BE136" s="214"/>
      <c r="BF136" s="214"/>
      <c r="BG136" s="214"/>
      <c r="BH136" s="214"/>
      <c r="BI136" s="214"/>
      <c r="BJ136" s="214"/>
      <c r="BK136" s="214"/>
      <c r="BL136" s="214"/>
      <c r="BM136" s="214"/>
      <c r="BN136" s="214"/>
      <c r="BO136" s="214"/>
      <c r="BP136" s="214"/>
      <c r="BQ136" s="214"/>
      <c r="BR136" s="214"/>
      <c r="BS136" s="214"/>
      <c r="BT136" s="214"/>
      <c r="BU136" s="214"/>
      <c r="BV136" s="214"/>
      <c r="BW136" s="214"/>
      <c r="BX136" s="214"/>
      <c r="BY136" s="214"/>
      <c r="BZ136" s="214"/>
      <c r="CA136" s="214"/>
      <c r="CB136" s="214"/>
      <c r="CC136" s="214"/>
      <c r="CD136" s="214"/>
      <c r="CE136" s="214"/>
      <c r="CF136" s="214"/>
      <c r="CG136" s="214"/>
      <c r="CH136" s="214"/>
      <c r="CI136" s="214"/>
      <c r="CJ136" s="214"/>
      <c r="CK136" s="214"/>
      <c r="CL136" s="214"/>
      <c r="CM136" s="214"/>
      <c r="CN136" s="214"/>
      <c r="CO136" s="214"/>
      <c r="CP136" s="214"/>
      <c r="CQ136" s="214"/>
      <c r="CR136" s="214"/>
      <c r="CS136" s="214"/>
      <c r="CT136" s="214"/>
      <c r="CU136" s="214"/>
      <c r="CV136" s="214"/>
      <c r="CW136" s="214"/>
      <c r="CX136" s="214"/>
      <c r="CY136" s="214"/>
      <c r="CZ136" s="214"/>
      <c r="DA136" s="214"/>
      <c r="DB136" s="214"/>
      <c r="DC136" s="214"/>
      <c r="DD136" s="214"/>
      <c r="DE136" s="214"/>
      <c r="DF136" s="214"/>
      <c r="DG136" s="214"/>
      <c r="DH136" s="214"/>
      <c r="DI136" s="214"/>
      <c r="DJ136" s="214"/>
      <c r="DK136" s="214"/>
      <c r="DL136" s="214"/>
      <c r="DM136" s="214"/>
      <c r="DN136" s="214"/>
      <c r="DO136" s="214"/>
      <c r="DP136" s="214"/>
      <c r="DQ136" s="214"/>
      <c r="DR136" s="214"/>
      <c r="DS136" s="214"/>
      <c r="DT136" s="214"/>
      <c r="DU136" s="214"/>
      <c r="DV136" s="214"/>
      <c r="DW136" s="214"/>
      <c r="DX136" s="214"/>
      <c r="DY136" s="214"/>
      <c r="DZ136" s="214"/>
      <c r="EA136" s="214"/>
      <c r="EB136" s="214"/>
      <c r="EC136" s="214"/>
      <c r="ED136" s="214"/>
      <c r="EE136" s="214"/>
      <c r="EF136" s="214"/>
      <c r="EG136" s="214"/>
      <c r="EH136" s="214"/>
      <c r="EI136" s="214"/>
      <c r="EJ136" s="214"/>
      <c r="EK136" s="214"/>
      <c r="EL136" s="214"/>
      <c r="EM136" s="214"/>
      <c r="EN136" s="214"/>
      <c r="EO136" s="214"/>
      <c r="EP136" s="214"/>
      <c r="EQ136" s="214"/>
      <c r="ER136" s="214"/>
      <c r="ES136" s="214"/>
      <c r="ET136" s="214"/>
      <c r="EW136"/>
    </row>
    <row r="137" spans="3:153" x14ac:dyDescent="0.3">
      <c r="C137" s="214"/>
      <c r="D137" s="214"/>
      <c r="E137" s="214"/>
      <c r="F137" s="214"/>
      <c r="G137" s="214"/>
      <c r="H137" s="214"/>
      <c r="I137" s="214"/>
      <c r="J137" s="214"/>
      <c r="K137" s="214"/>
      <c r="L137" s="214"/>
      <c r="M137" s="214"/>
      <c r="N137" s="214"/>
      <c r="O137" s="214"/>
      <c r="P137" s="214"/>
      <c r="Q137" s="214"/>
      <c r="R137" s="214"/>
      <c r="S137" s="214"/>
      <c r="T137" s="214"/>
      <c r="U137" s="214"/>
      <c r="V137" s="214"/>
      <c r="W137" s="214"/>
      <c r="X137" s="214"/>
      <c r="Y137" s="214"/>
      <c r="Z137" s="214"/>
      <c r="AA137" s="214"/>
      <c r="AB137" s="214"/>
      <c r="AC137" s="214"/>
      <c r="AD137" s="214"/>
      <c r="AE137" s="214"/>
      <c r="AF137" s="214"/>
      <c r="AG137" s="214"/>
      <c r="AH137" s="214"/>
      <c r="AI137" s="214"/>
      <c r="AJ137" s="214"/>
      <c r="AK137" s="214"/>
      <c r="AL137" s="214"/>
      <c r="AM137" s="214"/>
      <c r="AN137" s="214"/>
      <c r="AO137" s="214"/>
      <c r="AP137" s="214"/>
      <c r="AQ137" s="214"/>
      <c r="AR137" s="214"/>
      <c r="AS137" s="214"/>
      <c r="AT137" s="214"/>
      <c r="AU137" s="214"/>
      <c r="AV137" s="214"/>
      <c r="AW137" s="214"/>
      <c r="AX137" s="214"/>
      <c r="AY137" s="214"/>
      <c r="AZ137" s="214"/>
      <c r="BA137" s="214"/>
      <c r="BB137" s="214"/>
      <c r="BC137" s="214"/>
      <c r="BD137" s="214"/>
      <c r="BE137" s="214"/>
      <c r="BF137" s="214"/>
      <c r="BG137" s="214"/>
      <c r="BH137" s="214"/>
      <c r="BI137" s="214"/>
      <c r="BJ137" s="214"/>
      <c r="BK137" s="214"/>
      <c r="BL137" s="214"/>
      <c r="BM137" s="214"/>
      <c r="BN137" s="214"/>
      <c r="BO137" s="214"/>
      <c r="BP137" s="214"/>
      <c r="BQ137" s="214"/>
      <c r="BR137" s="214"/>
      <c r="BS137" s="214"/>
      <c r="BT137" s="214"/>
      <c r="BU137" s="214"/>
      <c r="BV137" s="214"/>
      <c r="BW137" s="214"/>
      <c r="BX137" s="214"/>
      <c r="BY137" s="214"/>
      <c r="BZ137" s="214"/>
      <c r="CA137" s="214"/>
      <c r="CB137" s="214"/>
      <c r="CC137" s="214"/>
      <c r="CD137" s="214"/>
      <c r="CE137" s="214"/>
      <c r="CF137" s="214"/>
      <c r="CG137" s="214"/>
      <c r="CH137" s="214"/>
      <c r="CI137" s="214"/>
      <c r="CJ137" s="214"/>
      <c r="CK137" s="214"/>
      <c r="CL137" s="214"/>
      <c r="CM137" s="214"/>
      <c r="CN137" s="214"/>
      <c r="CO137" s="214"/>
      <c r="CP137" s="214"/>
      <c r="CQ137" s="214"/>
      <c r="CR137" s="214"/>
      <c r="CS137" s="214"/>
      <c r="CT137" s="214"/>
      <c r="CU137" s="214"/>
      <c r="CV137" s="214"/>
      <c r="CW137" s="214"/>
      <c r="CX137" s="214"/>
      <c r="CY137" s="214"/>
      <c r="CZ137" s="214"/>
      <c r="DA137" s="214"/>
      <c r="DB137" s="214"/>
      <c r="DC137" s="214"/>
      <c r="DD137" s="214"/>
      <c r="DE137" s="214"/>
      <c r="DF137" s="214"/>
      <c r="DG137" s="214"/>
      <c r="DH137" s="214"/>
      <c r="DI137" s="214"/>
      <c r="DJ137" s="214"/>
      <c r="DK137" s="214"/>
      <c r="DL137" s="214"/>
      <c r="DM137" s="214"/>
      <c r="DN137" s="214"/>
      <c r="DO137" s="214"/>
      <c r="DP137" s="214"/>
      <c r="DQ137" s="214"/>
      <c r="DR137" s="214"/>
      <c r="DS137" s="214"/>
      <c r="DT137" s="214"/>
      <c r="DU137" s="214"/>
      <c r="DV137" s="214"/>
      <c r="DW137" s="214"/>
      <c r="DX137" s="214"/>
      <c r="DY137" s="214"/>
      <c r="DZ137" s="214"/>
      <c r="EA137" s="214"/>
      <c r="EB137" s="214"/>
      <c r="EC137" s="214"/>
      <c r="ED137" s="214"/>
      <c r="EE137" s="214"/>
      <c r="EF137" s="214"/>
      <c r="EG137" s="214"/>
      <c r="EH137" s="214"/>
      <c r="EI137" s="214"/>
      <c r="EJ137" s="214"/>
      <c r="EK137" s="214"/>
      <c r="EL137" s="214"/>
      <c r="EM137" s="214"/>
      <c r="EN137" s="214"/>
      <c r="EO137" s="214"/>
      <c r="EP137" s="214"/>
      <c r="EQ137" s="214"/>
      <c r="ER137" s="214"/>
      <c r="ES137" s="214"/>
      <c r="ET137" s="214"/>
      <c r="EW137"/>
    </row>
    <row r="138" spans="3:153" x14ac:dyDescent="0.3">
      <c r="C138" s="214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4"/>
      <c r="W138" s="214"/>
      <c r="X138" s="214"/>
      <c r="Y138" s="214"/>
      <c r="Z138" s="214"/>
      <c r="AA138" s="214"/>
      <c r="AB138" s="214"/>
      <c r="AC138" s="214"/>
      <c r="AD138" s="214"/>
      <c r="AE138" s="214"/>
      <c r="AF138" s="214"/>
      <c r="AG138" s="214"/>
      <c r="AH138" s="214"/>
      <c r="AI138" s="214"/>
      <c r="AJ138" s="214"/>
      <c r="AK138" s="214"/>
      <c r="AL138" s="214"/>
      <c r="AM138" s="214"/>
      <c r="AN138" s="214"/>
      <c r="AO138" s="214"/>
      <c r="AP138" s="214"/>
      <c r="AQ138" s="214"/>
      <c r="AR138" s="214"/>
      <c r="AS138" s="214"/>
      <c r="AT138" s="214"/>
      <c r="AU138" s="214"/>
      <c r="AV138" s="214"/>
      <c r="AW138" s="214"/>
      <c r="AX138" s="214"/>
      <c r="AY138" s="214"/>
      <c r="AZ138" s="214"/>
      <c r="BA138" s="214"/>
      <c r="BB138" s="214"/>
      <c r="BC138" s="214"/>
      <c r="BD138" s="214"/>
      <c r="BE138" s="214"/>
      <c r="BF138" s="214"/>
      <c r="BG138" s="214"/>
      <c r="BH138" s="214"/>
      <c r="BI138" s="214"/>
      <c r="BJ138" s="214"/>
      <c r="BK138" s="214"/>
      <c r="BL138" s="214"/>
      <c r="BM138" s="214"/>
      <c r="BN138" s="214"/>
      <c r="BO138" s="214"/>
      <c r="BP138" s="214"/>
      <c r="BQ138" s="214"/>
      <c r="BR138" s="214"/>
      <c r="BS138" s="214"/>
      <c r="BT138" s="214"/>
      <c r="BU138" s="214"/>
      <c r="BV138" s="214"/>
      <c r="BW138" s="214"/>
      <c r="BX138" s="214"/>
      <c r="BY138" s="214"/>
      <c r="BZ138" s="214"/>
      <c r="CA138" s="214"/>
      <c r="CB138" s="214"/>
      <c r="CC138" s="214"/>
      <c r="CD138" s="214"/>
      <c r="CE138" s="214"/>
      <c r="CF138" s="214"/>
      <c r="CG138" s="214"/>
      <c r="CH138" s="214"/>
      <c r="CI138" s="214"/>
      <c r="CJ138" s="214"/>
      <c r="CK138" s="214"/>
      <c r="CL138" s="214"/>
      <c r="CM138" s="214"/>
      <c r="CN138" s="214"/>
      <c r="CO138" s="214"/>
      <c r="CP138" s="214"/>
      <c r="CQ138" s="214"/>
      <c r="CR138" s="214"/>
      <c r="CS138" s="214"/>
      <c r="CT138" s="214"/>
      <c r="CU138" s="214"/>
      <c r="CV138" s="214"/>
      <c r="CW138" s="214"/>
      <c r="CX138" s="214"/>
      <c r="CY138" s="214"/>
      <c r="CZ138" s="214"/>
      <c r="DA138" s="214"/>
      <c r="DB138" s="214"/>
      <c r="DC138" s="214"/>
      <c r="DD138" s="214"/>
      <c r="DE138" s="214"/>
      <c r="DF138" s="214"/>
      <c r="DG138" s="214"/>
      <c r="DH138" s="214"/>
      <c r="DI138" s="214"/>
      <c r="DJ138" s="214"/>
      <c r="DK138" s="214"/>
      <c r="DL138" s="214"/>
      <c r="DM138" s="214"/>
      <c r="DN138" s="214"/>
      <c r="DO138" s="214"/>
      <c r="DP138" s="214"/>
      <c r="DQ138" s="214"/>
      <c r="DR138" s="214"/>
      <c r="DS138" s="214"/>
      <c r="DT138" s="214"/>
      <c r="DU138" s="214"/>
      <c r="DV138" s="214"/>
      <c r="DW138" s="214"/>
      <c r="DX138" s="214"/>
      <c r="DY138" s="214"/>
      <c r="DZ138" s="214"/>
      <c r="EA138" s="214"/>
      <c r="EB138" s="214"/>
      <c r="EC138" s="214"/>
      <c r="ED138" s="214"/>
      <c r="EE138" s="214"/>
      <c r="EF138" s="214"/>
      <c r="EG138" s="214"/>
      <c r="EH138" s="214"/>
      <c r="EI138" s="214"/>
      <c r="EJ138" s="214"/>
      <c r="EK138" s="214"/>
      <c r="EL138" s="214"/>
      <c r="EM138" s="214"/>
      <c r="EN138" s="214"/>
      <c r="EO138" s="214"/>
      <c r="EP138" s="214"/>
      <c r="EQ138" s="214"/>
      <c r="ER138" s="214"/>
      <c r="ES138" s="214"/>
      <c r="ET138" s="214"/>
      <c r="EW138"/>
    </row>
    <row r="139" spans="3:153" x14ac:dyDescent="0.3">
      <c r="C139" s="214"/>
      <c r="D139" s="214"/>
      <c r="E139" s="214"/>
      <c r="F139" s="214"/>
      <c r="G139" s="214"/>
      <c r="H139" s="214"/>
      <c r="I139" s="214"/>
      <c r="J139" s="214"/>
      <c r="K139" s="214"/>
      <c r="L139" s="214"/>
      <c r="M139" s="214"/>
      <c r="N139" s="214"/>
      <c r="O139" s="214"/>
      <c r="P139" s="214"/>
      <c r="Q139" s="214"/>
      <c r="R139" s="214"/>
      <c r="S139" s="214"/>
      <c r="T139" s="214"/>
      <c r="U139" s="214"/>
      <c r="V139" s="214"/>
      <c r="W139" s="214"/>
      <c r="X139" s="214"/>
      <c r="Y139" s="214"/>
      <c r="Z139" s="214"/>
      <c r="AA139" s="214"/>
      <c r="AB139" s="214"/>
      <c r="AC139" s="214"/>
      <c r="AD139" s="214"/>
      <c r="AE139" s="214"/>
      <c r="AF139" s="214"/>
      <c r="AG139" s="214"/>
      <c r="AH139" s="214"/>
      <c r="AI139" s="214"/>
      <c r="AJ139" s="214"/>
      <c r="AK139" s="214"/>
      <c r="AL139" s="214"/>
      <c r="AM139" s="214"/>
      <c r="AN139" s="214"/>
      <c r="AO139" s="214"/>
      <c r="AP139" s="214"/>
      <c r="AQ139" s="214"/>
      <c r="AR139" s="214"/>
      <c r="AS139" s="214"/>
      <c r="AT139" s="214"/>
      <c r="AU139" s="214"/>
      <c r="AV139" s="214"/>
      <c r="AW139" s="214"/>
      <c r="AX139" s="214"/>
      <c r="AY139" s="214"/>
      <c r="AZ139" s="214"/>
      <c r="BA139" s="214"/>
      <c r="BB139" s="214"/>
      <c r="BC139" s="214"/>
      <c r="BD139" s="214"/>
      <c r="BE139" s="214"/>
      <c r="BF139" s="214"/>
      <c r="BG139" s="214"/>
      <c r="BH139" s="214"/>
      <c r="BI139" s="214"/>
      <c r="BJ139" s="214"/>
      <c r="BK139" s="214"/>
      <c r="BL139" s="214"/>
      <c r="BM139" s="214"/>
      <c r="BN139" s="214"/>
      <c r="BO139" s="214"/>
      <c r="BP139" s="214"/>
      <c r="BQ139" s="214"/>
      <c r="BR139" s="214"/>
      <c r="BS139" s="214"/>
      <c r="BT139" s="214"/>
      <c r="BU139" s="214"/>
      <c r="BV139" s="214"/>
      <c r="BW139" s="214"/>
      <c r="BX139" s="214"/>
      <c r="BY139" s="214"/>
      <c r="BZ139" s="214"/>
      <c r="CA139" s="214"/>
      <c r="CB139" s="214"/>
      <c r="CC139" s="214"/>
      <c r="CD139" s="214"/>
      <c r="CE139" s="214"/>
      <c r="CF139" s="214"/>
      <c r="CG139" s="214"/>
      <c r="CH139" s="214"/>
      <c r="CI139" s="214"/>
      <c r="CJ139" s="214"/>
      <c r="CK139" s="214"/>
      <c r="CL139" s="214"/>
      <c r="CM139" s="214"/>
      <c r="CN139" s="214"/>
      <c r="CO139" s="214"/>
      <c r="CP139" s="214"/>
      <c r="CQ139" s="214"/>
      <c r="CR139" s="214"/>
      <c r="CS139" s="214"/>
      <c r="CT139" s="214"/>
      <c r="CU139" s="214"/>
      <c r="CV139" s="214"/>
      <c r="CW139" s="214"/>
      <c r="CX139" s="214"/>
      <c r="CY139" s="214"/>
      <c r="CZ139" s="214"/>
      <c r="DA139" s="214"/>
      <c r="DB139" s="214"/>
      <c r="DC139" s="214"/>
      <c r="DD139" s="214"/>
      <c r="DE139" s="214"/>
      <c r="DF139" s="214"/>
      <c r="DG139" s="214"/>
      <c r="DH139" s="214"/>
      <c r="DI139" s="214"/>
      <c r="DJ139" s="214"/>
      <c r="DK139" s="214"/>
      <c r="DL139" s="214"/>
      <c r="DM139" s="214"/>
      <c r="DN139" s="214"/>
      <c r="DO139" s="214"/>
      <c r="DP139" s="214"/>
      <c r="DQ139" s="214"/>
      <c r="DR139" s="214"/>
      <c r="DS139" s="214"/>
      <c r="DT139" s="214"/>
      <c r="DU139" s="214"/>
      <c r="DV139" s="214"/>
      <c r="DW139" s="214"/>
      <c r="DX139" s="214"/>
      <c r="DY139" s="214"/>
      <c r="DZ139" s="214"/>
      <c r="EA139" s="214"/>
      <c r="EB139" s="214"/>
      <c r="EC139" s="214"/>
      <c r="ED139" s="214"/>
      <c r="EE139" s="214"/>
      <c r="EF139" s="214"/>
      <c r="EG139" s="214"/>
      <c r="EH139" s="214"/>
      <c r="EI139" s="214"/>
      <c r="EJ139" s="214"/>
      <c r="EK139" s="214"/>
      <c r="EL139" s="214"/>
      <c r="EM139" s="214"/>
      <c r="EN139" s="214"/>
      <c r="EO139" s="214"/>
      <c r="EP139" s="214"/>
      <c r="EQ139" s="214"/>
      <c r="ER139" s="214"/>
      <c r="ES139" s="214"/>
      <c r="ET139" s="214"/>
      <c r="EW139"/>
    </row>
    <row r="140" spans="3:153" x14ac:dyDescent="0.3">
      <c r="C140" s="214"/>
      <c r="D140" s="214"/>
      <c r="E140" s="214"/>
      <c r="F140" s="214"/>
      <c r="G140" s="214"/>
      <c r="H140" s="214"/>
      <c r="I140" s="214"/>
      <c r="J140" s="214"/>
      <c r="K140" s="214"/>
      <c r="L140" s="214"/>
      <c r="M140" s="214"/>
      <c r="N140" s="214"/>
      <c r="O140" s="214"/>
      <c r="P140" s="214"/>
      <c r="Q140" s="214"/>
      <c r="R140" s="214"/>
      <c r="S140" s="214"/>
      <c r="T140" s="214"/>
      <c r="U140" s="214"/>
      <c r="V140" s="214"/>
      <c r="W140" s="214"/>
      <c r="X140" s="214"/>
      <c r="Y140" s="214"/>
      <c r="Z140" s="214"/>
      <c r="AA140" s="214"/>
      <c r="AB140" s="214"/>
      <c r="AC140" s="214"/>
      <c r="AD140" s="214"/>
      <c r="AE140" s="214"/>
      <c r="AF140" s="214"/>
      <c r="AG140" s="214"/>
      <c r="AH140" s="214"/>
      <c r="AI140" s="214"/>
      <c r="AJ140" s="214"/>
      <c r="AK140" s="214"/>
      <c r="AL140" s="214"/>
      <c r="AM140" s="214"/>
      <c r="AN140" s="214"/>
      <c r="AO140" s="214"/>
      <c r="AP140" s="214"/>
      <c r="AQ140" s="214"/>
      <c r="AR140" s="214"/>
      <c r="AS140" s="214"/>
      <c r="AT140" s="214"/>
      <c r="AU140" s="214"/>
      <c r="AV140" s="214"/>
      <c r="AW140" s="214"/>
      <c r="AX140" s="214"/>
      <c r="AY140" s="214"/>
      <c r="AZ140" s="214"/>
      <c r="BA140" s="214"/>
      <c r="BB140" s="214"/>
      <c r="BC140" s="214"/>
      <c r="BD140" s="214"/>
      <c r="BE140" s="214"/>
      <c r="BF140" s="214"/>
      <c r="BG140" s="214"/>
      <c r="BH140" s="214"/>
      <c r="BI140" s="214"/>
      <c r="BJ140" s="214"/>
      <c r="BK140" s="214"/>
      <c r="BL140" s="214"/>
      <c r="BM140" s="214"/>
      <c r="BN140" s="214"/>
      <c r="BO140" s="214"/>
      <c r="BP140" s="214"/>
      <c r="BQ140" s="214"/>
      <c r="BR140" s="214"/>
      <c r="BS140" s="214"/>
      <c r="BT140" s="214"/>
      <c r="BU140" s="214"/>
      <c r="BV140" s="214"/>
      <c r="BW140" s="214"/>
      <c r="BX140" s="214"/>
      <c r="BY140" s="214"/>
      <c r="BZ140" s="214"/>
      <c r="CA140" s="214"/>
      <c r="CB140" s="214"/>
      <c r="CC140" s="214"/>
      <c r="CD140" s="214"/>
      <c r="CE140" s="214"/>
      <c r="CF140" s="214"/>
      <c r="CG140" s="214"/>
      <c r="CH140" s="214"/>
      <c r="CI140" s="214"/>
      <c r="CJ140" s="214"/>
      <c r="CK140" s="214"/>
      <c r="CL140" s="214"/>
      <c r="CM140" s="214"/>
      <c r="CN140" s="214"/>
      <c r="CO140" s="214"/>
      <c r="CP140" s="214"/>
      <c r="CQ140" s="214"/>
      <c r="CR140" s="214"/>
      <c r="CS140" s="214"/>
      <c r="CT140" s="214"/>
      <c r="CU140" s="214"/>
      <c r="CV140" s="214"/>
      <c r="CW140" s="214"/>
      <c r="CX140" s="214"/>
      <c r="CY140" s="214"/>
      <c r="CZ140" s="214"/>
      <c r="DA140" s="214"/>
      <c r="DB140" s="214"/>
      <c r="DC140" s="214"/>
      <c r="DD140" s="214"/>
      <c r="DE140" s="214"/>
      <c r="DF140" s="214"/>
      <c r="DG140" s="214"/>
      <c r="DH140" s="214"/>
      <c r="DI140" s="214"/>
      <c r="DJ140" s="214"/>
      <c r="DK140" s="214"/>
      <c r="DL140" s="214"/>
      <c r="DM140" s="214"/>
      <c r="DN140" s="214"/>
      <c r="DO140" s="214"/>
      <c r="DP140" s="214"/>
      <c r="DQ140" s="214"/>
      <c r="DR140" s="214"/>
      <c r="DS140" s="214"/>
      <c r="DT140" s="214"/>
      <c r="DU140" s="214"/>
      <c r="DV140" s="214"/>
      <c r="DW140" s="214"/>
      <c r="DX140" s="214"/>
      <c r="DY140" s="214"/>
      <c r="DZ140" s="214"/>
      <c r="EA140" s="214"/>
      <c r="EB140" s="214"/>
      <c r="EC140" s="214"/>
      <c r="ED140" s="214"/>
      <c r="EE140" s="214"/>
      <c r="EF140" s="214"/>
      <c r="EG140" s="214"/>
      <c r="EH140" s="214"/>
      <c r="EI140" s="214"/>
      <c r="EJ140" s="214"/>
      <c r="EK140" s="214"/>
      <c r="EL140" s="214"/>
      <c r="EM140" s="214"/>
      <c r="EN140" s="214"/>
      <c r="EO140" s="214"/>
      <c r="EP140" s="214"/>
      <c r="EQ140" s="214"/>
      <c r="ER140" s="214"/>
      <c r="ES140" s="214"/>
      <c r="ET140" s="214"/>
      <c r="EW140"/>
    </row>
    <row r="141" spans="3:153" x14ac:dyDescent="0.3">
      <c r="C141" s="214"/>
      <c r="D141" s="214"/>
      <c r="E141" s="214"/>
      <c r="F141" s="214"/>
      <c r="G141" s="214"/>
      <c r="H141" s="214"/>
      <c r="I141" s="214"/>
      <c r="J141" s="214"/>
      <c r="K141" s="214"/>
      <c r="L141" s="214"/>
      <c r="M141" s="214"/>
      <c r="N141" s="214"/>
      <c r="O141" s="214"/>
      <c r="P141" s="214"/>
      <c r="Q141" s="214"/>
      <c r="R141" s="214"/>
      <c r="S141" s="214"/>
      <c r="T141" s="214"/>
      <c r="U141" s="214"/>
      <c r="V141" s="214"/>
      <c r="W141" s="214"/>
      <c r="X141" s="214"/>
      <c r="Y141" s="214"/>
      <c r="Z141" s="214"/>
      <c r="AA141" s="214"/>
      <c r="AB141" s="214"/>
      <c r="AC141" s="214"/>
      <c r="AD141" s="214"/>
      <c r="AE141" s="214"/>
      <c r="AF141" s="214"/>
      <c r="AG141" s="214"/>
      <c r="AH141" s="214"/>
      <c r="AI141" s="214"/>
      <c r="AJ141" s="214"/>
      <c r="AK141" s="214"/>
      <c r="AL141" s="214"/>
      <c r="AM141" s="214"/>
      <c r="AN141" s="214"/>
      <c r="AO141" s="214"/>
      <c r="AP141" s="214"/>
      <c r="AQ141" s="214"/>
      <c r="AR141" s="214"/>
      <c r="AS141" s="214"/>
      <c r="AT141" s="214"/>
      <c r="AU141" s="214"/>
      <c r="AV141" s="214"/>
      <c r="AW141" s="214"/>
      <c r="AX141" s="214"/>
      <c r="AY141" s="214"/>
      <c r="AZ141" s="214"/>
      <c r="BA141" s="214"/>
      <c r="BB141" s="214"/>
      <c r="BC141" s="214"/>
      <c r="BD141" s="214"/>
      <c r="BE141" s="214"/>
      <c r="BF141" s="214"/>
      <c r="BG141" s="214"/>
      <c r="BH141" s="214"/>
      <c r="BI141" s="214"/>
      <c r="BJ141" s="214"/>
      <c r="BK141" s="214"/>
      <c r="BL141" s="214"/>
      <c r="BM141" s="214"/>
      <c r="BN141" s="214"/>
      <c r="BO141" s="214"/>
      <c r="BP141" s="214"/>
      <c r="BQ141" s="214"/>
      <c r="BR141" s="214"/>
      <c r="BS141" s="214"/>
      <c r="BT141" s="214"/>
      <c r="BU141" s="214"/>
      <c r="BV141" s="214"/>
      <c r="BW141" s="214"/>
      <c r="BX141" s="214"/>
      <c r="BY141" s="214"/>
      <c r="BZ141" s="214"/>
      <c r="CA141" s="214"/>
      <c r="CB141" s="214"/>
      <c r="CC141" s="214"/>
      <c r="CD141" s="214"/>
      <c r="CE141" s="214"/>
      <c r="CF141" s="214"/>
      <c r="CG141" s="214"/>
      <c r="CH141" s="214"/>
      <c r="CI141" s="214"/>
      <c r="CJ141" s="214"/>
      <c r="CK141" s="214"/>
      <c r="CL141" s="214"/>
      <c r="CM141" s="214"/>
      <c r="CN141" s="214"/>
      <c r="CO141" s="214"/>
      <c r="CP141" s="214"/>
      <c r="CQ141" s="214"/>
      <c r="CR141" s="214"/>
      <c r="CS141" s="214"/>
      <c r="CT141" s="214"/>
      <c r="CU141" s="214"/>
      <c r="CV141" s="214"/>
      <c r="CW141" s="214"/>
      <c r="CX141" s="214"/>
      <c r="CY141" s="214"/>
      <c r="CZ141" s="214"/>
      <c r="DA141" s="214"/>
      <c r="DB141" s="214"/>
      <c r="DC141" s="214"/>
      <c r="DD141" s="214"/>
      <c r="DE141" s="214"/>
      <c r="DF141" s="214"/>
      <c r="DG141" s="214"/>
      <c r="DH141" s="214"/>
      <c r="DI141" s="214"/>
      <c r="DJ141" s="214"/>
      <c r="DK141" s="214"/>
      <c r="DL141" s="214"/>
      <c r="DM141" s="214"/>
      <c r="DN141" s="214"/>
      <c r="DO141" s="214"/>
      <c r="DP141" s="214"/>
      <c r="DQ141" s="214"/>
      <c r="DR141" s="214"/>
      <c r="DS141" s="214"/>
      <c r="DT141" s="214"/>
      <c r="DU141" s="214"/>
      <c r="DV141" s="214"/>
      <c r="DW141" s="214"/>
      <c r="DX141" s="214"/>
      <c r="DY141" s="214"/>
      <c r="DZ141" s="214"/>
      <c r="EA141" s="214"/>
      <c r="EB141" s="214"/>
      <c r="EC141" s="214"/>
      <c r="ED141" s="214"/>
      <c r="EE141" s="214"/>
      <c r="EF141" s="214"/>
      <c r="EG141" s="214"/>
      <c r="EH141" s="214"/>
      <c r="EI141" s="214"/>
      <c r="EJ141" s="214"/>
      <c r="EK141" s="214"/>
      <c r="EL141" s="214"/>
      <c r="EM141" s="214"/>
      <c r="EN141" s="214"/>
      <c r="EO141" s="214"/>
      <c r="EP141" s="214"/>
      <c r="EQ141" s="214"/>
      <c r="ER141" s="214"/>
      <c r="ES141" s="214"/>
      <c r="ET141" s="214"/>
      <c r="EW141"/>
    </row>
    <row r="142" spans="3:153" x14ac:dyDescent="0.3">
      <c r="C142" s="214"/>
      <c r="D142" s="214"/>
      <c r="E142" s="214"/>
      <c r="F142" s="214"/>
      <c r="G142" s="214"/>
      <c r="H142" s="214"/>
      <c r="I142" s="214"/>
      <c r="J142" s="214"/>
      <c r="K142" s="214"/>
      <c r="L142" s="214"/>
      <c r="M142" s="214"/>
      <c r="N142" s="214"/>
      <c r="O142" s="214"/>
      <c r="P142" s="214"/>
      <c r="Q142" s="214"/>
      <c r="R142" s="214"/>
      <c r="S142" s="214"/>
      <c r="T142" s="214"/>
      <c r="U142" s="214"/>
      <c r="V142" s="214"/>
      <c r="W142" s="214"/>
      <c r="X142" s="214"/>
      <c r="Y142" s="214"/>
      <c r="Z142" s="214"/>
      <c r="AA142" s="214"/>
      <c r="AB142" s="214"/>
      <c r="AC142" s="214"/>
      <c r="AD142" s="214"/>
      <c r="AE142" s="214"/>
      <c r="AF142" s="214"/>
      <c r="AG142" s="214"/>
      <c r="AH142" s="214"/>
      <c r="AI142" s="214"/>
      <c r="AJ142" s="214"/>
      <c r="AK142" s="214"/>
      <c r="AL142" s="214"/>
      <c r="AM142" s="214"/>
      <c r="AN142" s="214"/>
      <c r="AO142" s="214"/>
      <c r="AP142" s="214"/>
      <c r="AQ142" s="214"/>
      <c r="AR142" s="214"/>
      <c r="AS142" s="214"/>
      <c r="AT142" s="214"/>
      <c r="AU142" s="214"/>
      <c r="AV142" s="214"/>
      <c r="AW142" s="214"/>
      <c r="AX142" s="214"/>
      <c r="AY142" s="214"/>
      <c r="AZ142" s="214"/>
      <c r="BA142" s="214"/>
      <c r="BB142" s="214"/>
      <c r="BC142" s="214"/>
      <c r="BD142" s="214"/>
      <c r="BE142" s="214"/>
      <c r="BF142" s="214"/>
      <c r="BG142" s="214"/>
      <c r="BH142" s="214"/>
      <c r="BI142" s="214"/>
      <c r="BJ142" s="214"/>
      <c r="BK142" s="214"/>
      <c r="BL142" s="214"/>
      <c r="BM142" s="214"/>
      <c r="BN142" s="214"/>
      <c r="BO142" s="214"/>
      <c r="BP142" s="214"/>
      <c r="BQ142" s="214"/>
      <c r="BR142" s="214"/>
      <c r="BS142" s="214"/>
      <c r="BT142" s="214"/>
      <c r="BU142" s="214"/>
      <c r="BV142" s="214"/>
      <c r="BW142" s="214"/>
      <c r="BX142" s="214"/>
      <c r="BY142" s="214"/>
      <c r="BZ142" s="214"/>
      <c r="CA142" s="214"/>
      <c r="CB142" s="214"/>
      <c r="CC142" s="214"/>
      <c r="CD142" s="214"/>
      <c r="CE142" s="214"/>
      <c r="CF142" s="214"/>
      <c r="CG142" s="214"/>
      <c r="CH142" s="214"/>
      <c r="CI142" s="214"/>
      <c r="CJ142" s="214"/>
      <c r="CK142" s="214"/>
      <c r="CL142" s="214"/>
      <c r="CM142" s="214"/>
      <c r="CN142" s="214"/>
      <c r="CO142" s="214"/>
      <c r="CP142" s="214"/>
      <c r="CQ142" s="214"/>
      <c r="CR142" s="214"/>
      <c r="CS142" s="214"/>
      <c r="CT142" s="214"/>
      <c r="CU142" s="214"/>
      <c r="CV142" s="214"/>
      <c r="CW142" s="214"/>
      <c r="CX142" s="214"/>
      <c r="CY142" s="214"/>
      <c r="CZ142" s="214"/>
      <c r="DA142" s="214"/>
      <c r="DB142" s="214"/>
      <c r="DC142" s="214"/>
      <c r="DD142" s="214"/>
      <c r="DE142" s="214"/>
      <c r="DF142" s="214"/>
      <c r="DG142" s="214"/>
      <c r="DH142" s="214"/>
      <c r="DI142" s="214"/>
      <c r="DJ142" s="214"/>
      <c r="DK142" s="214"/>
      <c r="DL142" s="214"/>
      <c r="DM142" s="214"/>
      <c r="DN142" s="214"/>
      <c r="DO142" s="214"/>
      <c r="DP142" s="214"/>
      <c r="DQ142" s="214"/>
      <c r="DR142" s="214"/>
      <c r="DS142" s="214"/>
      <c r="DT142" s="214"/>
      <c r="DU142" s="214"/>
      <c r="DV142" s="214"/>
      <c r="DW142" s="214"/>
      <c r="DX142" s="214"/>
      <c r="DY142" s="214"/>
      <c r="DZ142" s="214"/>
      <c r="EA142" s="214"/>
      <c r="EB142" s="214"/>
      <c r="EC142" s="214"/>
      <c r="ED142" s="214"/>
      <c r="EE142" s="214"/>
      <c r="EF142" s="214"/>
      <c r="EG142" s="214"/>
      <c r="EH142" s="214"/>
      <c r="EI142" s="214"/>
      <c r="EJ142" s="214"/>
      <c r="EK142" s="214"/>
      <c r="EL142" s="214"/>
      <c r="EM142" s="214"/>
      <c r="EN142" s="214"/>
      <c r="EO142" s="214"/>
      <c r="EP142" s="214"/>
      <c r="EQ142" s="214"/>
      <c r="ER142" s="214"/>
      <c r="ES142" s="214"/>
      <c r="ET142" s="214"/>
      <c r="EW142"/>
    </row>
    <row r="143" spans="3:153" x14ac:dyDescent="0.3">
      <c r="C143" s="214"/>
      <c r="D143" s="214"/>
      <c r="E143" s="214"/>
      <c r="F143" s="214"/>
      <c r="G143" s="214"/>
      <c r="H143" s="214"/>
      <c r="I143" s="214"/>
      <c r="J143" s="214"/>
      <c r="K143" s="214"/>
      <c r="L143" s="214"/>
      <c r="M143" s="214"/>
      <c r="N143" s="214"/>
      <c r="O143" s="214"/>
      <c r="P143" s="214"/>
      <c r="Q143" s="214"/>
      <c r="R143" s="214"/>
      <c r="S143" s="214"/>
      <c r="T143" s="214"/>
      <c r="U143" s="214"/>
      <c r="V143" s="214"/>
      <c r="W143" s="214"/>
      <c r="X143" s="214"/>
      <c r="Y143" s="214"/>
      <c r="Z143" s="214"/>
      <c r="AA143" s="214"/>
      <c r="AB143" s="214"/>
      <c r="AC143" s="214"/>
      <c r="AD143" s="214"/>
      <c r="AE143" s="214"/>
      <c r="AF143" s="214"/>
      <c r="AG143" s="214"/>
      <c r="AH143" s="214"/>
      <c r="AI143" s="214"/>
      <c r="AJ143" s="214"/>
      <c r="AK143" s="214"/>
      <c r="AL143" s="214"/>
      <c r="AM143" s="214"/>
      <c r="AN143" s="214"/>
      <c r="AO143" s="214"/>
      <c r="AP143" s="214"/>
      <c r="AQ143" s="214"/>
      <c r="AR143" s="214"/>
      <c r="AS143" s="214"/>
      <c r="AT143" s="214"/>
      <c r="AU143" s="214"/>
      <c r="AV143" s="214"/>
      <c r="AW143" s="214"/>
      <c r="AX143" s="214"/>
      <c r="AY143" s="214"/>
      <c r="AZ143" s="214"/>
      <c r="BA143" s="214"/>
      <c r="BB143" s="214"/>
      <c r="BC143" s="214"/>
      <c r="BD143" s="214"/>
      <c r="BE143" s="214"/>
      <c r="BF143" s="214"/>
      <c r="BG143" s="214"/>
      <c r="BH143" s="214"/>
      <c r="BI143" s="214"/>
      <c r="BJ143" s="214"/>
      <c r="BK143" s="214"/>
      <c r="BL143" s="214"/>
      <c r="BM143" s="214"/>
      <c r="BN143" s="214"/>
      <c r="BO143" s="214"/>
      <c r="BP143" s="214"/>
      <c r="BQ143" s="214"/>
      <c r="BR143" s="214"/>
      <c r="BS143" s="214"/>
      <c r="BT143" s="214"/>
      <c r="BU143" s="214"/>
      <c r="BV143" s="214"/>
      <c r="BW143" s="214"/>
      <c r="BX143" s="214"/>
      <c r="BY143" s="214"/>
      <c r="BZ143" s="214"/>
      <c r="CA143" s="214"/>
      <c r="CB143" s="214"/>
      <c r="CC143" s="214"/>
      <c r="CD143" s="214"/>
      <c r="CE143" s="214"/>
      <c r="CF143" s="214"/>
      <c r="CG143" s="214"/>
      <c r="CH143" s="214"/>
      <c r="CI143" s="214"/>
      <c r="CJ143" s="214"/>
      <c r="CK143" s="214"/>
      <c r="CL143" s="214"/>
      <c r="CM143" s="214"/>
      <c r="CN143" s="214"/>
      <c r="CO143" s="214"/>
      <c r="CP143" s="214"/>
      <c r="CQ143" s="214"/>
      <c r="CR143" s="214"/>
      <c r="CS143" s="214"/>
      <c r="CT143" s="214"/>
      <c r="CU143" s="214"/>
      <c r="CV143" s="214"/>
      <c r="CW143" s="214"/>
      <c r="CX143" s="214"/>
      <c r="CY143" s="214"/>
      <c r="CZ143" s="214"/>
      <c r="DA143" s="214"/>
      <c r="DB143" s="214"/>
      <c r="DC143" s="214"/>
      <c r="DD143" s="214"/>
      <c r="DE143" s="214"/>
      <c r="DF143" s="214"/>
      <c r="DG143" s="214"/>
      <c r="DH143" s="214"/>
      <c r="DI143" s="214"/>
      <c r="DJ143" s="214"/>
      <c r="DK143" s="214"/>
      <c r="DL143" s="214"/>
      <c r="DM143" s="214"/>
      <c r="DN143" s="214"/>
      <c r="DO143" s="214"/>
      <c r="DP143" s="214"/>
      <c r="DQ143" s="214"/>
      <c r="DR143" s="214"/>
      <c r="DS143" s="214"/>
      <c r="DT143" s="214"/>
      <c r="DU143" s="214"/>
      <c r="DV143" s="214"/>
      <c r="DW143" s="214"/>
      <c r="DX143" s="214"/>
      <c r="DY143" s="214"/>
      <c r="DZ143" s="214"/>
      <c r="EA143" s="214"/>
      <c r="EB143" s="214"/>
      <c r="EC143" s="214"/>
      <c r="ED143" s="214"/>
      <c r="EE143" s="214"/>
      <c r="EF143" s="214"/>
      <c r="EG143" s="214"/>
      <c r="EH143" s="214"/>
      <c r="EI143" s="214"/>
      <c r="EJ143" s="214"/>
      <c r="EK143" s="214"/>
      <c r="EL143" s="214"/>
      <c r="EM143" s="214"/>
      <c r="EN143" s="214"/>
      <c r="EO143" s="214"/>
      <c r="EP143" s="214"/>
      <c r="EQ143" s="214"/>
      <c r="ER143" s="214"/>
      <c r="ES143" s="214"/>
      <c r="ET143" s="214"/>
      <c r="EW143"/>
    </row>
    <row r="144" spans="3:153" x14ac:dyDescent="0.3">
      <c r="C144" s="214"/>
      <c r="D144" s="214"/>
      <c r="E144" s="214"/>
      <c r="F144" s="214"/>
      <c r="G144" s="214"/>
      <c r="H144" s="214"/>
      <c r="I144" s="214"/>
      <c r="J144" s="214"/>
      <c r="K144" s="214"/>
      <c r="L144" s="214"/>
      <c r="M144" s="214"/>
      <c r="N144" s="214"/>
      <c r="O144" s="214"/>
      <c r="P144" s="214"/>
      <c r="Q144" s="214"/>
      <c r="R144" s="214"/>
      <c r="S144" s="214"/>
      <c r="T144" s="214"/>
      <c r="U144" s="214"/>
      <c r="V144" s="214"/>
      <c r="W144" s="214"/>
      <c r="X144" s="214"/>
      <c r="Y144" s="214"/>
      <c r="Z144" s="214"/>
      <c r="AA144" s="214"/>
      <c r="AB144" s="214"/>
      <c r="AC144" s="214"/>
      <c r="AD144" s="214"/>
      <c r="AE144" s="214"/>
      <c r="AF144" s="214"/>
      <c r="AG144" s="214"/>
      <c r="AH144" s="214"/>
      <c r="AI144" s="214"/>
      <c r="AJ144" s="214"/>
      <c r="AK144" s="214"/>
      <c r="AL144" s="214"/>
      <c r="AM144" s="214"/>
      <c r="AN144" s="214"/>
      <c r="AO144" s="214"/>
      <c r="AP144" s="214"/>
      <c r="AQ144" s="214"/>
      <c r="AR144" s="214"/>
      <c r="AS144" s="214"/>
      <c r="AT144" s="214"/>
      <c r="AU144" s="214"/>
      <c r="AV144" s="214"/>
      <c r="AW144" s="214"/>
      <c r="AX144" s="214"/>
      <c r="AY144" s="214"/>
      <c r="AZ144" s="214"/>
      <c r="BA144" s="214"/>
      <c r="BB144" s="214"/>
      <c r="BC144" s="214"/>
      <c r="BD144" s="214"/>
      <c r="BE144" s="214"/>
      <c r="BF144" s="214"/>
      <c r="BG144" s="214"/>
      <c r="BH144" s="214"/>
      <c r="BI144" s="214"/>
      <c r="BJ144" s="214"/>
      <c r="BK144" s="214"/>
      <c r="BL144" s="214"/>
      <c r="BM144" s="214"/>
      <c r="BN144" s="214"/>
      <c r="BO144" s="214"/>
      <c r="BP144" s="214"/>
      <c r="BQ144" s="214"/>
      <c r="BR144" s="214"/>
      <c r="BS144" s="214"/>
      <c r="BT144" s="214"/>
      <c r="BU144" s="214"/>
      <c r="BV144" s="214"/>
      <c r="BW144" s="214"/>
      <c r="BX144" s="214"/>
      <c r="BY144" s="214"/>
      <c r="BZ144" s="214"/>
      <c r="CA144" s="214"/>
      <c r="CB144" s="214"/>
      <c r="CC144" s="214"/>
      <c r="CD144" s="214"/>
      <c r="CE144" s="214"/>
      <c r="CF144" s="214"/>
      <c r="CG144" s="214"/>
      <c r="CH144" s="214"/>
      <c r="CI144" s="214"/>
      <c r="CJ144" s="214"/>
      <c r="CK144" s="214"/>
      <c r="CL144" s="214"/>
      <c r="CM144" s="214"/>
      <c r="CN144" s="214"/>
      <c r="CO144" s="214"/>
      <c r="CP144" s="214"/>
      <c r="CQ144" s="214"/>
      <c r="CR144" s="214"/>
      <c r="CS144" s="214"/>
      <c r="CT144" s="214"/>
      <c r="CU144" s="214"/>
      <c r="CV144" s="214"/>
      <c r="CW144" s="214"/>
      <c r="CX144" s="214"/>
      <c r="CY144" s="214"/>
      <c r="CZ144" s="214"/>
      <c r="DA144" s="214"/>
      <c r="DB144" s="214"/>
      <c r="DC144" s="214"/>
      <c r="DD144" s="214"/>
      <c r="DE144" s="214"/>
      <c r="DF144" s="214"/>
      <c r="DG144" s="214"/>
      <c r="DH144" s="214"/>
      <c r="DI144" s="214"/>
      <c r="DJ144" s="214"/>
      <c r="DK144" s="214"/>
      <c r="DL144" s="214"/>
      <c r="DM144" s="214"/>
      <c r="DN144" s="214"/>
      <c r="DO144" s="214"/>
      <c r="DP144" s="214"/>
      <c r="DQ144" s="214"/>
      <c r="DR144" s="214"/>
      <c r="DS144" s="214"/>
      <c r="DT144" s="214"/>
      <c r="DU144" s="214"/>
      <c r="DV144" s="214"/>
      <c r="DW144" s="214"/>
      <c r="DX144" s="214"/>
      <c r="DY144" s="214"/>
      <c r="DZ144" s="214"/>
      <c r="EA144" s="214"/>
      <c r="EB144" s="214"/>
      <c r="EC144" s="214"/>
      <c r="ED144" s="214"/>
      <c r="EE144" s="214"/>
      <c r="EF144" s="214"/>
      <c r="EG144" s="214"/>
      <c r="EH144" s="214"/>
      <c r="EI144" s="214"/>
      <c r="EJ144" s="214"/>
      <c r="EK144" s="214"/>
      <c r="EL144" s="214"/>
      <c r="EM144" s="214"/>
      <c r="EN144" s="214"/>
      <c r="EO144" s="214"/>
      <c r="EP144" s="214"/>
      <c r="EQ144" s="214"/>
      <c r="ER144" s="214"/>
      <c r="ES144" s="214"/>
      <c r="ET144" s="214"/>
      <c r="EW144"/>
    </row>
    <row r="145" spans="3:153" x14ac:dyDescent="0.3">
      <c r="C145" s="214"/>
      <c r="D145" s="214"/>
      <c r="E145" s="214"/>
      <c r="F145" s="214"/>
      <c r="G145" s="214"/>
      <c r="H145" s="214"/>
      <c r="I145" s="214"/>
      <c r="J145" s="214"/>
      <c r="K145" s="214"/>
      <c r="L145" s="214"/>
      <c r="M145" s="214"/>
      <c r="N145" s="214"/>
      <c r="O145" s="214"/>
      <c r="P145" s="214"/>
      <c r="Q145" s="214"/>
      <c r="R145" s="214"/>
      <c r="S145" s="214"/>
      <c r="T145" s="214"/>
      <c r="U145" s="214"/>
      <c r="V145" s="214"/>
      <c r="W145" s="214"/>
      <c r="X145" s="214"/>
      <c r="Y145" s="214"/>
      <c r="Z145" s="214"/>
      <c r="AA145" s="214"/>
      <c r="AB145" s="214"/>
      <c r="AC145" s="214"/>
      <c r="AD145" s="214"/>
      <c r="AE145" s="214"/>
      <c r="AF145" s="214"/>
      <c r="AG145" s="214"/>
      <c r="AH145" s="214"/>
      <c r="AI145" s="214"/>
      <c r="AJ145" s="214"/>
      <c r="AK145" s="214"/>
      <c r="AL145" s="214"/>
      <c r="AM145" s="214"/>
      <c r="AN145" s="214"/>
      <c r="AO145" s="214"/>
      <c r="AP145" s="214"/>
      <c r="AQ145" s="214"/>
      <c r="AR145" s="214"/>
      <c r="AS145" s="214"/>
      <c r="AT145" s="214"/>
      <c r="AU145" s="214"/>
      <c r="AV145" s="214"/>
      <c r="AW145" s="214"/>
      <c r="AX145" s="214"/>
      <c r="AY145" s="214"/>
      <c r="AZ145" s="214"/>
      <c r="BA145" s="214"/>
      <c r="BB145" s="214"/>
      <c r="BC145" s="214"/>
      <c r="BD145" s="214"/>
      <c r="BE145" s="214"/>
      <c r="BF145" s="214"/>
      <c r="BG145" s="214"/>
      <c r="BH145" s="214"/>
      <c r="BI145" s="214"/>
      <c r="BJ145" s="214"/>
      <c r="BK145" s="214"/>
      <c r="BL145" s="214"/>
      <c r="BM145" s="214"/>
      <c r="BN145" s="214"/>
      <c r="BO145" s="214"/>
      <c r="BP145" s="214"/>
      <c r="BQ145" s="214"/>
      <c r="BR145" s="214"/>
      <c r="BS145" s="214"/>
      <c r="BT145" s="214"/>
      <c r="BU145" s="214"/>
      <c r="BV145" s="214"/>
      <c r="BW145" s="214"/>
      <c r="BX145" s="214"/>
      <c r="BY145" s="214"/>
      <c r="BZ145" s="214"/>
      <c r="CA145" s="214"/>
      <c r="CB145" s="214"/>
      <c r="CC145" s="214"/>
      <c r="CD145" s="214"/>
      <c r="CE145" s="214"/>
      <c r="CF145" s="214"/>
      <c r="CG145" s="214"/>
      <c r="CH145" s="214"/>
      <c r="CI145" s="214"/>
      <c r="CJ145" s="214"/>
      <c r="CK145" s="214"/>
      <c r="CL145" s="214"/>
      <c r="CM145" s="214"/>
      <c r="CN145" s="214"/>
      <c r="CO145" s="214"/>
      <c r="CP145" s="214"/>
      <c r="CQ145" s="214"/>
      <c r="CR145" s="214"/>
      <c r="CS145" s="214"/>
      <c r="CT145" s="214"/>
      <c r="CU145" s="214"/>
      <c r="CV145" s="214"/>
      <c r="CW145" s="214"/>
      <c r="CX145" s="214"/>
      <c r="CY145" s="214"/>
      <c r="CZ145" s="214"/>
      <c r="DA145" s="214"/>
      <c r="DB145" s="214"/>
      <c r="DC145" s="214"/>
      <c r="DD145" s="214"/>
      <c r="DE145" s="214"/>
      <c r="DF145" s="214"/>
      <c r="DG145" s="214"/>
      <c r="DH145" s="214"/>
      <c r="DI145" s="214"/>
      <c r="DJ145" s="214"/>
      <c r="DK145" s="214"/>
      <c r="DL145" s="214"/>
      <c r="DM145" s="214"/>
      <c r="DN145" s="214"/>
      <c r="DO145" s="214"/>
      <c r="DP145" s="214"/>
      <c r="DQ145" s="214"/>
      <c r="DR145" s="214"/>
      <c r="DS145" s="214"/>
      <c r="DT145" s="214"/>
      <c r="DU145" s="214"/>
      <c r="DV145" s="214"/>
      <c r="DW145" s="214"/>
      <c r="DX145" s="214"/>
      <c r="DY145" s="214"/>
      <c r="DZ145" s="214"/>
      <c r="EA145" s="214"/>
      <c r="EB145" s="214"/>
      <c r="EC145" s="214"/>
      <c r="ED145" s="214"/>
      <c r="EE145" s="214"/>
      <c r="EF145" s="214"/>
      <c r="EG145" s="214"/>
      <c r="EH145" s="214"/>
      <c r="EI145" s="214"/>
      <c r="EJ145" s="214"/>
      <c r="EK145" s="214"/>
      <c r="EL145" s="214"/>
      <c r="EM145" s="214"/>
      <c r="EN145" s="214"/>
      <c r="EO145" s="214"/>
      <c r="EP145" s="214"/>
      <c r="EQ145" s="214"/>
      <c r="ER145" s="214"/>
      <c r="ES145" s="214"/>
      <c r="ET145" s="214"/>
      <c r="EW145"/>
    </row>
    <row r="146" spans="3:153" x14ac:dyDescent="0.3">
      <c r="C146" s="214"/>
      <c r="D146" s="214"/>
      <c r="E146" s="214"/>
      <c r="F146" s="214"/>
      <c r="G146" s="214"/>
      <c r="H146" s="214"/>
      <c r="I146" s="214"/>
      <c r="J146" s="214"/>
      <c r="K146" s="214"/>
      <c r="L146" s="214"/>
      <c r="M146" s="214"/>
      <c r="N146" s="214"/>
      <c r="O146" s="214"/>
      <c r="P146" s="214"/>
      <c r="Q146" s="214"/>
      <c r="R146" s="214"/>
      <c r="S146" s="214"/>
      <c r="T146" s="214"/>
      <c r="U146" s="214"/>
      <c r="V146" s="214"/>
      <c r="W146" s="214"/>
      <c r="X146" s="214"/>
      <c r="Y146" s="214"/>
      <c r="Z146" s="214"/>
      <c r="AA146" s="214"/>
      <c r="AB146" s="214"/>
      <c r="AC146" s="214"/>
      <c r="AD146" s="214"/>
      <c r="AE146" s="214"/>
      <c r="AF146" s="214"/>
      <c r="AG146" s="214"/>
      <c r="AH146" s="214"/>
      <c r="AI146" s="214"/>
      <c r="AJ146" s="214"/>
      <c r="AK146" s="214"/>
      <c r="AL146" s="214"/>
      <c r="AM146" s="214"/>
      <c r="AN146" s="214"/>
      <c r="AO146" s="214"/>
      <c r="AP146" s="214"/>
      <c r="AQ146" s="214"/>
      <c r="AR146" s="214"/>
      <c r="AS146" s="214"/>
      <c r="AT146" s="214"/>
      <c r="AU146" s="214"/>
      <c r="AV146" s="214"/>
      <c r="AW146" s="214"/>
      <c r="AX146" s="214"/>
      <c r="AY146" s="214"/>
      <c r="AZ146" s="214"/>
      <c r="BA146" s="214"/>
      <c r="BB146" s="214"/>
      <c r="BC146" s="214"/>
      <c r="BD146" s="214"/>
      <c r="BE146" s="214"/>
      <c r="BF146" s="214"/>
      <c r="BG146" s="214"/>
      <c r="BH146" s="214"/>
      <c r="BI146" s="214"/>
      <c r="BJ146" s="214"/>
      <c r="BK146" s="214"/>
      <c r="BL146" s="214"/>
      <c r="BM146" s="214"/>
      <c r="BN146" s="214"/>
      <c r="BO146" s="214"/>
      <c r="BP146" s="214"/>
      <c r="BQ146" s="214"/>
      <c r="BR146" s="214"/>
      <c r="BS146" s="214"/>
      <c r="BT146" s="214"/>
      <c r="BU146" s="214"/>
      <c r="BV146" s="214"/>
      <c r="BW146" s="214"/>
      <c r="BX146" s="214"/>
      <c r="BY146" s="214"/>
      <c r="BZ146" s="214"/>
      <c r="CA146" s="214"/>
      <c r="CB146" s="214"/>
      <c r="CC146" s="214"/>
      <c r="CD146" s="214"/>
      <c r="CE146" s="214"/>
      <c r="CF146" s="214"/>
      <c r="CG146" s="214"/>
      <c r="CH146" s="214"/>
      <c r="CI146" s="214"/>
      <c r="CJ146" s="214"/>
      <c r="CK146" s="214"/>
      <c r="CL146" s="214"/>
      <c r="CM146" s="214"/>
      <c r="CN146" s="214"/>
      <c r="CO146" s="214"/>
      <c r="CP146" s="214"/>
      <c r="CQ146" s="214"/>
      <c r="CR146" s="214"/>
      <c r="CS146" s="214"/>
      <c r="CT146" s="214"/>
      <c r="CU146" s="214"/>
      <c r="CV146" s="214"/>
      <c r="CW146" s="214"/>
      <c r="CX146" s="214"/>
      <c r="CY146" s="214"/>
      <c r="CZ146" s="214"/>
      <c r="DA146" s="214"/>
      <c r="DB146" s="214"/>
      <c r="DC146" s="214"/>
      <c r="DD146" s="214"/>
      <c r="DE146" s="214"/>
      <c r="DF146" s="214"/>
      <c r="DG146" s="214"/>
      <c r="DH146" s="214"/>
      <c r="DI146" s="214"/>
      <c r="DJ146" s="214"/>
      <c r="DK146" s="214"/>
      <c r="DL146" s="214"/>
      <c r="DM146" s="214"/>
      <c r="DN146" s="214"/>
      <c r="DO146" s="214"/>
      <c r="DP146" s="214"/>
      <c r="DQ146" s="214"/>
      <c r="DR146" s="214"/>
      <c r="DS146" s="214"/>
      <c r="DT146" s="214"/>
      <c r="DU146" s="214"/>
      <c r="DV146" s="214"/>
      <c r="DW146" s="214"/>
      <c r="DX146" s="214"/>
      <c r="DY146" s="214"/>
      <c r="DZ146" s="214"/>
      <c r="EA146" s="214"/>
      <c r="EB146" s="214"/>
      <c r="EC146" s="214"/>
      <c r="ED146" s="214"/>
      <c r="EE146" s="214"/>
      <c r="EF146" s="214"/>
      <c r="EG146" s="214"/>
      <c r="EH146" s="214"/>
      <c r="EI146" s="214"/>
      <c r="EJ146" s="214"/>
      <c r="EK146" s="214"/>
      <c r="EL146" s="214"/>
      <c r="EM146" s="214"/>
      <c r="EN146" s="214"/>
      <c r="EO146" s="214"/>
      <c r="EP146" s="214"/>
      <c r="EQ146" s="214"/>
      <c r="ER146" s="214"/>
      <c r="ES146" s="214"/>
      <c r="ET146" s="214"/>
      <c r="EW146"/>
    </row>
    <row r="147" spans="3:153" x14ac:dyDescent="0.3">
      <c r="C147" s="214"/>
      <c r="D147" s="214"/>
      <c r="E147" s="214"/>
      <c r="F147" s="214"/>
      <c r="G147" s="214"/>
      <c r="H147" s="214"/>
      <c r="I147" s="214"/>
      <c r="J147" s="214"/>
      <c r="K147" s="214"/>
      <c r="L147" s="214"/>
      <c r="M147" s="214"/>
      <c r="N147" s="214"/>
      <c r="O147" s="214"/>
      <c r="P147" s="214"/>
      <c r="Q147" s="214"/>
      <c r="R147" s="214"/>
      <c r="S147" s="214"/>
      <c r="T147" s="214"/>
      <c r="U147" s="214"/>
      <c r="V147" s="214"/>
      <c r="W147" s="214"/>
      <c r="X147" s="214"/>
      <c r="Y147" s="214"/>
      <c r="Z147" s="214"/>
      <c r="AA147" s="214"/>
      <c r="AB147" s="214"/>
      <c r="AC147" s="214"/>
      <c r="AD147" s="214"/>
      <c r="AE147" s="214"/>
      <c r="AF147" s="214"/>
      <c r="AG147" s="214"/>
      <c r="AH147" s="214"/>
      <c r="AI147" s="214"/>
      <c r="AJ147" s="214"/>
      <c r="AK147" s="214"/>
      <c r="AL147" s="214"/>
      <c r="AM147" s="214"/>
      <c r="AN147" s="214"/>
      <c r="AO147" s="214"/>
      <c r="AP147" s="214"/>
      <c r="AQ147" s="214"/>
      <c r="AR147" s="214"/>
      <c r="AS147" s="214"/>
      <c r="AT147" s="214"/>
      <c r="AU147" s="214"/>
      <c r="AV147" s="214"/>
      <c r="AW147" s="214"/>
      <c r="AX147" s="214"/>
      <c r="AY147" s="214"/>
      <c r="AZ147" s="214"/>
      <c r="BA147" s="214"/>
      <c r="BB147" s="214"/>
      <c r="BC147" s="214"/>
      <c r="BD147" s="214"/>
      <c r="BE147" s="214"/>
      <c r="BF147" s="214"/>
      <c r="BG147" s="214"/>
      <c r="BH147" s="214"/>
      <c r="BI147" s="214"/>
      <c r="BJ147" s="214"/>
      <c r="BK147" s="214"/>
      <c r="BL147" s="214"/>
      <c r="BM147" s="214"/>
      <c r="BN147" s="214"/>
      <c r="BO147" s="214"/>
      <c r="BP147" s="214"/>
      <c r="BQ147" s="214"/>
      <c r="BR147" s="214"/>
      <c r="BS147" s="214"/>
      <c r="BT147" s="214"/>
      <c r="BU147" s="214"/>
      <c r="BV147" s="214"/>
      <c r="BW147" s="214"/>
      <c r="BX147" s="214"/>
      <c r="BY147" s="214"/>
      <c r="BZ147" s="214"/>
      <c r="CA147" s="214"/>
      <c r="CB147" s="214"/>
      <c r="CC147" s="214"/>
      <c r="CD147" s="214"/>
      <c r="CE147" s="214"/>
      <c r="CF147" s="214"/>
      <c r="CG147" s="214"/>
      <c r="CH147" s="214"/>
      <c r="CI147" s="214"/>
      <c r="CJ147" s="214"/>
      <c r="CK147" s="214"/>
      <c r="CL147" s="214"/>
      <c r="CM147" s="214"/>
      <c r="CN147" s="214"/>
      <c r="CO147" s="214"/>
      <c r="CP147" s="214"/>
      <c r="CQ147" s="214"/>
      <c r="CR147" s="214"/>
      <c r="CS147" s="214"/>
      <c r="CT147" s="214"/>
      <c r="CU147" s="214"/>
      <c r="CV147" s="214"/>
      <c r="CW147" s="214"/>
      <c r="CX147" s="214"/>
      <c r="CY147" s="214"/>
      <c r="CZ147" s="214"/>
      <c r="DA147" s="214"/>
      <c r="DB147" s="214"/>
      <c r="DC147" s="214"/>
      <c r="DD147" s="214"/>
      <c r="DE147" s="214"/>
      <c r="DF147" s="214"/>
      <c r="DG147" s="214"/>
      <c r="DH147" s="214"/>
      <c r="DI147" s="214"/>
      <c r="DJ147" s="214"/>
      <c r="DK147" s="214"/>
      <c r="DL147" s="214"/>
      <c r="DM147" s="214"/>
      <c r="DN147" s="214"/>
      <c r="DO147" s="214"/>
      <c r="DP147" s="214"/>
      <c r="DQ147" s="214"/>
      <c r="DR147" s="214"/>
      <c r="DS147" s="214"/>
      <c r="DT147" s="214"/>
      <c r="DU147" s="214"/>
      <c r="DV147" s="214"/>
      <c r="DW147" s="214"/>
      <c r="DX147" s="214"/>
      <c r="DY147" s="214"/>
      <c r="DZ147" s="214"/>
      <c r="EA147" s="214"/>
      <c r="EB147" s="214"/>
      <c r="EC147" s="214"/>
      <c r="ED147" s="214"/>
      <c r="EE147" s="214"/>
      <c r="EF147" s="214"/>
      <c r="EG147" s="214"/>
      <c r="EH147" s="214"/>
      <c r="EI147" s="214"/>
      <c r="EJ147" s="214"/>
      <c r="EK147" s="214"/>
      <c r="EL147" s="214"/>
      <c r="EM147" s="214"/>
      <c r="EN147" s="214"/>
      <c r="EO147" s="214"/>
      <c r="EP147" s="214"/>
      <c r="EQ147" s="214"/>
      <c r="ER147" s="214"/>
      <c r="ES147" s="214"/>
      <c r="ET147" s="214"/>
      <c r="EW147"/>
    </row>
    <row r="148" spans="3:153" x14ac:dyDescent="0.3">
      <c r="C148" s="214"/>
      <c r="D148" s="214"/>
      <c r="E148" s="214"/>
      <c r="F148" s="214"/>
      <c r="G148" s="214"/>
      <c r="H148" s="214"/>
      <c r="I148" s="214"/>
      <c r="J148" s="214"/>
      <c r="K148" s="214"/>
      <c r="L148" s="214"/>
      <c r="M148" s="214"/>
      <c r="N148" s="214"/>
      <c r="O148" s="214"/>
      <c r="P148" s="214"/>
      <c r="Q148" s="214"/>
      <c r="R148" s="214"/>
      <c r="S148" s="214"/>
      <c r="T148" s="214"/>
      <c r="U148" s="214"/>
      <c r="V148" s="214"/>
      <c r="W148" s="214"/>
      <c r="X148" s="214"/>
      <c r="Y148" s="214"/>
      <c r="Z148" s="214"/>
      <c r="AA148" s="214"/>
      <c r="AB148" s="214"/>
      <c r="AC148" s="214"/>
      <c r="AD148" s="214"/>
      <c r="AE148" s="214"/>
      <c r="AF148" s="214"/>
      <c r="AG148" s="214"/>
      <c r="AH148" s="214"/>
      <c r="AI148" s="214"/>
      <c r="AJ148" s="214"/>
      <c r="AK148" s="214"/>
      <c r="AL148" s="214"/>
      <c r="AM148" s="214"/>
      <c r="AN148" s="214"/>
      <c r="AO148" s="214"/>
      <c r="AP148" s="214"/>
      <c r="AQ148" s="214"/>
      <c r="AR148" s="214"/>
      <c r="AS148" s="214"/>
      <c r="AT148" s="214"/>
      <c r="AU148" s="214"/>
      <c r="AV148" s="214"/>
      <c r="AW148" s="214"/>
      <c r="AX148" s="214"/>
      <c r="AY148" s="214"/>
      <c r="AZ148" s="214"/>
      <c r="BA148" s="214"/>
      <c r="BB148" s="214"/>
      <c r="BC148" s="214"/>
      <c r="BD148" s="214"/>
      <c r="BE148" s="214"/>
      <c r="BF148" s="214"/>
      <c r="BG148" s="214"/>
      <c r="BH148" s="214"/>
      <c r="BI148" s="214"/>
      <c r="BJ148" s="214"/>
      <c r="BK148" s="214"/>
      <c r="BL148" s="214"/>
      <c r="BM148" s="214"/>
      <c r="BN148" s="214"/>
      <c r="BO148" s="214"/>
      <c r="BP148" s="214"/>
      <c r="BQ148" s="214"/>
      <c r="BR148" s="214"/>
      <c r="BS148" s="214"/>
      <c r="BT148" s="214"/>
      <c r="BU148" s="214"/>
      <c r="BV148" s="214"/>
      <c r="BW148" s="214"/>
      <c r="BX148" s="214"/>
      <c r="BY148" s="214"/>
      <c r="BZ148" s="214"/>
      <c r="CA148" s="214"/>
      <c r="CB148" s="214"/>
      <c r="CC148" s="214"/>
      <c r="CD148" s="214"/>
      <c r="CE148" s="214"/>
      <c r="CF148" s="214"/>
      <c r="CG148" s="214"/>
      <c r="CH148" s="214"/>
      <c r="CI148" s="214"/>
      <c r="CJ148" s="214"/>
      <c r="CK148" s="214"/>
      <c r="CL148" s="214"/>
      <c r="CM148" s="214"/>
      <c r="CN148" s="214"/>
      <c r="CO148" s="214"/>
      <c r="CP148" s="214"/>
      <c r="CQ148" s="214"/>
      <c r="CR148" s="214"/>
      <c r="CS148" s="214"/>
      <c r="CT148" s="214"/>
      <c r="CU148" s="214"/>
      <c r="CV148" s="214"/>
      <c r="CW148" s="214"/>
      <c r="CX148" s="214"/>
      <c r="CY148" s="214"/>
      <c r="CZ148" s="214"/>
      <c r="DA148" s="214"/>
      <c r="DB148" s="214"/>
      <c r="DC148" s="214"/>
      <c r="DD148" s="214"/>
      <c r="DE148" s="214"/>
      <c r="DF148" s="214"/>
      <c r="DG148" s="214"/>
      <c r="DH148" s="214"/>
      <c r="DI148" s="214"/>
      <c r="DJ148" s="214"/>
      <c r="DK148" s="214"/>
      <c r="DL148" s="214"/>
      <c r="DM148" s="214"/>
      <c r="DN148" s="214"/>
      <c r="DO148" s="214"/>
      <c r="DP148" s="214"/>
      <c r="DQ148" s="214"/>
      <c r="DR148" s="214"/>
      <c r="DS148" s="214"/>
      <c r="DT148" s="214"/>
      <c r="DU148" s="214"/>
      <c r="DV148" s="214"/>
      <c r="DW148" s="214"/>
      <c r="DX148" s="214"/>
      <c r="DY148" s="214"/>
      <c r="DZ148" s="214"/>
      <c r="EA148" s="214"/>
      <c r="EB148" s="214"/>
      <c r="EC148" s="214"/>
      <c r="ED148" s="214"/>
      <c r="EE148" s="214"/>
      <c r="EF148" s="214"/>
      <c r="EG148" s="214"/>
      <c r="EH148" s="214"/>
      <c r="EI148" s="214"/>
      <c r="EJ148" s="214"/>
      <c r="EK148" s="214"/>
      <c r="EL148" s="214"/>
      <c r="EM148" s="214"/>
      <c r="EN148" s="214"/>
      <c r="EO148" s="214"/>
      <c r="EP148" s="214"/>
      <c r="EQ148" s="214"/>
      <c r="ER148" s="214"/>
      <c r="ES148" s="214"/>
      <c r="ET148" s="214"/>
      <c r="EW148"/>
    </row>
    <row r="149" spans="3:153" x14ac:dyDescent="0.3">
      <c r="C149" s="214"/>
      <c r="D149" s="214"/>
      <c r="E149" s="214"/>
      <c r="F149" s="214"/>
      <c r="G149" s="214"/>
      <c r="H149" s="214"/>
      <c r="I149" s="214"/>
      <c r="J149" s="214"/>
      <c r="K149" s="214"/>
      <c r="L149" s="214"/>
      <c r="M149" s="214"/>
      <c r="N149" s="214"/>
      <c r="O149" s="214"/>
      <c r="P149" s="214"/>
      <c r="Q149" s="214"/>
      <c r="R149" s="214"/>
      <c r="S149" s="214"/>
      <c r="T149" s="214"/>
      <c r="U149" s="214"/>
      <c r="V149" s="214"/>
      <c r="W149" s="214"/>
      <c r="X149" s="214"/>
      <c r="Y149" s="214"/>
      <c r="Z149" s="214"/>
      <c r="AA149" s="214"/>
      <c r="AB149" s="214"/>
      <c r="AC149" s="214"/>
      <c r="AD149" s="214"/>
      <c r="AE149" s="214"/>
      <c r="AF149" s="214"/>
      <c r="AG149" s="214"/>
      <c r="AH149" s="214"/>
      <c r="AI149" s="214"/>
      <c r="AJ149" s="214"/>
      <c r="AK149" s="214"/>
      <c r="AL149" s="214"/>
      <c r="AM149" s="214"/>
      <c r="AN149" s="214"/>
      <c r="AO149" s="214"/>
      <c r="AP149" s="214"/>
      <c r="AQ149" s="214"/>
      <c r="AR149" s="214"/>
      <c r="AS149" s="214"/>
      <c r="AT149" s="214"/>
      <c r="AU149" s="214"/>
      <c r="AV149" s="214"/>
      <c r="AW149" s="214"/>
      <c r="AX149" s="214"/>
      <c r="AY149" s="214"/>
      <c r="AZ149" s="214"/>
      <c r="BA149" s="214"/>
      <c r="BB149" s="214"/>
      <c r="BC149" s="214"/>
      <c r="BD149" s="214"/>
      <c r="BE149" s="214"/>
      <c r="BF149" s="214"/>
      <c r="BG149" s="214"/>
      <c r="BH149" s="214"/>
      <c r="BI149" s="214"/>
      <c r="BJ149" s="214"/>
      <c r="BK149" s="214"/>
      <c r="BL149" s="214"/>
      <c r="BM149" s="214"/>
      <c r="BN149" s="214"/>
      <c r="BO149" s="214"/>
      <c r="BP149" s="214"/>
      <c r="BQ149" s="214"/>
      <c r="BR149" s="214"/>
      <c r="BS149" s="214"/>
      <c r="BT149" s="214"/>
      <c r="BU149" s="214"/>
      <c r="BV149" s="214"/>
      <c r="BW149" s="214"/>
      <c r="BX149" s="214"/>
      <c r="BY149" s="214"/>
      <c r="BZ149" s="214"/>
      <c r="CA149" s="214"/>
      <c r="CB149" s="214"/>
      <c r="CC149" s="214"/>
      <c r="CD149" s="214"/>
      <c r="CE149" s="214"/>
      <c r="CF149" s="214"/>
      <c r="CG149" s="214"/>
      <c r="CH149" s="214"/>
      <c r="CI149" s="214"/>
      <c r="CJ149" s="214"/>
      <c r="CK149" s="214"/>
      <c r="CL149" s="214"/>
      <c r="CM149" s="214"/>
      <c r="CN149" s="214"/>
      <c r="CO149" s="214"/>
      <c r="CP149" s="214"/>
      <c r="CQ149" s="214"/>
      <c r="CR149" s="214"/>
      <c r="CS149" s="214"/>
      <c r="CT149" s="214"/>
      <c r="CU149" s="214"/>
      <c r="CV149" s="214"/>
      <c r="CW149" s="214"/>
      <c r="CX149" s="214"/>
      <c r="CY149" s="214"/>
      <c r="CZ149" s="214"/>
      <c r="DA149" s="214"/>
      <c r="DB149" s="214"/>
      <c r="DC149" s="214"/>
      <c r="DD149" s="214"/>
      <c r="DE149" s="214"/>
      <c r="DF149" s="214"/>
      <c r="DG149" s="214"/>
      <c r="DH149" s="214"/>
      <c r="DI149" s="214"/>
      <c r="DJ149" s="214"/>
      <c r="DK149" s="214"/>
      <c r="DL149" s="214"/>
      <c r="DM149" s="214"/>
      <c r="DN149" s="214"/>
      <c r="DO149" s="214"/>
      <c r="DP149" s="214"/>
      <c r="DQ149" s="214"/>
      <c r="DR149" s="214"/>
      <c r="DS149" s="214"/>
      <c r="DT149" s="214"/>
      <c r="DU149" s="214"/>
      <c r="DV149" s="214"/>
      <c r="DW149" s="214"/>
      <c r="DX149" s="214"/>
      <c r="DY149" s="214"/>
      <c r="DZ149" s="214"/>
      <c r="EA149" s="214"/>
      <c r="EB149" s="214"/>
      <c r="EC149" s="214"/>
      <c r="ED149" s="214"/>
      <c r="EE149" s="214"/>
      <c r="EF149" s="214"/>
      <c r="EG149" s="214"/>
      <c r="EH149" s="214"/>
      <c r="EI149" s="214"/>
      <c r="EJ149" s="214"/>
      <c r="EK149" s="214"/>
      <c r="EL149" s="214"/>
      <c r="EM149" s="214"/>
      <c r="EN149" s="214"/>
      <c r="EO149" s="214"/>
      <c r="EP149" s="214"/>
      <c r="EQ149" s="214"/>
      <c r="ER149" s="214"/>
      <c r="ES149" s="214"/>
      <c r="ET149" s="214"/>
      <c r="EW149"/>
    </row>
    <row r="150" spans="3:153" x14ac:dyDescent="0.3">
      <c r="C150" s="214"/>
      <c r="D150" s="214"/>
      <c r="E150" s="214"/>
      <c r="F150" s="214"/>
      <c r="G150" s="214"/>
      <c r="H150" s="214"/>
      <c r="I150" s="214"/>
      <c r="J150" s="214"/>
      <c r="K150" s="214"/>
      <c r="L150" s="214"/>
      <c r="M150" s="214"/>
      <c r="N150" s="214"/>
      <c r="O150" s="214"/>
      <c r="P150" s="214"/>
      <c r="Q150" s="214"/>
      <c r="R150" s="214"/>
      <c r="S150" s="214"/>
      <c r="T150" s="214"/>
      <c r="U150" s="214"/>
      <c r="V150" s="214"/>
      <c r="W150" s="214"/>
      <c r="X150" s="214"/>
      <c r="Y150" s="214"/>
      <c r="Z150" s="214"/>
      <c r="AA150" s="214"/>
      <c r="AB150" s="214"/>
      <c r="AC150" s="214"/>
      <c r="AD150" s="214"/>
      <c r="AE150" s="214"/>
      <c r="AF150" s="214"/>
      <c r="AG150" s="214"/>
      <c r="AH150" s="214"/>
      <c r="AI150" s="214"/>
      <c r="AJ150" s="214"/>
      <c r="AK150" s="214"/>
      <c r="AL150" s="214"/>
      <c r="AM150" s="214"/>
      <c r="AN150" s="214"/>
      <c r="AO150" s="214"/>
      <c r="AP150" s="214"/>
      <c r="AQ150" s="214"/>
      <c r="AR150" s="214"/>
      <c r="AS150" s="214"/>
      <c r="AT150" s="214"/>
      <c r="AU150" s="214"/>
      <c r="AV150" s="214"/>
      <c r="AW150" s="214"/>
      <c r="AX150" s="214"/>
      <c r="AY150" s="214"/>
      <c r="AZ150" s="214"/>
      <c r="BA150" s="214"/>
      <c r="BB150" s="214"/>
      <c r="BC150" s="214"/>
      <c r="BD150" s="214"/>
      <c r="BE150" s="214"/>
      <c r="BF150" s="214"/>
      <c r="BG150" s="214"/>
      <c r="BH150" s="214"/>
      <c r="BI150" s="214"/>
      <c r="BJ150" s="214"/>
      <c r="BK150" s="214"/>
      <c r="BL150" s="214"/>
      <c r="BM150" s="214"/>
      <c r="BN150" s="214"/>
      <c r="BO150" s="214"/>
      <c r="BP150" s="214"/>
      <c r="BQ150" s="214"/>
      <c r="BR150" s="214"/>
      <c r="BS150" s="214"/>
      <c r="BT150" s="214"/>
      <c r="BU150" s="214"/>
      <c r="BV150" s="214"/>
      <c r="BW150" s="214"/>
      <c r="BX150" s="214"/>
      <c r="BY150" s="214"/>
      <c r="BZ150" s="214"/>
      <c r="CA150" s="214"/>
      <c r="CB150" s="214"/>
      <c r="CC150" s="214"/>
      <c r="CD150" s="214"/>
      <c r="CE150" s="214"/>
      <c r="CF150" s="214"/>
      <c r="CG150" s="214"/>
      <c r="CH150" s="214"/>
      <c r="CI150" s="214"/>
      <c r="CJ150" s="214"/>
      <c r="CK150" s="214"/>
      <c r="CL150" s="214"/>
      <c r="CM150" s="214"/>
      <c r="CN150" s="214"/>
      <c r="CO150" s="214"/>
      <c r="CP150" s="214"/>
      <c r="CQ150" s="214"/>
      <c r="CR150" s="214"/>
      <c r="CS150" s="214"/>
      <c r="CT150" s="214"/>
      <c r="CU150" s="214"/>
      <c r="CV150" s="214"/>
      <c r="CW150" s="214"/>
      <c r="CX150" s="214"/>
      <c r="CY150" s="214"/>
      <c r="CZ150" s="214"/>
      <c r="DA150" s="214"/>
      <c r="DB150" s="214"/>
      <c r="DC150" s="214"/>
      <c r="DD150" s="214"/>
      <c r="DE150" s="214"/>
      <c r="DF150" s="214"/>
      <c r="DG150" s="214"/>
      <c r="DH150" s="214"/>
      <c r="DI150" s="214"/>
      <c r="DJ150" s="214"/>
      <c r="DK150" s="214"/>
      <c r="DL150" s="214"/>
      <c r="DM150" s="214"/>
      <c r="DN150" s="214"/>
      <c r="DO150" s="214"/>
      <c r="DP150" s="214"/>
      <c r="DQ150" s="214"/>
      <c r="DR150" s="214"/>
      <c r="DS150" s="214"/>
      <c r="DT150" s="214"/>
      <c r="DU150" s="214"/>
      <c r="DV150" s="214"/>
      <c r="DW150" s="214"/>
      <c r="DX150" s="214"/>
      <c r="DY150" s="214"/>
      <c r="DZ150" s="214"/>
      <c r="EA150" s="214"/>
      <c r="EB150" s="214"/>
      <c r="EC150" s="214"/>
      <c r="ED150" s="214"/>
      <c r="EE150" s="214"/>
      <c r="EF150" s="214"/>
      <c r="EG150" s="214"/>
      <c r="EH150" s="214"/>
      <c r="EI150" s="214"/>
      <c r="EJ150" s="214"/>
      <c r="EK150" s="214"/>
      <c r="EL150" s="214"/>
      <c r="EM150" s="214"/>
      <c r="EN150" s="214"/>
      <c r="EO150" s="214"/>
      <c r="EP150" s="214"/>
      <c r="EQ150" s="214"/>
      <c r="ER150" s="214"/>
      <c r="ES150" s="214"/>
      <c r="ET150" s="214"/>
      <c r="EW150"/>
    </row>
    <row r="151" spans="3:153" x14ac:dyDescent="0.3">
      <c r="C151" s="214"/>
      <c r="D151" s="214"/>
      <c r="E151" s="214"/>
      <c r="F151" s="214"/>
      <c r="G151" s="214"/>
      <c r="H151" s="214"/>
      <c r="I151" s="214"/>
      <c r="J151" s="214"/>
      <c r="K151" s="214"/>
      <c r="L151" s="214"/>
      <c r="M151" s="214"/>
      <c r="N151" s="214"/>
      <c r="O151" s="214"/>
      <c r="P151" s="214"/>
      <c r="Q151" s="214"/>
      <c r="R151" s="214"/>
      <c r="S151" s="214"/>
      <c r="T151" s="214"/>
      <c r="U151" s="214"/>
      <c r="V151" s="214"/>
      <c r="W151" s="214"/>
      <c r="X151" s="214"/>
      <c r="Y151" s="214"/>
      <c r="Z151" s="214"/>
      <c r="AA151" s="214"/>
      <c r="AB151" s="214"/>
      <c r="AC151" s="214"/>
      <c r="AD151" s="214"/>
      <c r="AE151" s="214"/>
      <c r="AF151" s="214"/>
      <c r="AG151" s="214"/>
      <c r="AH151" s="214"/>
      <c r="AI151" s="214"/>
      <c r="AJ151" s="214"/>
      <c r="AK151" s="214"/>
      <c r="AL151" s="214"/>
      <c r="AM151" s="214"/>
      <c r="AN151" s="214"/>
      <c r="AO151" s="214"/>
      <c r="AP151" s="214"/>
      <c r="AQ151" s="214"/>
      <c r="AR151" s="214"/>
      <c r="AS151" s="214"/>
      <c r="AT151" s="214"/>
      <c r="AU151" s="214"/>
      <c r="AV151" s="214"/>
      <c r="AW151" s="214"/>
      <c r="AX151" s="214"/>
      <c r="AY151" s="214"/>
      <c r="AZ151" s="214"/>
      <c r="BA151" s="214"/>
      <c r="BB151" s="214"/>
      <c r="BC151" s="214"/>
      <c r="BD151" s="214"/>
      <c r="BE151" s="214"/>
      <c r="BF151" s="214"/>
      <c r="BG151" s="214"/>
      <c r="BH151" s="214"/>
      <c r="BI151" s="214"/>
      <c r="BJ151" s="214"/>
      <c r="BK151" s="214"/>
      <c r="BL151" s="214"/>
      <c r="BM151" s="214"/>
      <c r="BN151" s="214"/>
      <c r="BO151" s="214"/>
      <c r="BP151" s="214"/>
      <c r="BQ151" s="214"/>
      <c r="BR151" s="214"/>
      <c r="BS151" s="214"/>
      <c r="BT151" s="214"/>
      <c r="BU151" s="214"/>
      <c r="BV151" s="214"/>
      <c r="BW151" s="214"/>
      <c r="BX151" s="214"/>
      <c r="BY151" s="214"/>
      <c r="BZ151" s="214"/>
      <c r="CA151" s="214"/>
      <c r="CB151" s="214"/>
      <c r="CC151" s="214"/>
      <c r="CD151" s="214"/>
      <c r="CE151" s="214"/>
      <c r="CF151" s="214"/>
      <c r="CG151" s="214"/>
      <c r="CH151" s="214"/>
      <c r="CI151" s="214"/>
      <c r="CJ151" s="214"/>
      <c r="CK151" s="214"/>
      <c r="CL151" s="214"/>
      <c r="CM151" s="214"/>
      <c r="CN151" s="214"/>
      <c r="CO151" s="214"/>
      <c r="CP151" s="214"/>
      <c r="CQ151" s="214"/>
      <c r="CR151" s="214"/>
      <c r="CS151" s="214"/>
      <c r="CT151" s="214"/>
      <c r="CU151" s="214"/>
      <c r="CV151" s="214"/>
      <c r="CW151" s="214"/>
      <c r="CX151" s="214"/>
      <c r="CY151" s="214"/>
      <c r="CZ151" s="214"/>
      <c r="DA151" s="214"/>
      <c r="DB151" s="214"/>
      <c r="DC151" s="214"/>
      <c r="DD151" s="214"/>
      <c r="DE151" s="214"/>
      <c r="DF151" s="214"/>
      <c r="DG151" s="214"/>
      <c r="DH151" s="214"/>
      <c r="DI151" s="214"/>
      <c r="DJ151" s="214"/>
      <c r="DK151" s="214"/>
      <c r="DL151" s="214"/>
      <c r="DM151" s="214"/>
      <c r="DN151" s="214"/>
      <c r="DO151" s="214"/>
      <c r="DP151" s="214"/>
      <c r="DQ151" s="214"/>
      <c r="DR151" s="214"/>
      <c r="DS151" s="214"/>
      <c r="DT151" s="214"/>
      <c r="DU151" s="214"/>
      <c r="DV151" s="214"/>
      <c r="DW151" s="214"/>
      <c r="DX151" s="214"/>
      <c r="DY151" s="214"/>
      <c r="DZ151" s="214"/>
      <c r="EA151" s="214"/>
      <c r="EB151" s="214"/>
      <c r="EC151" s="214"/>
      <c r="ED151" s="214"/>
      <c r="EE151" s="214"/>
      <c r="EF151" s="214"/>
      <c r="EG151" s="214"/>
      <c r="EH151" s="214"/>
      <c r="EI151" s="214"/>
      <c r="EJ151" s="214"/>
      <c r="EK151" s="214"/>
      <c r="EL151" s="214"/>
      <c r="EM151" s="214"/>
      <c r="EN151" s="214"/>
      <c r="EO151" s="214"/>
      <c r="EP151" s="214"/>
      <c r="EQ151" s="214"/>
      <c r="ER151" s="214"/>
      <c r="ES151" s="214"/>
      <c r="ET151" s="214"/>
      <c r="EW151"/>
    </row>
    <row r="152" spans="3:153" x14ac:dyDescent="0.3">
      <c r="C152" s="214"/>
      <c r="D152" s="214"/>
      <c r="E152" s="214"/>
      <c r="F152" s="214"/>
      <c r="G152" s="214"/>
      <c r="H152" s="214"/>
      <c r="I152" s="214"/>
      <c r="J152" s="214"/>
      <c r="K152" s="214"/>
      <c r="L152" s="214"/>
      <c r="M152" s="214"/>
      <c r="N152" s="214"/>
      <c r="O152" s="214"/>
      <c r="P152" s="214"/>
      <c r="Q152" s="214"/>
      <c r="R152" s="214"/>
      <c r="S152" s="214"/>
      <c r="T152" s="214"/>
      <c r="U152" s="214"/>
      <c r="V152" s="214"/>
      <c r="W152" s="214"/>
      <c r="X152" s="214"/>
      <c r="Y152" s="214"/>
      <c r="Z152" s="214"/>
      <c r="AA152" s="214"/>
      <c r="AB152" s="214"/>
      <c r="AC152" s="214"/>
      <c r="AD152" s="214"/>
      <c r="AE152" s="214"/>
      <c r="AF152" s="214"/>
      <c r="AG152" s="214"/>
      <c r="AH152" s="214"/>
      <c r="AI152" s="214"/>
      <c r="AJ152" s="214"/>
      <c r="AK152" s="214"/>
      <c r="AL152" s="214"/>
      <c r="AM152" s="214"/>
      <c r="AN152" s="214"/>
      <c r="AO152" s="214"/>
      <c r="AP152" s="214"/>
      <c r="AQ152" s="214"/>
      <c r="AR152" s="214"/>
      <c r="AS152" s="214"/>
      <c r="AT152" s="214"/>
      <c r="AU152" s="214"/>
      <c r="AV152" s="214"/>
      <c r="AW152" s="214"/>
      <c r="AX152" s="214"/>
      <c r="AY152" s="214"/>
      <c r="AZ152" s="214"/>
      <c r="BA152" s="214"/>
      <c r="BB152" s="214"/>
      <c r="BC152" s="214"/>
      <c r="BD152" s="214"/>
      <c r="BE152" s="214"/>
      <c r="BF152" s="214"/>
      <c r="BG152" s="214"/>
      <c r="BH152" s="214"/>
      <c r="BI152" s="214"/>
      <c r="BJ152" s="214"/>
      <c r="BK152" s="214"/>
      <c r="BL152" s="214"/>
      <c r="BM152" s="214"/>
      <c r="BN152" s="214"/>
      <c r="BO152" s="214"/>
      <c r="BP152" s="214"/>
      <c r="BQ152" s="214"/>
      <c r="BR152" s="214"/>
      <c r="BS152" s="214"/>
      <c r="BT152" s="214"/>
      <c r="BU152" s="214"/>
      <c r="BV152" s="214"/>
      <c r="BW152" s="214"/>
      <c r="BX152" s="214"/>
      <c r="BY152" s="214"/>
      <c r="BZ152" s="214"/>
      <c r="CA152" s="214"/>
      <c r="CB152" s="214"/>
      <c r="CC152" s="214"/>
      <c r="CD152" s="214"/>
      <c r="CE152" s="214"/>
      <c r="CF152" s="214"/>
      <c r="CG152" s="214"/>
      <c r="CH152" s="214"/>
      <c r="CI152" s="214"/>
      <c r="CJ152" s="214"/>
      <c r="CK152" s="214"/>
      <c r="CL152" s="214"/>
      <c r="CM152" s="214"/>
      <c r="CN152" s="214"/>
      <c r="CO152" s="214"/>
      <c r="CP152" s="214"/>
      <c r="CQ152" s="214"/>
      <c r="CR152" s="214"/>
      <c r="CS152" s="214"/>
      <c r="CT152" s="214"/>
      <c r="CU152" s="214"/>
      <c r="CV152" s="214"/>
      <c r="CW152" s="214"/>
      <c r="CX152" s="214"/>
      <c r="CY152" s="214"/>
      <c r="CZ152" s="214"/>
      <c r="DA152" s="214"/>
      <c r="DB152" s="214"/>
      <c r="DC152" s="214"/>
      <c r="DD152" s="214"/>
      <c r="DE152" s="214"/>
      <c r="DF152" s="214"/>
      <c r="DG152" s="214"/>
      <c r="DH152" s="214"/>
      <c r="DI152" s="214"/>
      <c r="DJ152" s="214"/>
      <c r="DK152" s="214"/>
      <c r="DL152" s="214"/>
      <c r="DM152" s="214"/>
      <c r="DN152" s="214"/>
      <c r="DO152" s="214"/>
      <c r="DP152" s="214"/>
      <c r="DQ152" s="214"/>
      <c r="DR152" s="214"/>
      <c r="DS152" s="214"/>
      <c r="DT152" s="214"/>
      <c r="DU152" s="214"/>
      <c r="DV152" s="214"/>
      <c r="DW152" s="214"/>
      <c r="DX152" s="214"/>
      <c r="DY152" s="214"/>
      <c r="DZ152" s="214"/>
      <c r="EA152" s="214"/>
      <c r="EB152" s="214"/>
      <c r="EC152" s="214"/>
      <c r="ED152" s="214"/>
      <c r="EE152" s="214"/>
      <c r="EF152" s="214"/>
      <c r="EG152" s="214"/>
      <c r="EH152" s="214"/>
      <c r="EI152" s="214"/>
      <c r="EJ152" s="214"/>
      <c r="EK152" s="214"/>
      <c r="EL152" s="214"/>
      <c r="EM152" s="214"/>
      <c r="EN152" s="214"/>
      <c r="EO152" s="214"/>
      <c r="EP152" s="214"/>
      <c r="EQ152" s="214"/>
      <c r="ER152" s="214"/>
      <c r="ES152" s="214"/>
      <c r="ET152" s="214"/>
    </row>
    <row r="153" spans="3:153" x14ac:dyDescent="0.3">
      <c r="C153" s="214"/>
      <c r="D153" s="214"/>
      <c r="E153" s="214"/>
      <c r="F153" s="214"/>
      <c r="G153" s="214"/>
      <c r="H153" s="214"/>
      <c r="I153" s="214"/>
      <c r="J153" s="214"/>
      <c r="K153" s="214"/>
      <c r="L153" s="214"/>
      <c r="M153" s="214"/>
      <c r="N153" s="214"/>
      <c r="O153" s="214"/>
      <c r="P153" s="214"/>
      <c r="Q153" s="214"/>
      <c r="R153" s="214"/>
      <c r="S153" s="214"/>
      <c r="T153" s="214"/>
      <c r="U153" s="214"/>
      <c r="V153" s="214"/>
      <c r="W153" s="214"/>
      <c r="X153" s="214"/>
      <c r="Y153" s="214"/>
      <c r="Z153" s="214"/>
      <c r="AA153" s="214"/>
      <c r="AB153" s="214"/>
      <c r="AC153" s="214"/>
      <c r="AD153" s="214"/>
      <c r="AE153" s="214"/>
      <c r="AF153" s="214"/>
      <c r="AG153" s="214"/>
      <c r="AH153" s="214"/>
      <c r="AI153" s="214"/>
      <c r="AJ153" s="214"/>
      <c r="AK153" s="214"/>
      <c r="AL153" s="214"/>
      <c r="AM153" s="214"/>
      <c r="AN153" s="214"/>
      <c r="AO153" s="214"/>
      <c r="AP153" s="214"/>
      <c r="AQ153" s="214"/>
      <c r="AR153" s="214"/>
      <c r="AS153" s="214"/>
      <c r="AT153" s="214"/>
      <c r="AU153" s="214"/>
      <c r="AV153" s="214"/>
      <c r="AW153" s="214"/>
      <c r="AX153" s="214"/>
      <c r="AY153" s="214"/>
      <c r="AZ153" s="214"/>
      <c r="BA153" s="214"/>
      <c r="BB153" s="214"/>
      <c r="BC153" s="214"/>
      <c r="BD153" s="214"/>
      <c r="BE153" s="214"/>
      <c r="BF153" s="214"/>
      <c r="BG153" s="214"/>
      <c r="BH153" s="214"/>
      <c r="BI153" s="214"/>
      <c r="BJ153" s="214"/>
      <c r="BK153" s="214"/>
      <c r="BL153" s="214"/>
      <c r="BM153" s="214"/>
      <c r="BN153" s="214"/>
      <c r="BO153" s="214"/>
      <c r="BP153" s="214"/>
      <c r="BQ153" s="214"/>
      <c r="BR153" s="214"/>
      <c r="BS153" s="214"/>
      <c r="BT153" s="214"/>
      <c r="BU153" s="214"/>
      <c r="BV153" s="214"/>
      <c r="BW153" s="214"/>
      <c r="BX153" s="214"/>
      <c r="BY153" s="214"/>
      <c r="BZ153" s="214"/>
      <c r="CA153" s="214"/>
      <c r="CB153" s="214"/>
      <c r="CC153" s="214"/>
      <c r="CD153" s="214"/>
      <c r="CE153" s="214"/>
      <c r="CF153" s="214"/>
      <c r="CG153" s="214"/>
      <c r="CH153" s="214"/>
      <c r="CI153" s="214"/>
      <c r="CJ153" s="214"/>
      <c r="CK153" s="214"/>
      <c r="CL153" s="214"/>
      <c r="CM153" s="214"/>
      <c r="CN153" s="214"/>
      <c r="CO153" s="214"/>
      <c r="CP153" s="214"/>
      <c r="CQ153" s="214"/>
      <c r="CR153" s="214"/>
      <c r="CS153" s="214"/>
      <c r="CT153" s="214"/>
      <c r="CU153" s="214"/>
      <c r="CV153" s="214"/>
      <c r="CW153" s="214"/>
      <c r="CX153" s="214"/>
      <c r="CY153" s="214"/>
      <c r="CZ153" s="214"/>
      <c r="DA153" s="214"/>
      <c r="DB153" s="214"/>
      <c r="DC153" s="214"/>
      <c r="DD153" s="214"/>
      <c r="DE153" s="214"/>
      <c r="DF153" s="214"/>
      <c r="DG153" s="214"/>
      <c r="DH153" s="214"/>
      <c r="DI153" s="214"/>
      <c r="DJ153" s="214"/>
      <c r="DK153" s="214"/>
      <c r="DL153" s="214"/>
      <c r="DM153" s="214"/>
      <c r="DN153" s="214"/>
      <c r="DO153" s="214"/>
      <c r="DP153" s="214"/>
      <c r="DQ153" s="214"/>
      <c r="DR153" s="214"/>
      <c r="DS153" s="214"/>
      <c r="DT153" s="214"/>
      <c r="DU153" s="214"/>
      <c r="DV153" s="214"/>
      <c r="DW153" s="214"/>
      <c r="DX153" s="214"/>
      <c r="DY153" s="214"/>
      <c r="DZ153" s="214"/>
      <c r="EA153" s="214"/>
      <c r="EB153" s="214"/>
      <c r="EC153" s="214"/>
      <c r="ED153" s="214"/>
      <c r="EE153" s="214"/>
      <c r="EF153" s="214"/>
      <c r="EG153" s="214"/>
      <c r="EH153" s="214"/>
      <c r="EI153" s="214"/>
      <c r="EJ153" s="214"/>
      <c r="EK153" s="214"/>
      <c r="EL153" s="214"/>
      <c r="EM153" s="214"/>
      <c r="EN153" s="214"/>
      <c r="EO153" s="214"/>
      <c r="EP153" s="214"/>
      <c r="EQ153" s="214"/>
      <c r="ER153" s="214"/>
      <c r="ES153" s="214"/>
      <c r="ET153" s="214"/>
    </row>
    <row r="154" spans="3:153" x14ac:dyDescent="0.3">
      <c r="C154" s="214"/>
      <c r="D154" s="214"/>
      <c r="E154" s="214"/>
      <c r="F154" s="214"/>
      <c r="G154" s="214"/>
      <c r="H154" s="214"/>
      <c r="I154" s="214"/>
      <c r="J154" s="214"/>
      <c r="K154" s="214"/>
      <c r="L154" s="214"/>
      <c r="M154" s="214"/>
      <c r="N154" s="214"/>
      <c r="O154" s="214"/>
      <c r="P154" s="214"/>
      <c r="Q154" s="214"/>
      <c r="R154" s="214"/>
      <c r="S154" s="214"/>
      <c r="T154" s="214"/>
      <c r="U154" s="214"/>
      <c r="V154" s="214"/>
      <c r="W154" s="214"/>
      <c r="X154" s="214"/>
      <c r="Y154" s="214"/>
      <c r="Z154" s="214"/>
      <c r="AA154" s="214"/>
      <c r="AB154" s="214"/>
      <c r="AC154" s="214"/>
      <c r="AD154" s="214"/>
      <c r="AE154" s="214"/>
      <c r="AF154" s="214"/>
      <c r="AG154" s="214"/>
      <c r="AH154" s="214"/>
      <c r="AI154" s="214"/>
      <c r="AJ154" s="214"/>
      <c r="AK154" s="214"/>
      <c r="AL154" s="214"/>
      <c r="AM154" s="214"/>
      <c r="AN154" s="214"/>
      <c r="AO154" s="214"/>
      <c r="AP154" s="214"/>
      <c r="AQ154" s="214"/>
      <c r="AR154" s="214"/>
      <c r="AS154" s="214"/>
      <c r="AT154" s="214"/>
      <c r="AU154" s="214"/>
      <c r="AV154" s="214"/>
      <c r="AW154" s="214"/>
      <c r="AX154" s="214"/>
      <c r="AY154" s="214"/>
      <c r="AZ154" s="214"/>
      <c r="BA154" s="214"/>
      <c r="BB154" s="214"/>
      <c r="BC154" s="214"/>
      <c r="BD154" s="214"/>
      <c r="BE154" s="214"/>
      <c r="BF154" s="214"/>
      <c r="BG154" s="214"/>
      <c r="BH154" s="214"/>
      <c r="BI154" s="214"/>
      <c r="BJ154" s="214"/>
      <c r="BK154" s="214"/>
      <c r="BL154" s="214"/>
      <c r="BM154" s="214"/>
      <c r="BN154" s="214"/>
      <c r="BO154" s="214"/>
      <c r="BP154" s="214"/>
      <c r="BQ154" s="214"/>
      <c r="BR154" s="214"/>
      <c r="BS154" s="214"/>
      <c r="BT154" s="214"/>
      <c r="BU154" s="214"/>
      <c r="BV154" s="214"/>
      <c r="BW154" s="214"/>
      <c r="BX154" s="214"/>
      <c r="BY154" s="214"/>
      <c r="BZ154" s="214"/>
      <c r="CA154" s="214"/>
      <c r="CB154" s="214"/>
      <c r="CC154" s="214"/>
      <c r="CD154" s="214"/>
      <c r="CE154" s="214"/>
      <c r="CF154" s="214"/>
      <c r="CG154" s="214"/>
      <c r="CH154" s="214"/>
      <c r="CI154" s="214"/>
      <c r="CJ154" s="214"/>
      <c r="CK154" s="214"/>
      <c r="CL154" s="214"/>
      <c r="CM154" s="214"/>
      <c r="CN154" s="214"/>
      <c r="CO154" s="214"/>
      <c r="CP154" s="214"/>
      <c r="CQ154" s="214"/>
      <c r="CR154" s="214"/>
      <c r="CS154" s="214"/>
      <c r="CT154" s="214"/>
      <c r="CU154" s="214"/>
      <c r="CV154" s="214"/>
      <c r="CW154" s="214"/>
      <c r="CX154" s="214"/>
      <c r="CY154" s="214"/>
      <c r="CZ154" s="214"/>
      <c r="DA154" s="214"/>
      <c r="DB154" s="214"/>
      <c r="DC154" s="214"/>
      <c r="DD154" s="214"/>
      <c r="DE154" s="214"/>
      <c r="DF154" s="214"/>
      <c r="DG154" s="214"/>
      <c r="DH154" s="214"/>
      <c r="DI154" s="214"/>
      <c r="DJ154" s="214"/>
      <c r="DK154" s="214"/>
      <c r="DL154" s="214"/>
      <c r="DM154" s="214"/>
      <c r="DN154" s="214"/>
      <c r="DO154" s="214"/>
      <c r="DP154" s="214"/>
      <c r="DQ154" s="214"/>
      <c r="DR154" s="214"/>
      <c r="DS154" s="214"/>
      <c r="DT154" s="214"/>
      <c r="DU154" s="214"/>
      <c r="DV154" s="214"/>
      <c r="DW154" s="214"/>
      <c r="DX154" s="214"/>
      <c r="DY154" s="214"/>
      <c r="DZ154" s="214"/>
      <c r="EA154" s="214"/>
      <c r="EB154" s="214"/>
      <c r="EC154" s="214"/>
      <c r="ED154" s="214"/>
      <c r="EE154" s="214"/>
      <c r="EF154" s="214"/>
      <c r="EG154" s="214"/>
      <c r="EH154" s="214"/>
      <c r="EI154" s="214"/>
      <c r="EJ154" s="214"/>
      <c r="EK154" s="214"/>
      <c r="EL154" s="214"/>
      <c r="EM154" s="214"/>
      <c r="EN154" s="214"/>
      <c r="EO154" s="214"/>
      <c r="EP154" s="214"/>
      <c r="EQ154" s="214"/>
      <c r="ER154" s="214"/>
      <c r="ES154" s="214"/>
      <c r="ET154" s="214"/>
    </row>
    <row r="155" spans="3:153" x14ac:dyDescent="0.3">
      <c r="C155" s="214"/>
      <c r="D155" s="214"/>
      <c r="E155" s="214"/>
      <c r="F155" s="214"/>
      <c r="G155" s="214"/>
      <c r="H155" s="214"/>
      <c r="I155" s="214"/>
      <c r="J155" s="214"/>
      <c r="K155" s="214"/>
      <c r="L155" s="214"/>
      <c r="M155" s="214"/>
      <c r="N155" s="214"/>
      <c r="O155" s="214"/>
      <c r="P155" s="214"/>
      <c r="Q155" s="214"/>
      <c r="R155" s="214"/>
      <c r="S155" s="214"/>
      <c r="T155" s="214"/>
      <c r="U155" s="214"/>
      <c r="V155" s="214"/>
      <c r="W155" s="214"/>
      <c r="X155" s="214"/>
      <c r="Y155" s="214"/>
      <c r="Z155" s="214"/>
      <c r="AA155" s="214"/>
      <c r="AB155" s="214"/>
      <c r="AC155" s="214"/>
      <c r="AD155" s="214"/>
      <c r="AE155" s="214"/>
      <c r="AF155" s="214"/>
      <c r="AG155" s="214"/>
      <c r="AH155" s="214"/>
      <c r="AI155" s="214"/>
      <c r="AJ155" s="214"/>
      <c r="AK155" s="214"/>
      <c r="AL155" s="214"/>
      <c r="AM155" s="214"/>
      <c r="AN155" s="214"/>
      <c r="AO155" s="214"/>
      <c r="AP155" s="214"/>
      <c r="AQ155" s="214"/>
      <c r="AR155" s="214"/>
      <c r="AS155" s="214"/>
      <c r="AT155" s="214"/>
      <c r="AU155" s="214"/>
      <c r="AV155" s="214"/>
      <c r="AW155" s="214"/>
      <c r="AX155" s="214"/>
      <c r="AY155" s="214"/>
      <c r="AZ155" s="214"/>
      <c r="BA155" s="214"/>
      <c r="BB155" s="214"/>
      <c r="BC155" s="214"/>
      <c r="BD155" s="214"/>
      <c r="BE155" s="214"/>
      <c r="BF155" s="214"/>
      <c r="BG155" s="214"/>
      <c r="BH155" s="214"/>
      <c r="BI155" s="214"/>
      <c r="BJ155" s="214"/>
      <c r="BK155" s="214"/>
      <c r="BL155" s="214"/>
      <c r="BM155" s="214"/>
      <c r="BN155" s="214"/>
      <c r="BO155" s="214"/>
      <c r="BP155" s="214"/>
      <c r="BQ155" s="214"/>
      <c r="BR155" s="214"/>
      <c r="BS155" s="214"/>
      <c r="BT155" s="214"/>
      <c r="BU155" s="214"/>
      <c r="BV155" s="214"/>
      <c r="BW155" s="214"/>
      <c r="BX155" s="214"/>
      <c r="BY155" s="214"/>
      <c r="BZ155" s="214"/>
      <c r="CA155" s="214"/>
      <c r="CB155" s="214"/>
      <c r="CC155" s="214"/>
      <c r="CD155" s="214"/>
      <c r="CE155" s="214"/>
      <c r="CF155" s="214"/>
      <c r="CG155" s="214"/>
      <c r="CH155" s="214"/>
      <c r="CI155" s="214"/>
      <c r="CJ155" s="214"/>
      <c r="CK155" s="214"/>
      <c r="CL155" s="214"/>
      <c r="CM155" s="214"/>
      <c r="CN155" s="214"/>
      <c r="CO155" s="214"/>
      <c r="CP155" s="214"/>
      <c r="CQ155" s="214"/>
      <c r="CR155" s="214"/>
      <c r="CS155" s="214"/>
      <c r="CT155" s="214"/>
      <c r="CU155" s="214"/>
      <c r="CV155" s="214"/>
      <c r="CW155" s="214"/>
      <c r="CX155" s="214"/>
      <c r="CY155" s="214"/>
      <c r="CZ155" s="214"/>
      <c r="DA155" s="214"/>
      <c r="DB155" s="214"/>
      <c r="DC155" s="214"/>
      <c r="DD155" s="214"/>
      <c r="DE155" s="214"/>
      <c r="DF155" s="214"/>
      <c r="DG155" s="214"/>
      <c r="DH155" s="214"/>
      <c r="DI155" s="214"/>
      <c r="DJ155" s="214"/>
      <c r="DK155" s="214"/>
      <c r="DL155" s="214"/>
      <c r="DM155" s="214"/>
      <c r="DN155" s="214"/>
      <c r="DO155" s="214"/>
      <c r="DP155" s="214"/>
      <c r="DQ155" s="214"/>
      <c r="DR155" s="214"/>
      <c r="DS155" s="214"/>
      <c r="DT155" s="214"/>
      <c r="DU155" s="214"/>
      <c r="DV155" s="214"/>
      <c r="DW155" s="214"/>
      <c r="DX155" s="214"/>
      <c r="DY155" s="214"/>
      <c r="DZ155" s="214"/>
      <c r="EA155" s="214"/>
      <c r="EB155" s="214"/>
      <c r="EC155" s="214"/>
      <c r="ED155" s="214"/>
      <c r="EE155" s="214"/>
      <c r="EF155" s="214"/>
      <c r="EG155" s="214"/>
      <c r="EH155" s="214"/>
      <c r="EI155" s="214"/>
      <c r="EJ155" s="214"/>
      <c r="EK155" s="214"/>
      <c r="EL155" s="214"/>
      <c r="EM155" s="214"/>
      <c r="EN155" s="214"/>
      <c r="EO155" s="214"/>
      <c r="EP155" s="214"/>
      <c r="EQ155" s="214"/>
      <c r="ER155" s="214"/>
      <c r="ES155" s="214"/>
      <c r="ET155" s="214"/>
    </row>
    <row r="156" spans="3:153" x14ac:dyDescent="0.3">
      <c r="C156" s="214"/>
      <c r="D156" s="214"/>
      <c r="E156" s="214"/>
      <c r="F156" s="214"/>
      <c r="G156" s="214"/>
      <c r="H156" s="214"/>
      <c r="I156" s="214"/>
      <c r="J156" s="214"/>
      <c r="K156" s="214"/>
      <c r="L156" s="214"/>
      <c r="M156" s="214"/>
      <c r="N156" s="214"/>
      <c r="O156" s="214"/>
      <c r="P156" s="214"/>
      <c r="Q156" s="214"/>
      <c r="R156" s="214"/>
      <c r="S156" s="214"/>
      <c r="T156" s="214"/>
      <c r="U156" s="214"/>
      <c r="V156" s="214"/>
      <c r="W156" s="214"/>
      <c r="X156" s="214"/>
      <c r="Y156" s="214"/>
      <c r="Z156" s="214"/>
      <c r="AA156" s="214"/>
      <c r="AB156" s="214"/>
      <c r="AC156" s="214"/>
      <c r="AD156" s="214"/>
      <c r="AE156" s="214"/>
      <c r="AF156" s="214"/>
      <c r="AG156" s="214"/>
      <c r="AH156" s="214"/>
      <c r="AI156" s="214"/>
      <c r="AJ156" s="214"/>
      <c r="AK156" s="214"/>
      <c r="AL156" s="214"/>
      <c r="AM156" s="214"/>
      <c r="AN156" s="214"/>
      <c r="AO156" s="214"/>
      <c r="AP156" s="214"/>
      <c r="AQ156" s="214"/>
      <c r="AR156" s="214"/>
      <c r="AS156" s="214"/>
      <c r="AT156" s="214"/>
      <c r="AU156" s="214"/>
      <c r="AV156" s="214"/>
      <c r="AW156" s="214"/>
      <c r="AX156" s="214"/>
      <c r="AY156" s="214"/>
      <c r="AZ156" s="214"/>
      <c r="BA156" s="214"/>
      <c r="BB156" s="214"/>
      <c r="BC156" s="214"/>
      <c r="BD156" s="214"/>
      <c r="BE156" s="214"/>
      <c r="BF156" s="214"/>
      <c r="BG156" s="214"/>
      <c r="BH156" s="214"/>
      <c r="BI156" s="214"/>
      <c r="BJ156" s="214"/>
      <c r="BK156" s="214"/>
      <c r="BL156" s="214"/>
      <c r="BM156" s="214"/>
      <c r="BN156" s="214"/>
      <c r="BO156" s="214"/>
      <c r="BP156" s="214"/>
      <c r="BQ156" s="214"/>
      <c r="BR156" s="214"/>
      <c r="BS156" s="214"/>
      <c r="BT156" s="214"/>
      <c r="BU156" s="214"/>
      <c r="BV156" s="214"/>
      <c r="BW156" s="214"/>
      <c r="BX156" s="214"/>
      <c r="BY156" s="214"/>
      <c r="BZ156" s="214"/>
      <c r="CA156" s="214"/>
      <c r="CB156" s="214"/>
      <c r="CC156" s="214"/>
      <c r="CD156" s="214"/>
      <c r="CE156" s="214"/>
      <c r="CF156" s="214"/>
      <c r="CG156" s="214"/>
      <c r="CH156" s="214"/>
      <c r="CI156" s="214"/>
      <c r="CJ156" s="214"/>
      <c r="CK156" s="214"/>
      <c r="CL156" s="214"/>
      <c r="CM156" s="214"/>
      <c r="CN156" s="214"/>
      <c r="CO156" s="214"/>
      <c r="CP156" s="214"/>
      <c r="CQ156" s="214"/>
      <c r="CR156" s="214"/>
      <c r="CS156" s="214"/>
      <c r="CT156" s="214"/>
      <c r="CU156" s="214"/>
      <c r="CV156" s="214"/>
      <c r="CW156" s="214"/>
      <c r="CX156" s="214"/>
      <c r="CY156" s="214"/>
      <c r="CZ156" s="214"/>
      <c r="DA156" s="214"/>
      <c r="DB156" s="214"/>
      <c r="DC156" s="214"/>
      <c r="DD156" s="214"/>
      <c r="DE156" s="214"/>
      <c r="DF156" s="214"/>
      <c r="DG156" s="214"/>
      <c r="DH156" s="214"/>
      <c r="DI156" s="214"/>
      <c r="DJ156" s="214"/>
      <c r="DK156" s="214"/>
      <c r="DL156" s="214"/>
      <c r="DM156" s="214"/>
      <c r="DN156" s="214"/>
      <c r="DO156" s="214"/>
      <c r="DP156" s="214"/>
      <c r="DQ156" s="214"/>
      <c r="DR156" s="214"/>
      <c r="DS156" s="214"/>
      <c r="DT156" s="214"/>
      <c r="DU156" s="214"/>
      <c r="DV156" s="214"/>
      <c r="DW156" s="214"/>
      <c r="DX156" s="214"/>
      <c r="DY156" s="214"/>
      <c r="DZ156" s="214"/>
      <c r="EA156" s="214"/>
      <c r="EB156" s="214"/>
      <c r="EC156" s="214"/>
      <c r="ED156" s="214"/>
      <c r="EE156" s="214"/>
      <c r="EF156" s="214"/>
      <c r="EG156" s="214"/>
      <c r="EH156" s="214"/>
      <c r="EI156" s="214"/>
      <c r="EJ156" s="214"/>
      <c r="EK156" s="214"/>
      <c r="EL156" s="214"/>
      <c r="EM156" s="214"/>
      <c r="EN156" s="214"/>
      <c r="EO156" s="214"/>
      <c r="EP156" s="214"/>
      <c r="EQ156" s="214"/>
      <c r="ER156" s="214"/>
      <c r="ES156" s="214"/>
      <c r="ET156" s="214"/>
    </row>
    <row r="157" spans="3:153" x14ac:dyDescent="0.3">
      <c r="C157" s="214"/>
      <c r="D157" s="214"/>
      <c r="E157" s="214"/>
      <c r="F157" s="214"/>
      <c r="G157" s="214"/>
      <c r="H157" s="214"/>
      <c r="I157" s="214"/>
      <c r="J157" s="214"/>
      <c r="K157" s="214"/>
      <c r="L157" s="214"/>
      <c r="M157" s="214"/>
      <c r="N157" s="214"/>
      <c r="O157" s="214"/>
      <c r="P157" s="214"/>
      <c r="Q157" s="214"/>
      <c r="R157" s="214"/>
      <c r="S157" s="214"/>
      <c r="T157" s="214"/>
      <c r="U157" s="214"/>
      <c r="V157" s="214"/>
      <c r="W157" s="214"/>
      <c r="X157" s="214"/>
      <c r="Y157" s="214"/>
      <c r="Z157" s="214"/>
      <c r="AA157" s="214"/>
      <c r="AB157" s="214"/>
      <c r="AC157" s="214"/>
      <c r="AD157" s="214"/>
      <c r="AE157" s="214"/>
      <c r="AF157" s="214"/>
      <c r="AG157" s="214"/>
      <c r="AH157" s="214"/>
      <c r="AI157" s="214"/>
      <c r="AJ157" s="214"/>
      <c r="AK157" s="214"/>
      <c r="AL157" s="214"/>
      <c r="AM157" s="214"/>
      <c r="AN157" s="214"/>
      <c r="AO157" s="214"/>
      <c r="AP157" s="214"/>
      <c r="AQ157" s="214"/>
      <c r="AR157" s="214"/>
      <c r="AS157" s="214"/>
      <c r="AT157" s="214"/>
      <c r="AU157" s="214"/>
      <c r="AV157" s="214"/>
      <c r="AW157" s="214"/>
      <c r="AX157" s="214"/>
      <c r="AY157" s="214"/>
      <c r="AZ157" s="214"/>
      <c r="BA157" s="214"/>
      <c r="BB157" s="214"/>
      <c r="BC157" s="214"/>
      <c r="BD157" s="214"/>
      <c r="BE157" s="214"/>
      <c r="BF157" s="214"/>
      <c r="BG157" s="214"/>
      <c r="BH157" s="214"/>
      <c r="BI157" s="214"/>
      <c r="BJ157" s="214"/>
      <c r="BK157" s="214"/>
      <c r="BL157" s="214"/>
      <c r="BM157" s="214"/>
      <c r="BN157" s="214"/>
      <c r="BO157" s="214"/>
      <c r="BP157" s="214"/>
      <c r="BQ157" s="214"/>
      <c r="BR157" s="214"/>
      <c r="BS157" s="214"/>
      <c r="BT157" s="214"/>
      <c r="BU157" s="214"/>
      <c r="BV157" s="214"/>
      <c r="BW157" s="214"/>
      <c r="BX157" s="214"/>
      <c r="BY157" s="214"/>
      <c r="BZ157" s="214"/>
      <c r="CA157" s="214"/>
      <c r="CB157" s="214"/>
      <c r="CC157" s="214"/>
      <c r="CD157" s="214"/>
      <c r="CE157" s="214"/>
      <c r="CF157" s="214"/>
      <c r="CG157" s="214"/>
      <c r="CH157" s="214"/>
      <c r="CI157" s="214"/>
      <c r="CJ157" s="214"/>
      <c r="CK157" s="214"/>
      <c r="CL157" s="214"/>
      <c r="CM157" s="214"/>
      <c r="CN157" s="214"/>
      <c r="CO157" s="214"/>
      <c r="CP157" s="214"/>
      <c r="CQ157" s="214"/>
      <c r="CR157" s="214"/>
      <c r="CS157" s="214"/>
      <c r="CT157" s="214"/>
      <c r="CU157" s="214"/>
      <c r="CV157" s="214"/>
      <c r="CW157" s="214"/>
      <c r="CX157" s="214"/>
      <c r="CY157" s="214"/>
      <c r="CZ157" s="214"/>
      <c r="DA157" s="214"/>
      <c r="DB157" s="214"/>
      <c r="DC157" s="214"/>
      <c r="DD157" s="214"/>
      <c r="DE157" s="214"/>
      <c r="DF157" s="214"/>
      <c r="DG157" s="214"/>
      <c r="DH157" s="214"/>
      <c r="DI157" s="214"/>
      <c r="DJ157" s="214"/>
      <c r="DK157" s="214"/>
      <c r="DL157" s="214"/>
      <c r="DM157" s="214"/>
      <c r="DN157" s="214"/>
      <c r="DO157" s="214"/>
      <c r="DP157" s="214"/>
      <c r="DQ157" s="214"/>
      <c r="DR157" s="214"/>
      <c r="DS157" s="214"/>
      <c r="DT157" s="214"/>
      <c r="DU157" s="214"/>
      <c r="DV157" s="214"/>
      <c r="DW157" s="214"/>
      <c r="DX157" s="214"/>
      <c r="DY157" s="214"/>
      <c r="DZ157" s="214"/>
      <c r="EA157" s="214"/>
      <c r="EB157" s="214"/>
      <c r="EC157" s="214"/>
      <c r="ED157" s="214"/>
      <c r="EE157" s="214"/>
      <c r="EF157" s="214"/>
      <c r="EG157" s="214"/>
      <c r="EH157" s="214"/>
      <c r="EI157" s="214"/>
      <c r="EJ157" s="214"/>
      <c r="EK157" s="214"/>
      <c r="EL157" s="214"/>
      <c r="EM157" s="214"/>
      <c r="EN157" s="214"/>
      <c r="EO157" s="214"/>
      <c r="EP157" s="214"/>
      <c r="EQ157" s="214"/>
      <c r="ER157" s="214"/>
      <c r="ES157" s="214"/>
      <c r="ET157" s="214"/>
    </row>
  </sheetData>
  <mergeCells count="1">
    <mergeCell ref="A1:EV1"/>
  </mergeCells>
  <conditionalFormatting sqref="EU72:EV74">
    <cfRule type="containsErrors" dxfId="83" priority="55" stopIfTrue="1">
      <formula>ISERROR(EU72)</formula>
    </cfRule>
    <cfRule type="containsErrors" priority="56" stopIfTrue="1">
      <formula>ISERROR(EU72)</formula>
    </cfRule>
  </conditionalFormatting>
  <conditionalFormatting sqref="EU72:EV74">
    <cfRule type="containsErrors" dxfId="82" priority="53" stopIfTrue="1">
      <formula>ISERROR(EU72)</formula>
    </cfRule>
    <cfRule type="containsErrors" priority="54" stopIfTrue="1">
      <formula>ISERROR(EU72)</formula>
    </cfRule>
  </conditionalFormatting>
  <conditionalFormatting sqref="EU4">
    <cfRule type="containsErrors" dxfId="81" priority="51" stopIfTrue="1">
      <formula>ISERROR(EU4)</formula>
    </cfRule>
    <cfRule type="containsErrors" priority="52" stopIfTrue="1">
      <formula>ISERROR(EU4)</formula>
    </cfRule>
  </conditionalFormatting>
  <conditionalFormatting sqref="EU4:EV5 EU6:EU16">
    <cfRule type="containsErrors" dxfId="80" priority="49" stopIfTrue="1">
      <formula>ISERROR(EU4)</formula>
    </cfRule>
    <cfRule type="containsErrors" priority="50" stopIfTrue="1">
      <formula>ISERROR(EU4)</formula>
    </cfRule>
  </conditionalFormatting>
  <conditionalFormatting sqref="EU4">
    <cfRule type="containsErrors" dxfId="79" priority="47" stopIfTrue="1">
      <formula>ISERROR(EU4)</formula>
    </cfRule>
    <cfRule type="containsErrors" priority="48" stopIfTrue="1">
      <formula>ISERROR(EU4)</formula>
    </cfRule>
  </conditionalFormatting>
  <conditionalFormatting sqref="EU4:EV5 EU6:EU16">
    <cfRule type="containsErrors" dxfId="78" priority="45" stopIfTrue="1">
      <formula>ISERROR(EU4)</formula>
    </cfRule>
    <cfRule type="containsErrors" priority="46" stopIfTrue="1">
      <formula>ISERROR(EU4)</formula>
    </cfRule>
  </conditionalFormatting>
  <conditionalFormatting sqref="EV6:EV16">
    <cfRule type="containsErrors" dxfId="77" priority="43" stopIfTrue="1">
      <formula>ISERROR(EV6)</formula>
    </cfRule>
    <cfRule type="containsErrors" priority="44" stopIfTrue="1">
      <formula>ISERROR(EV6)</formula>
    </cfRule>
  </conditionalFormatting>
  <conditionalFormatting sqref="EV6:EV16">
    <cfRule type="containsErrors" dxfId="76" priority="41" stopIfTrue="1">
      <formula>ISERROR(EV6)</formula>
    </cfRule>
    <cfRule type="containsErrors" priority="42" stopIfTrue="1">
      <formula>ISERROR(EV6)</formula>
    </cfRule>
  </conditionalFormatting>
  <conditionalFormatting sqref="EU17:EU27">
    <cfRule type="containsErrors" dxfId="75" priority="39" stopIfTrue="1">
      <formula>ISERROR(EU17)</formula>
    </cfRule>
    <cfRule type="containsErrors" priority="40" stopIfTrue="1">
      <formula>ISERROR(EU17)</formula>
    </cfRule>
  </conditionalFormatting>
  <conditionalFormatting sqref="EU17:EU27">
    <cfRule type="containsErrors" dxfId="74" priority="37" stopIfTrue="1">
      <formula>ISERROR(EU17)</formula>
    </cfRule>
    <cfRule type="containsErrors" priority="38" stopIfTrue="1">
      <formula>ISERROR(EU17)</formula>
    </cfRule>
  </conditionalFormatting>
  <conditionalFormatting sqref="EV17:EV27">
    <cfRule type="containsErrors" dxfId="73" priority="35" stopIfTrue="1">
      <formula>ISERROR(EV17)</formula>
    </cfRule>
    <cfRule type="containsErrors" priority="36" stopIfTrue="1">
      <formula>ISERROR(EV17)</formula>
    </cfRule>
  </conditionalFormatting>
  <conditionalFormatting sqref="EV17:EV27">
    <cfRule type="containsErrors" dxfId="72" priority="33" stopIfTrue="1">
      <formula>ISERROR(EV17)</formula>
    </cfRule>
    <cfRule type="containsErrors" priority="34" stopIfTrue="1">
      <formula>ISERROR(EV17)</formula>
    </cfRule>
  </conditionalFormatting>
  <conditionalFormatting sqref="EU28:EU38">
    <cfRule type="containsErrors" dxfId="71" priority="31" stopIfTrue="1">
      <formula>ISERROR(EU28)</formula>
    </cfRule>
    <cfRule type="containsErrors" priority="32" stopIfTrue="1">
      <formula>ISERROR(EU28)</formula>
    </cfRule>
  </conditionalFormatting>
  <conditionalFormatting sqref="EU28:EU38">
    <cfRule type="containsErrors" dxfId="70" priority="29" stopIfTrue="1">
      <formula>ISERROR(EU28)</formula>
    </cfRule>
    <cfRule type="containsErrors" priority="30" stopIfTrue="1">
      <formula>ISERROR(EU28)</formula>
    </cfRule>
  </conditionalFormatting>
  <conditionalFormatting sqref="EV28:EV38">
    <cfRule type="containsErrors" dxfId="69" priority="27" stopIfTrue="1">
      <formula>ISERROR(EV28)</formula>
    </cfRule>
    <cfRule type="containsErrors" priority="28" stopIfTrue="1">
      <formula>ISERROR(EV28)</formula>
    </cfRule>
  </conditionalFormatting>
  <conditionalFormatting sqref="EV28:EV38">
    <cfRule type="containsErrors" dxfId="68" priority="25" stopIfTrue="1">
      <formula>ISERROR(EV28)</formula>
    </cfRule>
    <cfRule type="containsErrors" priority="26" stopIfTrue="1">
      <formula>ISERROR(EV28)</formula>
    </cfRule>
  </conditionalFormatting>
  <conditionalFormatting sqref="EU39:EU49">
    <cfRule type="containsErrors" dxfId="67" priority="23" stopIfTrue="1">
      <formula>ISERROR(EU39)</formula>
    </cfRule>
    <cfRule type="containsErrors" priority="24" stopIfTrue="1">
      <formula>ISERROR(EU39)</formula>
    </cfRule>
  </conditionalFormatting>
  <conditionalFormatting sqref="EU39:EU49">
    <cfRule type="containsErrors" dxfId="66" priority="21" stopIfTrue="1">
      <formula>ISERROR(EU39)</formula>
    </cfRule>
    <cfRule type="containsErrors" priority="22" stopIfTrue="1">
      <formula>ISERROR(EU39)</formula>
    </cfRule>
  </conditionalFormatting>
  <conditionalFormatting sqref="EV39:EV49">
    <cfRule type="containsErrors" dxfId="65" priority="19" stopIfTrue="1">
      <formula>ISERROR(EV39)</formula>
    </cfRule>
    <cfRule type="containsErrors" priority="20" stopIfTrue="1">
      <formula>ISERROR(EV39)</formula>
    </cfRule>
  </conditionalFormatting>
  <conditionalFormatting sqref="EV39:EV49">
    <cfRule type="containsErrors" dxfId="64" priority="17" stopIfTrue="1">
      <formula>ISERROR(EV39)</formula>
    </cfRule>
    <cfRule type="containsErrors" priority="18" stopIfTrue="1">
      <formula>ISERROR(EV39)</formula>
    </cfRule>
  </conditionalFormatting>
  <conditionalFormatting sqref="EU50:EU60">
    <cfRule type="containsErrors" dxfId="63" priority="15" stopIfTrue="1">
      <formula>ISERROR(EU50)</formula>
    </cfRule>
    <cfRule type="containsErrors" priority="16" stopIfTrue="1">
      <formula>ISERROR(EU50)</formula>
    </cfRule>
  </conditionalFormatting>
  <conditionalFormatting sqref="EU50:EU60">
    <cfRule type="containsErrors" dxfId="62" priority="13" stopIfTrue="1">
      <formula>ISERROR(EU50)</formula>
    </cfRule>
    <cfRule type="containsErrors" priority="14" stopIfTrue="1">
      <formula>ISERROR(EU50)</formula>
    </cfRule>
  </conditionalFormatting>
  <conditionalFormatting sqref="EV50:EV60">
    <cfRule type="containsErrors" dxfId="61" priority="11" stopIfTrue="1">
      <formula>ISERROR(EV50)</formula>
    </cfRule>
    <cfRule type="containsErrors" priority="12" stopIfTrue="1">
      <formula>ISERROR(EV50)</formula>
    </cfRule>
  </conditionalFormatting>
  <conditionalFormatting sqref="EV50:EV60">
    <cfRule type="containsErrors" dxfId="60" priority="9" stopIfTrue="1">
      <formula>ISERROR(EV50)</formula>
    </cfRule>
    <cfRule type="containsErrors" priority="10" stopIfTrue="1">
      <formula>ISERROR(EV50)</formula>
    </cfRule>
  </conditionalFormatting>
  <conditionalFormatting sqref="EU61:EU71">
    <cfRule type="containsErrors" dxfId="59" priority="7" stopIfTrue="1">
      <formula>ISERROR(EU61)</formula>
    </cfRule>
    <cfRule type="containsErrors" priority="8" stopIfTrue="1">
      <formula>ISERROR(EU61)</formula>
    </cfRule>
  </conditionalFormatting>
  <conditionalFormatting sqref="EU61:EU71">
    <cfRule type="containsErrors" dxfId="58" priority="5" stopIfTrue="1">
      <formula>ISERROR(EU61)</formula>
    </cfRule>
    <cfRule type="containsErrors" priority="6" stopIfTrue="1">
      <formula>ISERROR(EU61)</formula>
    </cfRule>
  </conditionalFormatting>
  <conditionalFormatting sqref="EV61:EV71">
    <cfRule type="containsErrors" dxfId="57" priority="3" stopIfTrue="1">
      <formula>ISERROR(EV61)</formula>
    </cfRule>
    <cfRule type="containsErrors" priority="4" stopIfTrue="1">
      <formula>ISERROR(EV61)</formula>
    </cfRule>
  </conditionalFormatting>
  <conditionalFormatting sqref="EV61:EV71">
    <cfRule type="containsErrors" dxfId="56" priority="1" stopIfTrue="1">
      <formula>ISERROR(EV61)</formula>
    </cfRule>
    <cfRule type="containsErrors" priority="2" stopIfTrue="1">
      <formula>ISERROR(EV61)</formula>
    </cfRule>
  </conditionalFormatting>
  <printOptions horizontalCentered="1"/>
  <pageMargins left="0.17" right="0.17" top="0.26" bottom="0.21" header="0.17" footer="0.17"/>
  <pageSetup scale="50" orientation="landscape" horizontalDpi="4294967292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41"/>
  <sheetViews>
    <sheetView zoomScale="115" zoomScaleNormal="115" workbookViewId="0">
      <selection activeCell="H48" sqref="H48"/>
    </sheetView>
  </sheetViews>
  <sheetFormatPr defaultColWidth="9.15234375" defaultRowHeight="12.9" x14ac:dyDescent="0.35"/>
  <cols>
    <col min="1" max="1" width="14" style="105" customWidth="1"/>
    <col min="2" max="2" width="14" style="106" customWidth="1"/>
    <col min="3" max="3" width="14.15234375" style="105" bestFit="1" customWidth="1"/>
    <col min="4" max="4" width="14.15234375" style="107" bestFit="1" customWidth="1"/>
    <col min="5" max="16384" width="9.15234375" style="107"/>
  </cols>
  <sheetData>
    <row r="1" spans="1:5" x14ac:dyDescent="0.35">
      <c r="A1" s="105" t="s">
        <v>0</v>
      </c>
      <c r="B1" s="106">
        <v>667697</v>
      </c>
    </row>
    <row r="2" spans="1:5" x14ac:dyDescent="0.35">
      <c r="A2" s="105" t="s">
        <v>5</v>
      </c>
      <c r="B2" s="106">
        <v>4855434</v>
      </c>
    </row>
    <row r="3" spans="1:5" x14ac:dyDescent="0.35">
      <c r="A3" s="105" t="s">
        <v>16</v>
      </c>
      <c r="B3" s="106">
        <v>16112</v>
      </c>
    </row>
    <row r="4" spans="1:5" x14ac:dyDescent="0.35">
      <c r="A4" s="105" t="s">
        <v>33</v>
      </c>
      <c r="B4" s="106">
        <v>206233</v>
      </c>
    </row>
    <row r="5" spans="1:5" x14ac:dyDescent="0.35">
      <c r="A5" s="105" t="s">
        <v>44</v>
      </c>
      <c r="B5" s="106">
        <v>15661969</v>
      </c>
    </row>
    <row r="6" spans="1:5" x14ac:dyDescent="0.35">
      <c r="A6" s="105" t="s">
        <v>24</v>
      </c>
      <c r="B6" s="106">
        <v>341095</v>
      </c>
    </row>
    <row r="7" spans="1:5" x14ac:dyDescent="0.35">
      <c r="A7" s="105" t="s">
        <v>6</v>
      </c>
      <c r="B7" s="106">
        <v>1170819</v>
      </c>
    </row>
    <row r="8" spans="1:5" x14ac:dyDescent="0.35">
      <c r="A8" s="105" t="s">
        <v>17</v>
      </c>
      <c r="B8" s="106">
        <v>150</v>
      </c>
    </row>
    <row r="9" spans="1:5" x14ac:dyDescent="0.35">
      <c r="A9" s="105" t="s">
        <v>34</v>
      </c>
      <c r="B9" s="106">
        <v>67897</v>
      </c>
    </row>
    <row r="10" spans="1:5" x14ac:dyDescent="0.35">
      <c r="A10" s="105" t="s">
        <v>45</v>
      </c>
      <c r="B10" s="106">
        <v>2408348</v>
      </c>
    </row>
    <row r="11" spans="1:5" x14ac:dyDescent="0.35">
      <c r="A11" s="105" t="s">
        <v>56</v>
      </c>
      <c r="B11" s="106">
        <v>42350</v>
      </c>
    </row>
    <row r="12" spans="1:5" x14ac:dyDescent="0.35">
      <c r="A12" s="105" t="s">
        <v>226</v>
      </c>
      <c r="B12" s="106">
        <v>76548.25</v>
      </c>
    </row>
    <row r="13" spans="1:5" x14ac:dyDescent="0.35">
      <c r="A13" s="105" t="s">
        <v>188</v>
      </c>
      <c r="B13" s="106">
        <v>32</v>
      </c>
    </row>
    <row r="14" spans="1:5" x14ac:dyDescent="0.35">
      <c r="A14" s="105" t="s">
        <v>7</v>
      </c>
      <c r="B14" s="106">
        <v>592413</v>
      </c>
    </row>
    <row r="15" spans="1:5" x14ac:dyDescent="0.35">
      <c r="A15" s="105" t="s">
        <v>18</v>
      </c>
      <c r="B15" s="106">
        <v>1911.52</v>
      </c>
      <c r="D15" s="105"/>
      <c r="E15" s="105"/>
    </row>
    <row r="16" spans="1:5" x14ac:dyDescent="0.35">
      <c r="A16" s="105" t="s">
        <v>35</v>
      </c>
      <c r="B16" s="106">
        <v>1291440</v>
      </c>
      <c r="D16" s="105"/>
      <c r="E16" s="105"/>
    </row>
    <row r="17" spans="1:5" x14ac:dyDescent="0.35">
      <c r="A17" s="105" t="s">
        <v>46</v>
      </c>
      <c r="B17" s="106">
        <v>18180175.52</v>
      </c>
      <c r="D17" s="108"/>
      <c r="E17" s="105"/>
    </row>
    <row r="18" spans="1:5" x14ac:dyDescent="0.35">
      <c r="A18" s="105" t="s">
        <v>158</v>
      </c>
      <c r="B18" s="106">
        <v>1024634</v>
      </c>
      <c r="D18" s="105"/>
      <c r="E18" s="105"/>
    </row>
    <row r="19" spans="1:5" x14ac:dyDescent="0.35">
      <c r="A19" s="105" t="s">
        <v>159</v>
      </c>
      <c r="B19" s="106">
        <v>1024634</v>
      </c>
      <c r="D19" s="105"/>
    </row>
    <row r="20" spans="1:5" x14ac:dyDescent="0.35">
      <c r="A20" s="105" t="s">
        <v>182</v>
      </c>
      <c r="B20" s="106">
        <v>10228</v>
      </c>
      <c r="D20" s="105"/>
    </row>
    <row r="21" spans="1:5" x14ac:dyDescent="0.35">
      <c r="A21" s="105" t="s">
        <v>183</v>
      </c>
      <c r="B21" s="106">
        <v>10228</v>
      </c>
      <c r="D21" s="105"/>
    </row>
    <row r="22" spans="1:5" x14ac:dyDescent="0.35">
      <c r="A22" s="105" t="s">
        <v>104</v>
      </c>
      <c r="B22" s="106">
        <v>3670147.26</v>
      </c>
      <c r="D22" s="105"/>
    </row>
    <row r="23" spans="1:5" x14ac:dyDescent="0.35">
      <c r="A23" s="105" t="s">
        <v>11</v>
      </c>
      <c r="B23" s="106">
        <v>6616129.79</v>
      </c>
      <c r="D23" s="108"/>
      <c r="E23" s="105"/>
    </row>
    <row r="24" spans="1:5" x14ac:dyDescent="0.35">
      <c r="A24" s="105" t="s">
        <v>67</v>
      </c>
      <c r="B24" s="106">
        <v>841.04</v>
      </c>
      <c r="D24" s="105"/>
      <c r="E24" s="105"/>
    </row>
    <row r="25" spans="1:5" x14ac:dyDescent="0.35">
      <c r="A25" s="105" t="s">
        <v>38</v>
      </c>
      <c r="B25" s="106">
        <v>1191397.3500000001</v>
      </c>
    </row>
    <row r="26" spans="1:5" x14ac:dyDescent="0.35">
      <c r="A26" s="105" t="s">
        <v>50</v>
      </c>
      <c r="B26" s="106">
        <v>33226182.539999999</v>
      </c>
    </row>
    <row r="27" spans="1:5" x14ac:dyDescent="0.35">
      <c r="A27" s="105" t="s">
        <v>166</v>
      </c>
      <c r="B27" s="106">
        <v>269312</v>
      </c>
    </row>
    <row r="28" spans="1:5" x14ac:dyDescent="0.35">
      <c r="A28" s="105" t="s">
        <v>167</v>
      </c>
      <c r="B28" s="106">
        <v>269312</v>
      </c>
    </row>
    <row r="29" spans="1:5" x14ac:dyDescent="0.35">
      <c r="A29" s="105" t="s">
        <v>240</v>
      </c>
      <c r="B29" s="106">
        <v>576751.76</v>
      </c>
    </row>
    <row r="30" spans="1:5" x14ac:dyDescent="0.35">
      <c r="A30" s="105" t="s">
        <v>241</v>
      </c>
      <c r="B30" s="106">
        <v>396515.87</v>
      </c>
    </row>
    <row r="31" spans="1:5" x14ac:dyDescent="0.35">
      <c r="A31" s="105" t="s">
        <v>242</v>
      </c>
      <c r="B31" s="106">
        <v>301135.45</v>
      </c>
    </row>
    <row r="32" spans="1:5" x14ac:dyDescent="0.35">
      <c r="A32" s="105" t="s">
        <v>243</v>
      </c>
      <c r="B32" s="106">
        <v>973587.73</v>
      </c>
    </row>
    <row r="33" spans="1:9" x14ac:dyDescent="0.35">
      <c r="A33" s="105" t="s">
        <v>13</v>
      </c>
      <c r="B33" s="106">
        <v>454996.22</v>
      </c>
    </row>
    <row r="34" spans="1:9" x14ac:dyDescent="0.35">
      <c r="A34" s="105" t="s">
        <v>40</v>
      </c>
      <c r="B34" s="106">
        <v>69826.92</v>
      </c>
    </row>
    <row r="35" spans="1:9" x14ac:dyDescent="0.35">
      <c r="A35" s="105" t="s">
        <v>52</v>
      </c>
      <c r="B35" s="106">
        <v>4387399.84</v>
      </c>
    </row>
    <row r="36" spans="1:9" x14ac:dyDescent="0.35">
      <c r="A36" s="105" t="s">
        <v>15</v>
      </c>
      <c r="B36" s="106">
        <v>2215099.1800000002</v>
      </c>
      <c r="I36" s="216"/>
    </row>
    <row r="37" spans="1:9" x14ac:dyDescent="0.35">
      <c r="A37" s="105" t="s">
        <v>42</v>
      </c>
      <c r="B37" s="106">
        <v>9076.9500000000007</v>
      </c>
      <c r="D37" s="109"/>
    </row>
    <row r="38" spans="1:9" x14ac:dyDescent="0.35">
      <c r="A38" s="105" t="s">
        <v>54</v>
      </c>
      <c r="B38" s="106">
        <v>7243686.3399999999</v>
      </c>
    </row>
    <row r="39" spans="1:9" x14ac:dyDescent="0.35">
      <c r="A39" s="105" t="s">
        <v>43</v>
      </c>
      <c r="B39" s="106">
        <v>44561.81</v>
      </c>
    </row>
    <row r="40" spans="1:9" x14ac:dyDescent="0.35">
      <c r="A40" s="105" t="s">
        <v>55</v>
      </c>
      <c r="B40" s="106">
        <v>672890.81</v>
      </c>
    </row>
    <row r="41" spans="1:9" x14ac:dyDescent="0.35">
      <c r="A41" s="105" t="s">
        <v>179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AM</vt:lpstr>
      <vt:lpstr>WP</vt:lpstr>
      <vt:lpstr>IBS </vt:lpstr>
      <vt:lpstr>IQSH01E</vt:lpstr>
      <vt:lpstr>AM!Print_Area</vt:lpstr>
      <vt:lpstr>'IBS '!Print_Area</vt:lpstr>
      <vt:lpstr>WP!Print_Area</vt:lpstr>
    </vt:vector>
  </TitlesOfParts>
  <Company>ipc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TRAFFIC DEPARTMENT</dc:creator>
  <cp:lastModifiedBy>John Chen / Inteplast Traffic-Administration</cp:lastModifiedBy>
  <cp:lastPrinted>2026-03-03T22:06:32Z</cp:lastPrinted>
  <dcterms:created xsi:type="dcterms:W3CDTF">1997-04-08T16:34:17Z</dcterms:created>
  <dcterms:modified xsi:type="dcterms:W3CDTF">2026-03-03T22:26:25Z</dcterms:modified>
</cp:coreProperties>
</file>