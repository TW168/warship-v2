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zhangmeihua\Desktop\FRT Analysis\2026\"/>
    </mc:Choice>
  </mc:AlternateContent>
  <xr:revisionPtr revIDLastSave="0" documentId="13_ncr:1_{F7958D66-8E57-4969-8A17-B29D64592B6F}" xr6:coauthVersionLast="47" xr6:coauthVersionMax="47" xr10:uidLastSave="{00000000-0000-0000-0000-000000000000}"/>
  <bookViews>
    <workbookView xWindow="-110" yWindow="-110" windowWidth="19420" windowHeight="11500" activeTab="8" xr2:uid="{00000000-000D-0000-FFFF-FFFF00000000}"/>
  </bookViews>
  <sheets>
    <sheet name="2018" sheetId="2" r:id="rId1"/>
    <sheet name="2019" sheetId="3" r:id="rId2"/>
    <sheet name="2020" sheetId="4" r:id="rId3"/>
    <sheet name="2021" sheetId="5" r:id="rId4"/>
    <sheet name="2022" sheetId="6" r:id="rId5"/>
    <sheet name="2023" sheetId="7" r:id="rId6"/>
    <sheet name="2024" sheetId="8" r:id="rId7"/>
    <sheet name="2025" sheetId="10" r:id="rId8"/>
    <sheet name="2026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E8" i="9" l="1"/>
  <c r="AD8" i="9"/>
  <c r="AF8" i="9" s="1"/>
  <c r="AG8" i="9" s="1"/>
  <c r="AB8" i="9"/>
  <c r="AC8" i="9" s="1"/>
  <c r="X8" i="9"/>
  <c r="Y8" i="9" s="1"/>
  <c r="T8" i="9"/>
  <c r="U8" i="9" s="1"/>
  <c r="P8" i="9"/>
  <c r="Q8" i="9" s="1"/>
  <c r="L8" i="9"/>
  <c r="M8" i="9" s="1"/>
  <c r="H8" i="9"/>
  <c r="I8" i="9" s="1"/>
  <c r="D8" i="9"/>
  <c r="AE7" i="9"/>
  <c r="AD7" i="9"/>
  <c r="AF7" i="9" s="1"/>
  <c r="AB7" i="9"/>
  <c r="X7" i="9"/>
  <c r="T7" i="9"/>
  <c r="P7" i="9"/>
  <c r="L7" i="9"/>
  <c r="H7" i="9"/>
  <c r="D7" i="9"/>
  <c r="E8" i="9" s="1"/>
  <c r="AB6" i="9" l="1"/>
  <c r="AC7" i="9" s="1"/>
  <c r="AE6" i="9" l="1"/>
  <c r="AE19" i="9" s="1"/>
  <c r="AD6" i="9"/>
  <c r="AC6" i="9"/>
  <c r="X6" i="9"/>
  <c r="Y7" i="9" s="1"/>
  <c r="T6" i="9"/>
  <c r="U7" i="9" s="1"/>
  <c r="P6" i="9"/>
  <c r="Q7" i="9" s="1"/>
  <c r="L6" i="9"/>
  <c r="M7" i="9" s="1"/>
  <c r="H6" i="9"/>
  <c r="I7" i="9" s="1"/>
  <c r="D6" i="9"/>
  <c r="E7" i="9" s="1"/>
  <c r="AA19" i="9"/>
  <c r="Z19" i="9"/>
  <c r="W19" i="9"/>
  <c r="V19" i="9"/>
  <c r="S19" i="9"/>
  <c r="R19" i="9"/>
  <c r="O19" i="9"/>
  <c r="N19" i="9"/>
  <c r="K19" i="9"/>
  <c r="J19" i="9"/>
  <c r="G19" i="9"/>
  <c r="F19" i="9"/>
  <c r="C19" i="9"/>
  <c r="B19" i="9"/>
  <c r="Y6" i="9" l="1"/>
  <c r="U6" i="9"/>
  <c r="Q6" i="9"/>
  <c r="M6" i="9"/>
  <c r="I6" i="9"/>
  <c r="E6" i="9"/>
  <c r="AF6" i="9"/>
  <c r="AB19" i="9"/>
  <c r="X19" i="9"/>
  <c r="P19" i="9"/>
  <c r="L19" i="9"/>
  <c r="H19" i="9"/>
  <c r="T19" i="9"/>
  <c r="AD19" i="9"/>
  <c r="AF19" i="9" s="1"/>
  <c r="D19" i="9"/>
  <c r="AB17" i="8"/>
  <c r="AE17" i="8"/>
  <c r="AD17" i="8"/>
  <c r="AF17" i="8" s="1"/>
  <c r="X17" i="8"/>
  <c r="T17" i="8"/>
  <c r="P17" i="8"/>
  <c r="L17" i="8"/>
  <c r="H17" i="8"/>
  <c r="D17" i="8"/>
  <c r="U17" i="8" l="1"/>
  <c r="AG6" i="9"/>
  <c r="AG7" i="9"/>
  <c r="AB16" i="8"/>
  <c r="AC17" i="8" s="1"/>
  <c r="AE16" i="8"/>
  <c r="AD16" i="8"/>
  <c r="X16" i="8"/>
  <c r="Y17" i="8" s="1"/>
  <c r="T16" i="8"/>
  <c r="P16" i="8"/>
  <c r="L16" i="8"/>
  <c r="M17" i="8" s="1"/>
  <c r="H16" i="8"/>
  <c r="I17" i="8" s="1"/>
  <c r="D16" i="8"/>
  <c r="E17" i="8" s="1"/>
  <c r="AF16" i="8" l="1"/>
  <c r="Q17" i="8"/>
  <c r="I16" i="8"/>
  <c r="AB15" i="8"/>
  <c r="AC16" i="8" s="1"/>
  <c r="AE15" i="8"/>
  <c r="AD15" i="8"/>
  <c r="AF15" i="8" s="1"/>
  <c r="X15" i="8"/>
  <c r="Y16" i="8" s="1"/>
  <c r="T15" i="8"/>
  <c r="P15" i="8"/>
  <c r="Q16" i="8" s="1"/>
  <c r="L15" i="8"/>
  <c r="H15" i="8"/>
  <c r="D15" i="8"/>
  <c r="E16" i="8" s="1"/>
  <c r="M16" i="8" l="1"/>
  <c r="AG17" i="8"/>
  <c r="AG16" i="8"/>
  <c r="U16" i="8"/>
  <c r="AB14" i="8" l="1"/>
  <c r="AC15" i="8" s="1"/>
  <c r="AE14" i="8"/>
  <c r="AD14" i="8"/>
  <c r="AF14" i="8" s="1"/>
  <c r="X14" i="8"/>
  <c r="Y15" i="8" s="1"/>
  <c r="T14" i="8"/>
  <c r="U15" i="8" s="1"/>
  <c r="P14" i="8"/>
  <c r="Q15" i="8" s="1"/>
  <c r="L14" i="8"/>
  <c r="M15" i="8" s="1"/>
  <c r="H14" i="8"/>
  <c r="I15" i="8" s="1"/>
  <c r="D14" i="8"/>
  <c r="E15" i="8" s="1"/>
  <c r="AG15" i="8" l="1"/>
  <c r="Q14" i="8"/>
  <c r="U14" i="8"/>
  <c r="AB13" i="8"/>
  <c r="AC14" i="8" s="1"/>
  <c r="AE13" i="8"/>
  <c r="AD13" i="8"/>
  <c r="AF13" i="8" s="1"/>
  <c r="X13" i="8"/>
  <c r="T13" i="8"/>
  <c r="P13" i="8"/>
  <c r="L13" i="8"/>
  <c r="M14" i="8" s="1"/>
  <c r="H13" i="8"/>
  <c r="I14" i="8" s="1"/>
  <c r="D13" i="8"/>
  <c r="E14" i="8" s="1"/>
  <c r="Y13" i="8" l="1"/>
  <c r="AG14" i="8"/>
  <c r="Y14" i="8"/>
  <c r="M13" i="8"/>
  <c r="AB12" i="8"/>
  <c r="AC13" i="8" s="1"/>
  <c r="AE12" i="8"/>
  <c r="AD12" i="8"/>
  <c r="AF12" i="8" s="1"/>
  <c r="X12" i="8"/>
  <c r="T12" i="8"/>
  <c r="U13" i="8" s="1"/>
  <c r="P12" i="8"/>
  <c r="Q13" i="8" s="1"/>
  <c r="L12" i="8"/>
  <c r="H12" i="8"/>
  <c r="I13" i="8" s="1"/>
  <c r="D12" i="8"/>
  <c r="Y12" i="8" l="1"/>
  <c r="AG13" i="8"/>
  <c r="E13" i="8"/>
  <c r="Q12" i="8"/>
  <c r="U12" i="8"/>
  <c r="AB11" i="8"/>
  <c r="AC12" i="8" s="1"/>
  <c r="AE11" i="8"/>
  <c r="AD11" i="8"/>
  <c r="AF11" i="8" s="1"/>
  <c r="X11" i="8"/>
  <c r="T11" i="8"/>
  <c r="P11" i="8"/>
  <c r="L11" i="8"/>
  <c r="M12" i="8" s="1"/>
  <c r="H11" i="8"/>
  <c r="I12" i="8" s="1"/>
  <c r="D11" i="8"/>
  <c r="E12" i="8" s="1"/>
  <c r="Y11" i="8" l="1"/>
  <c r="AG12" i="8"/>
  <c r="M11" i="8"/>
  <c r="AB10" i="8"/>
  <c r="AC11" i="8" s="1"/>
  <c r="AE10" i="8"/>
  <c r="AD10" i="8"/>
  <c r="AF10" i="8" s="1"/>
  <c r="X10" i="8"/>
  <c r="T10" i="8"/>
  <c r="U11" i="8" s="1"/>
  <c r="P10" i="8"/>
  <c r="Q11" i="8" s="1"/>
  <c r="L10" i="8"/>
  <c r="H10" i="8"/>
  <c r="I11" i="8" s="1"/>
  <c r="D10" i="8"/>
  <c r="E11" i="8" s="1"/>
  <c r="AG11" i="8" l="1"/>
  <c r="Q10" i="8"/>
  <c r="U10" i="8"/>
  <c r="AE9" i="8"/>
  <c r="AD9" i="8"/>
  <c r="AF9" i="8" s="1"/>
  <c r="AB9" i="8"/>
  <c r="AC10" i="8" s="1"/>
  <c r="X9" i="8"/>
  <c r="Y10" i="8" s="1"/>
  <c r="T9" i="8"/>
  <c r="P9" i="8"/>
  <c r="L9" i="8"/>
  <c r="M10" i="8" s="1"/>
  <c r="H9" i="8"/>
  <c r="I10" i="8" s="1"/>
  <c r="D9" i="8"/>
  <c r="E10" i="8" s="1"/>
  <c r="AG10" i="8" l="1"/>
  <c r="Y9" i="8"/>
  <c r="M9" i="8"/>
  <c r="AE8" i="8"/>
  <c r="AD8" i="8"/>
  <c r="AF8" i="8" s="1"/>
  <c r="AB8" i="8"/>
  <c r="AC9" i="8" s="1"/>
  <c r="X8" i="8"/>
  <c r="T8" i="8"/>
  <c r="U9" i="8" s="1"/>
  <c r="P8" i="8"/>
  <c r="Q9" i="8" s="1"/>
  <c r="L8" i="8"/>
  <c r="H8" i="8"/>
  <c r="I9" i="8" s="1"/>
  <c r="D8" i="8"/>
  <c r="E9" i="8" s="1"/>
  <c r="AG9" i="8" l="1"/>
  <c r="Q8" i="8"/>
  <c r="U8" i="8"/>
  <c r="AE7" i="8"/>
  <c r="AD7" i="8"/>
  <c r="AF7" i="8" s="1"/>
  <c r="AB7" i="8"/>
  <c r="AC8" i="8" s="1"/>
  <c r="X7" i="8"/>
  <c r="Y8" i="8" s="1"/>
  <c r="T7" i="8"/>
  <c r="P7" i="8"/>
  <c r="L7" i="8"/>
  <c r="M8" i="8" s="1"/>
  <c r="H7" i="8"/>
  <c r="I8" i="8" s="1"/>
  <c r="D7" i="8"/>
  <c r="E8" i="8" s="1"/>
  <c r="AG8" i="8" l="1"/>
  <c r="AA19" i="8"/>
  <c r="Z19" i="8"/>
  <c r="W19" i="8"/>
  <c r="V19" i="8"/>
  <c r="S19" i="8"/>
  <c r="R19" i="8"/>
  <c r="O19" i="8"/>
  <c r="N19" i="8"/>
  <c r="K19" i="8"/>
  <c r="J19" i="8"/>
  <c r="G19" i="8"/>
  <c r="F19" i="8"/>
  <c r="C19" i="8"/>
  <c r="B19" i="8"/>
  <c r="AE6" i="8"/>
  <c r="AD6" i="8"/>
  <c r="AB6" i="8"/>
  <c r="AC6" i="8" s="1"/>
  <c r="X6" i="8"/>
  <c r="Y6" i="8" s="1"/>
  <c r="T6" i="8"/>
  <c r="U6" i="8" s="1"/>
  <c r="P6" i="8"/>
  <c r="Q6" i="8" s="1"/>
  <c r="L6" i="8"/>
  <c r="M7" i="8" s="1"/>
  <c r="H6" i="8"/>
  <c r="D6" i="8"/>
  <c r="E6" i="8" s="1"/>
  <c r="I6" i="8" l="1"/>
  <c r="I7" i="8"/>
  <c r="E7" i="8"/>
  <c r="AC7" i="8"/>
  <c r="Y7" i="8"/>
  <c r="U7" i="8"/>
  <c r="Q7" i="8"/>
  <c r="X19" i="8"/>
  <c r="P19" i="8"/>
  <c r="D19" i="8"/>
  <c r="T19" i="8"/>
  <c r="AB19" i="8"/>
  <c r="H19" i="8"/>
  <c r="AD19" i="8"/>
  <c r="AE19" i="8"/>
  <c r="L19" i="8"/>
  <c r="AF6" i="8"/>
  <c r="M6" i="8"/>
  <c r="AB17" i="7"/>
  <c r="AE17" i="7"/>
  <c r="AD17" i="7"/>
  <c r="X17" i="7"/>
  <c r="T17" i="7"/>
  <c r="P17" i="7"/>
  <c r="L17" i="7"/>
  <c r="H17" i="7"/>
  <c r="D17" i="7"/>
  <c r="Y17" i="7" l="1"/>
  <c r="AF17" i="7"/>
  <c r="AG6" i="8"/>
  <c r="AG7" i="8"/>
  <c r="AF19" i="8"/>
  <c r="AB16" i="7"/>
  <c r="AC17" i="7" s="1"/>
  <c r="AE16" i="7"/>
  <c r="AD16" i="7"/>
  <c r="AF16" i="7" s="1"/>
  <c r="X16" i="7"/>
  <c r="T16" i="7"/>
  <c r="P16" i="7"/>
  <c r="Q17" i="7" s="1"/>
  <c r="L16" i="7"/>
  <c r="M17" i="7" s="1"/>
  <c r="H16" i="7"/>
  <c r="I17" i="7" s="1"/>
  <c r="D16" i="7"/>
  <c r="E17" i="7" s="1"/>
  <c r="M16" i="7" l="1"/>
  <c r="AG17" i="7"/>
  <c r="Q16" i="7"/>
  <c r="U17" i="7"/>
  <c r="AB15" i="7"/>
  <c r="AC16" i="7" s="1"/>
  <c r="AE15" i="7"/>
  <c r="AD15" i="7"/>
  <c r="AF15" i="7" s="1"/>
  <c r="X15" i="7"/>
  <c r="Y16" i="7" s="1"/>
  <c r="T15" i="7"/>
  <c r="U16" i="7" s="1"/>
  <c r="P15" i="7"/>
  <c r="L15" i="7"/>
  <c r="H15" i="7"/>
  <c r="I16" i="7" s="1"/>
  <c r="D15" i="7"/>
  <c r="E16" i="7" s="1"/>
  <c r="I15" i="7" l="1"/>
  <c r="M15" i="7"/>
  <c r="AG16" i="7"/>
  <c r="AB14" i="7"/>
  <c r="AC15" i="7" s="1"/>
  <c r="AE14" i="7"/>
  <c r="AD14" i="7"/>
  <c r="X14" i="7"/>
  <c r="Y15" i="7" s="1"/>
  <c r="P14" i="7"/>
  <c r="Q15" i="7" s="1"/>
  <c r="L14" i="7"/>
  <c r="H14" i="7"/>
  <c r="D14" i="7"/>
  <c r="E15" i="7" s="1"/>
  <c r="AF14" i="7" l="1"/>
  <c r="AG15" i="7" s="1"/>
  <c r="AB13" i="7"/>
  <c r="AC14" i="7" s="1"/>
  <c r="AE13" i="7"/>
  <c r="AD13" i="7"/>
  <c r="AF13" i="7" s="1"/>
  <c r="X13" i="7"/>
  <c r="T13" i="7"/>
  <c r="P13" i="7"/>
  <c r="L13" i="7"/>
  <c r="H13" i="7"/>
  <c r="D13" i="7"/>
  <c r="Q14" i="7" l="1"/>
  <c r="Y13" i="7"/>
  <c r="AC13" i="7"/>
  <c r="E14" i="7"/>
  <c r="Y14" i="7"/>
  <c r="M14" i="7"/>
  <c r="I14" i="7"/>
  <c r="AG14" i="7"/>
  <c r="AB12" i="7"/>
  <c r="AE12" i="7"/>
  <c r="AD12" i="7"/>
  <c r="X12" i="7"/>
  <c r="P12" i="7"/>
  <c r="Q13" i="7" s="1"/>
  <c r="L12" i="7"/>
  <c r="M13" i="7" s="1"/>
  <c r="H12" i="7"/>
  <c r="I13" i="7" s="1"/>
  <c r="D12" i="7"/>
  <c r="E13" i="7" s="1"/>
  <c r="E12" i="7" l="1"/>
  <c r="AF12" i="7"/>
  <c r="AB11" i="7"/>
  <c r="AE11" i="7"/>
  <c r="AD11" i="7"/>
  <c r="X11" i="7"/>
  <c r="T11" i="7"/>
  <c r="T12" i="7"/>
  <c r="T14" i="7"/>
  <c r="P11" i="7"/>
  <c r="L11" i="7"/>
  <c r="H11" i="7"/>
  <c r="D11" i="7"/>
  <c r="U12" i="7" l="1"/>
  <c r="U13" i="7"/>
  <c r="AC12" i="7"/>
  <c r="U14" i="7"/>
  <c r="U15" i="7"/>
  <c r="AF11" i="7"/>
  <c r="AG11" i="7" s="1"/>
  <c r="AG13" i="7"/>
  <c r="AG12" i="7"/>
  <c r="M12" i="7"/>
  <c r="Q12" i="7"/>
  <c r="I12" i="7"/>
  <c r="Y12" i="7"/>
  <c r="AB10" i="7"/>
  <c r="AE10" i="7"/>
  <c r="AD10" i="7"/>
  <c r="AF10" i="7" s="1"/>
  <c r="X10" i="7"/>
  <c r="Y11" i="7" s="1"/>
  <c r="T10" i="7"/>
  <c r="P10" i="7"/>
  <c r="L10" i="7"/>
  <c r="M11" i="7" s="1"/>
  <c r="H10" i="7"/>
  <c r="I11" i="7" s="1"/>
  <c r="D10" i="7"/>
  <c r="Y10" i="7" l="1"/>
  <c r="Q11" i="7"/>
  <c r="U11" i="7"/>
  <c r="AC11" i="7"/>
  <c r="E11" i="7"/>
  <c r="AE9" i="7"/>
  <c r="AD9" i="7"/>
  <c r="AF9" i="7" s="1"/>
  <c r="AB9" i="7"/>
  <c r="AC10" i="7" s="1"/>
  <c r="X9" i="7"/>
  <c r="T9" i="7"/>
  <c r="U10" i="7" s="1"/>
  <c r="P9" i="7"/>
  <c r="Q10" i="7" s="1"/>
  <c r="L9" i="7"/>
  <c r="M10" i="7" s="1"/>
  <c r="H9" i="7"/>
  <c r="D9" i="7"/>
  <c r="AG10" i="7" l="1"/>
  <c r="I10" i="7"/>
  <c r="U9" i="7"/>
  <c r="E10" i="7"/>
  <c r="M9" i="7"/>
  <c r="AC9" i="7"/>
  <c r="AE8" i="7"/>
  <c r="AD8" i="7"/>
  <c r="AF8" i="7" s="1"/>
  <c r="AB8" i="7"/>
  <c r="X8" i="7"/>
  <c r="T8" i="7"/>
  <c r="P8" i="7"/>
  <c r="Q9" i="7" s="1"/>
  <c r="L8" i="7"/>
  <c r="H8" i="7"/>
  <c r="I9" i="7" s="1"/>
  <c r="D8" i="7"/>
  <c r="E9" i="7" s="1"/>
  <c r="Y8" i="7" l="1"/>
  <c r="AG9" i="7"/>
  <c r="Q8" i="7"/>
  <c r="Y9" i="7"/>
  <c r="AE7" i="7"/>
  <c r="AD7" i="7"/>
  <c r="AF7" i="7" s="1"/>
  <c r="AB7" i="7"/>
  <c r="AC8" i="7" s="1"/>
  <c r="X7" i="7"/>
  <c r="T7" i="7"/>
  <c r="U8" i="7" s="1"/>
  <c r="P7" i="7"/>
  <c r="L7" i="7"/>
  <c r="M8" i="7" s="1"/>
  <c r="H7" i="7"/>
  <c r="D7" i="7"/>
  <c r="E8" i="7" s="1"/>
  <c r="AG8" i="7" l="1"/>
  <c r="I8" i="7"/>
  <c r="AD6" i="7"/>
  <c r="L6" i="7"/>
  <c r="M7" i="7" s="1"/>
  <c r="AE6" i="7" l="1"/>
  <c r="AF6" i="7" s="1"/>
  <c r="AD18" i="7"/>
  <c r="AB6" i="7"/>
  <c r="AC7" i="7" s="1"/>
  <c r="X6" i="7"/>
  <c r="Y7" i="7" s="1"/>
  <c r="T6" i="7"/>
  <c r="U7" i="7" s="1"/>
  <c r="P6" i="7"/>
  <c r="Q7" i="7" s="1"/>
  <c r="M6" i="7"/>
  <c r="H6" i="7"/>
  <c r="I7" i="7" s="1"/>
  <c r="D6" i="7"/>
  <c r="E7" i="7" s="1"/>
  <c r="AA19" i="7"/>
  <c r="Z19" i="7"/>
  <c r="W19" i="7"/>
  <c r="V19" i="7"/>
  <c r="S19" i="7"/>
  <c r="R19" i="7"/>
  <c r="O19" i="7"/>
  <c r="N19" i="7"/>
  <c r="K19" i="7"/>
  <c r="J19" i="7"/>
  <c r="G19" i="7"/>
  <c r="F19" i="7"/>
  <c r="C19" i="7"/>
  <c r="B19" i="7"/>
  <c r="AA18" i="7"/>
  <c r="Z18" i="7"/>
  <c r="W18" i="7"/>
  <c r="V18" i="7"/>
  <c r="S18" i="7"/>
  <c r="R18" i="7"/>
  <c r="O18" i="7"/>
  <c r="N18" i="7"/>
  <c r="K18" i="7"/>
  <c r="J18" i="7"/>
  <c r="G18" i="7"/>
  <c r="F18" i="7"/>
  <c r="C18" i="7"/>
  <c r="B18" i="7"/>
  <c r="AD19" i="7"/>
  <c r="AE19" i="7"/>
  <c r="AG6" i="7" l="1"/>
  <c r="AG7" i="7"/>
  <c r="E6" i="7"/>
  <c r="I6" i="7"/>
  <c r="Q6" i="7"/>
  <c r="U6" i="7"/>
  <c r="AC6" i="7"/>
  <c r="Y6" i="7"/>
  <c r="X19" i="7"/>
  <c r="T19" i="7"/>
  <c r="AB19" i="7"/>
  <c r="L19" i="7"/>
  <c r="H19" i="7"/>
  <c r="D19" i="7"/>
  <c r="P19" i="7"/>
  <c r="AF19" i="7"/>
  <c r="AE18" i="7"/>
  <c r="C19" i="6"/>
  <c r="AB17" i="6"/>
  <c r="AE17" i="6"/>
  <c r="AD17" i="6"/>
  <c r="X17" i="6"/>
  <c r="T17" i="6"/>
  <c r="P17" i="6"/>
  <c r="L17" i="6"/>
  <c r="H17" i="6"/>
  <c r="D17" i="6"/>
  <c r="U17" i="6" l="1"/>
  <c r="AF17" i="6"/>
  <c r="Y17" i="6"/>
  <c r="AB16" i="6"/>
  <c r="AC17" i="6" s="1"/>
  <c r="AE16" i="6"/>
  <c r="AD16" i="6"/>
  <c r="AF16" i="6" s="1"/>
  <c r="X16" i="6"/>
  <c r="T16" i="6"/>
  <c r="P16" i="6"/>
  <c r="Q17" i="6" s="1"/>
  <c r="L16" i="6"/>
  <c r="H16" i="6"/>
  <c r="I17" i="6" s="1"/>
  <c r="D16" i="6"/>
  <c r="E17" i="6" s="1"/>
  <c r="E16" i="6" l="1"/>
  <c r="I16" i="6"/>
  <c r="M17" i="6"/>
  <c r="AG17" i="6"/>
  <c r="AB15" i="6"/>
  <c r="AE15" i="6"/>
  <c r="AD15" i="6"/>
  <c r="AF15" i="6" s="1"/>
  <c r="X15" i="6"/>
  <c r="T15" i="6"/>
  <c r="U16" i="6" s="1"/>
  <c r="P15" i="6"/>
  <c r="Q16" i="6" s="1"/>
  <c r="L15" i="6"/>
  <c r="H15" i="6"/>
  <c r="D15" i="6"/>
  <c r="U15" i="6" l="1"/>
  <c r="Y15" i="6"/>
  <c r="Y16" i="6"/>
  <c r="AC16" i="6"/>
  <c r="AG16" i="6"/>
  <c r="M15" i="6"/>
  <c r="M16" i="6"/>
  <c r="AB14" i="6"/>
  <c r="AC15" i="6" s="1"/>
  <c r="AE14" i="6"/>
  <c r="AD14" i="6"/>
  <c r="X14" i="6"/>
  <c r="T14" i="6"/>
  <c r="P14" i="6"/>
  <c r="L14" i="6"/>
  <c r="H14" i="6"/>
  <c r="I15" i="6" s="1"/>
  <c r="D14" i="6"/>
  <c r="E15" i="6" s="1"/>
  <c r="E14" i="6" l="1"/>
  <c r="Q15" i="6"/>
  <c r="AF14" i="6"/>
  <c r="AG15" i="6" s="1"/>
  <c r="AB13" i="6"/>
  <c r="AC14" i="6" s="1"/>
  <c r="AE13" i="6"/>
  <c r="AD13" i="6"/>
  <c r="AF13" i="6" s="1"/>
  <c r="AG14" i="6" s="1"/>
  <c r="X13" i="6"/>
  <c r="Y14" i="6" s="1"/>
  <c r="T13" i="6"/>
  <c r="U14" i="6" s="1"/>
  <c r="P13" i="6"/>
  <c r="Q14" i="6" s="1"/>
  <c r="L13" i="6"/>
  <c r="M14" i="6" s="1"/>
  <c r="H13" i="6"/>
  <c r="I14" i="6" s="1"/>
  <c r="D13" i="6"/>
  <c r="AB12" i="6" l="1"/>
  <c r="AC13" i="6" s="1"/>
  <c r="AE12" i="6"/>
  <c r="AD12" i="6"/>
  <c r="AF12" i="6" s="1"/>
  <c r="X12" i="6"/>
  <c r="Y13" i="6" s="1"/>
  <c r="T12" i="6"/>
  <c r="U13" i="6" s="1"/>
  <c r="P12" i="6"/>
  <c r="Q13" i="6" s="1"/>
  <c r="L12" i="6"/>
  <c r="H12" i="6"/>
  <c r="I13" i="6" s="1"/>
  <c r="D12" i="6"/>
  <c r="E13" i="6" s="1"/>
  <c r="AG13" i="6" l="1"/>
  <c r="M13" i="6"/>
  <c r="AB11" i="6"/>
  <c r="AE11" i="6"/>
  <c r="AD11" i="6"/>
  <c r="X11" i="6"/>
  <c r="Y12" i="6" s="1"/>
  <c r="T11" i="6"/>
  <c r="U12" i="6" s="1"/>
  <c r="P11" i="6"/>
  <c r="Q12" i="6" s="1"/>
  <c r="L11" i="6"/>
  <c r="M12" i="6" s="1"/>
  <c r="H11" i="6"/>
  <c r="D11" i="6"/>
  <c r="E12" i="6" s="1"/>
  <c r="I12" i="6" l="1"/>
  <c r="AF11" i="6"/>
  <c r="AC12" i="6"/>
  <c r="AB10" i="6"/>
  <c r="AC11" i="6" s="1"/>
  <c r="AE10" i="6"/>
  <c r="AD10" i="6"/>
  <c r="X10" i="6"/>
  <c r="Y11" i="6" s="1"/>
  <c r="T10" i="6"/>
  <c r="U11" i="6" s="1"/>
  <c r="P10" i="6"/>
  <c r="L10" i="6"/>
  <c r="H10" i="6"/>
  <c r="D10" i="6"/>
  <c r="AG12" i="6" l="1"/>
  <c r="Q11" i="6"/>
  <c r="E11" i="6"/>
  <c r="M11" i="6"/>
  <c r="I11" i="6"/>
  <c r="AF10" i="6"/>
  <c r="AB9" i="6"/>
  <c r="AC10" i="6" s="1"/>
  <c r="AE9" i="6"/>
  <c r="AD9" i="6"/>
  <c r="AF9" i="6" s="1"/>
  <c r="X9" i="6"/>
  <c r="Y10" i="6" s="1"/>
  <c r="T9" i="6"/>
  <c r="U10" i="6" s="1"/>
  <c r="P9" i="6"/>
  <c r="Q10" i="6" s="1"/>
  <c r="L9" i="6"/>
  <c r="M10" i="6" s="1"/>
  <c r="H9" i="6"/>
  <c r="I10" i="6" s="1"/>
  <c r="D9" i="6"/>
  <c r="E10" i="6" s="1"/>
  <c r="AG10" i="6" l="1"/>
  <c r="AG11" i="6"/>
  <c r="H8" i="6"/>
  <c r="I9" i="6" s="1"/>
  <c r="AE8" i="6" l="1"/>
  <c r="AD8" i="6"/>
  <c r="AB8" i="6"/>
  <c r="AC9" i="6" s="1"/>
  <c r="X8" i="6"/>
  <c r="Y9" i="6" s="1"/>
  <c r="T8" i="6"/>
  <c r="U9" i="6" s="1"/>
  <c r="P8" i="6"/>
  <c r="Q9" i="6" s="1"/>
  <c r="L8" i="6"/>
  <c r="M9" i="6" s="1"/>
  <c r="D8" i="6"/>
  <c r="E9" i="6" s="1"/>
  <c r="AF8" i="6" l="1"/>
  <c r="AG9" i="6" s="1"/>
  <c r="AE7" i="6"/>
  <c r="AD7" i="6"/>
  <c r="AF7" i="6" s="1"/>
  <c r="AG8" i="6" s="1"/>
  <c r="AB7" i="6"/>
  <c r="AC8" i="6" s="1"/>
  <c r="X7" i="6"/>
  <c r="T7" i="6"/>
  <c r="U8" i="6" s="1"/>
  <c r="P7" i="6"/>
  <c r="Q8" i="6" s="1"/>
  <c r="L7" i="6"/>
  <c r="M8" i="6" s="1"/>
  <c r="H7" i="6"/>
  <c r="I8" i="6" s="1"/>
  <c r="D7" i="6"/>
  <c r="E8" i="6" s="1"/>
  <c r="Y8" i="6" l="1"/>
  <c r="C18" i="6"/>
  <c r="F18" i="6"/>
  <c r="G18" i="6"/>
  <c r="J18" i="6"/>
  <c r="K18" i="6"/>
  <c r="N18" i="6"/>
  <c r="O18" i="6"/>
  <c r="R18" i="6"/>
  <c r="S18" i="6"/>
  <c r="V18" i="6"/>
  <c r="W18" i="6"/>
  <c r="Z18" i="6"/>
  <c r="AA18" i="6"/>
  <c r="F19" i="6"/>
  <c r="G19" i="6"/>
  <c r="J19" i="6"/>
  <c r="K19" i="6"/>
  <c r="N19" i="6"/>
  <c r="O19" i="6"/>
  <c r="R19" i="6"/>
  <c r="S19" i="6"/>
  <c r="V19" i="6"/>
  <c r="W19" i="6"/>
  <c r="Z19" i="6"/>
  <c r="AA19" i="6"/>
  <c r="B19" i="6"/>
  <c r="D19" i="6" s="1"/>
  <c r="B18" i="6"/>
  <c r="AE6" i="6"/>
  <c r="AD6" i="6"/>
  <c r="AD19" i="6" s="1"/>
  <c r="AE5" i="6"/>
  <c r="AD5" i="6"/>
  <c r="AB6" i="6"/>
  <c r="X6" i="6"/>
  <c r="Y6" i="6" s="1"/>
  <c r="T6" i="6"/>
  <c r="U6" i="6" s="1"/>
  <c r="P6" i="6"/>
  <c r="Q6" i="6" s="1"/>
  <c r="L6" i="6"/>
  <c r="M6" i="6" s="1"/>
  <c r="H6" i="6"/>
  <c r="D6" i="6"/>
  <c r="E6" i="6" s="1"/>
  <c r="AB19" i="6" l="1"/>
  <c r="H19" i="6"/>
  <c r="T19" i="6"/>
  <c r="P19" i="6"/>
  <c r="L19" i="6"/>
  <c r="Y7" i="6"/>
  <c r="AC6" i="6"/>
  <c r="AC7" i="6"/>
  <c r="U7" i="6"/>
  <c r="Q7" i="6"/>
  <c r="AF6" i="6"/>
  <c r="AD18" i="6"/>
  <c r="E7" i="6"/>
  <c r="I6" i="6"/>
  <c r="I7" i="6"/>
  <c r="M7" i="6"/>
  <c r="AE19" i="6"/>
  <c r="AF19" i="6" s="1"/>
  <c r="AE18" i="6"/>
  <c r="X17" i="5"/>
  <c r="AE17" i="5"/>
  <c r="AD17" i="5"/>
  <c r="AF17" i="5" s="1"/>
  <c r="T17" i="5"/>
  <c r="P17" i="5"/>
  <c r="L17" i="5"/>
  <c r="H17" i="5"/>
  <c r="D17" i="5"/>
  <c r="AB17" i="5"/>
  <c r="AG6" i="6" l="1"/>
  <c r="AG7" i="6"/>
  <c r="AB16" i="5"/>
  <c r="AC17" i="5" s="1"/>
  <c r="AE16" i="5"/>
  <c r="AD16" i="5"/>
  <c r="X16" i="5"/>
  <c r="T16" i="5"/>
  <c r="U17" i="5" s="1"/>
  <c r="P16" i="5"/>
  <c r="L16" i="5"/>
  <c r="M17" i="5" s="1"/>
  <c r="H16" i="5"/>
  <c r="D16" i="5"/>
  <c r="AF16" i="5" l="1"/>
  <c r="I16" i="5"/>
  <c r="AG17" i="5"/>
  <c r="E17" i="5"/>
  <c r="Y17" i="5"/>
  <c r="I17" i="5"/>
  <c r="Q17" i="5"/>
  <c r="AB15" i="5"/>
  <c r="AC16" i="5" s="1"/>
  <c r="AE15" i="5"/>
  <c r="AD15" i="5"/>
  <c r="X15" i="5"/>
  <c r="Y16" i="5" s="1"/>
  <c r="T15" i="5"/>
  <c r="U16" i="5" s="1"/>
  <c r="P15" i="5"/>
  <c r="L15" i="5"/>
  <c r="H15" i="5"/>
  <c r="D15" i="5"/>
  <c r="AF15" i="5" l="1"/>
  <c r="AG16" i="5"/>
  <c r="Q16" i="5"/>
  <c r="M16" i="5"/>
  <c r="E16" i="5"/>
  <c r="AB14" i="5"/>
  <c r="AC15" i="5" s="1"/>
  <c r="AE14" i="5"/>
  <c r="AD14" i="5"/>
  <c r="AF14" i="5" s="1"/>
  <c r="AG15" i="5" s="1"/>
  <c r="X14" i="5"/>
  <c r="Y15" i="5" s="1"/>
  <c r="T14" i="5"/>
  <c r="U15" i="5" s="1"/>
  <c r="P14" i="5"/>
  <c r="Q15" i="5" s="1"/>
  <c r="L14" i="5"/>
  <c r="M15" i="5" s="1"/>
  <c r="H14" i="5"/>
  <c r="I15" i="5" s="1"/>
  <c r="D14" i="5"/>
  <c r="E15" i="5" s="1"/>
  <c r="AB13" i="5" l="1"/>
  <c r="AC14" i="5" s="1"/>
  <c r="AE13" i="5"/>
  <c r="AD13" i="5"/>
  <c r="AF13" i="5" s="1"/>
  <c r="X13" i="5"/>
  <c r="Y14" i="5" s="1"/>
  <c r="T13" i="5"/>
  <c r="U14" i="5" s="1"/>
  <c r="P13" i="5"/>
  <c r="Q14" i="5" s="1"/>
  <c r="L13" i="5"/>
  <c r="M14" i="5" s="1"/>
  <c r="H13" i="5"/>
  <c r="D13" i="5"/>
  <c r="E14" i="5" s="1"/>
  <c r="I14" i="5" l="1"/>
  <c r="AG14" i="5"/>
  <c r="AB12" i="5"/>
  <c r="AC13" i="5" s="1"/>
  <c r="AE12" i="5"/>
  <c r="AD12" i="5"/>
  <c r="AF12" i="5" s="1"/>
  <c r="X12" i="5"/>
  <c r="Y13" i="5" s="1"/>
  <c r="T12" i="5"/>
  <c r="U13" i="5" s="1"/>
  <c r="P12" i="5"/>
  <c r="Q13" i="5" s="1"/>
  <c r="L12" i="5"/>
  <c r="H12" i="5"/>
  <c r="I13" i="5" s="1"/>
  <c r="D12" i="5"/>
  <c r="E13" i="5" s="1"/>
  <c r="AG13" i="5" l="1"/>
  <c r="M13" i="5"/>
  <c r="AE11" i="5"/>
  <c r="AB11" i="5"/>
  <c r="AC12" i="5" s="1"/>
  <c r="AD11" i="5"/>
  <c r="AF11" i="5" s="1"/>
  <c r="X11" i="5"/>
  <c r="Y12" i="5" s="1"/>
  <c r="T11" i="5"/>
  <c r="P11" i="5"/>
  <c r="Q12" i="5" s="1"/>
  <c r="L11" i="5"/>
  <c r="M12" i="5" s="1"/>
  <c r="H11" i="5"/>
  <c r="I12" i="5" s="1"/>
  <c r="D11" i="5"/>
  <c r="E12" i="5" s="1"/>
  <c r="AG12" i="5" l="1"/>
  <c r="U12" i="5"/>
  <c r="AE10" i="5"/>
  <c r="AB10" i="5"/>
  <c r="AC11" i="5" s="1"/>
  <c r="AD10" i="5"/>
  <c r="AF10" i="5" s="1"/>
  <c r="X10" i="5"/>
  <c r="T10" i="5"/>
  <c r="U11" i="5" s="1"/>
  <c r="P10" i="5"/>
  <c r="Q11" i="5" s="1"/>
  <c r="L10" i="5"/>
  <c r="M11" i="5" s="1"/>
  <c r="H10" i="5"/>
  <c r="I11" i="5" s="1"/>
  <c r="D10" i="5"/>
  <c r="E11" i="5" s="1"/>
  <c r="AG11" i="5" l="1"/>
  <c r="Y11" i="5"/>
  <c r="AE9" i="5"/>
  <c r="AD9" i="5"/>
  <c r="AF9" i="5" s="1"/>
  <c r="AB9" i="5"/>
  <c r="AC10" i="5" s="1"/>
  <c r="X9" i="5"/>
  <c r="Y10" i="5" s="1"/>
  <c r="T9" i="5"/>
  <c r="U10" i="5" s="1"/>
  <c r="P9" i="5"/>
  <c r="Q10" i="5" s="1"/>
  <c r="L9" i="5"/>
  <c r="H9" i="5"/>
  <c r="AG10" i="5" l="1"/>
  <c r="I10" i="5"/>
  <c r="M10" i="5"/>
  <c r="D9" i="5"/>
  <c r="E10" i="5" s="1"/>
  <c r="AE7" i="5" l="1"/>
  <c r="AE8" i="5"/>
  <c r="AD7" i="5"/>
  <c r="AD8" i="5"/>
  <c r="AF8" i="5" s="1"/>
  <c r="AE6" i="5"/>
  <c r="AD6" i="5"/>
  <c r="G19" i="5"/>
  <c r="F19" i="5"/>
  <c r="G18" i="5"/>
  <c r="F18" i="5"/>
  <c r="H8" i="5"/>
  <c r="I9" i="5" s="1"/>
  <c r="H7" i="5"/>
  <c r="I7" i="5" s="1"/>
  <c r="H6" i="5"/>
  <c r="H19" i="5" s="1"/>
  <c r="AB8" i="5"/>
  <c r="AC9" i="5" s="1"/>
  <c r="X8" i="5"/>
  <c r="Y9" i="5" s="1"/>
  <c r="T8" i="5"/>
  <c r="U9" i="5" s="1"/>
  <c r="P8" i="5"/>
  <c r="Q9" i="5" s="1"/>
  <c r="L8" i="5"/>
  <c r="M9" i="5" s="1"/>
  <c r="D8" i="5"/>
  <c r="E9" i="5" s="1"/>
  <c r="AG9" i="5" l="1"/>
  <c r="I8" i="5"/>
  <c r="X7" i="5"/>
  <c r="Y8" i="5" s="1"/>
  <c r="X6" i="5"/>
  <c r="X19" i="5" s="1"/>
  <c r="AF7" i="5"/>
  <c r="AG8" i="5" s="1"/>
  <c r="AB7" i="5"/>
  <c r="AC8" i="5" s="1"/>
  <c r="T7" i="5"/>
  <c r="P7" i="5"/>
  <c r="L7" i="5"/>
  <c r="D7" i="5"/>
  <c r="E8" i="5" s="1"/>
  <c r="Q8" i="5" l="1"/>
  <c r="M8" i="5"/>
  <c r="U8" i="5"/>
  <c r="Y7" i="5"/>
  <c r="Y6" i="5" l="1"/>
  <c r="AF6" i="5"/>
  <c r="AE18" i="5"/>
  <c r="AD18" i="5"/>
  <c r="AB6" i="5"/>
  <c r="AC6" i="5" s="1"/>
  <c r="T6" i="5"/>
  <c r="U6" i="5" s="1"/>
  <c r="P6" i="5"/>
  <c r="L6" i="5"/>
  <c r="D6" i="5"/>
  <c r="AE19" i="5"/>
  <c r="AA19" i="5"/>
  <c r="Z19" i="5"/>
  <c r="W19" i="5"/>
  <c r="V19" i="5"/>
  <c r="S19" i="5"/>
  <c r="R19" i="5"/>
  <c r="O19" i="5"/>
  <c r="N19" i="5"/>
  <c r="K19" i="5"/>
  <c r="J19" i="5"/>
  <c r="C19" i="5"/>
  <c r="B19" i="5"/>
  <c r="AA18" i="5"/>
  <c r="Z18" i="5"/>
  <c r="W18" i="5"/>
  <c r="V18" i="5"/>
  <c r="S18" i="5"/>
  <c r="R18" i="5"/>
  <c r="O18" i="5"/>
  <c r="N18" i="5"/>
  <c r="K18" i="5"/>
  <c r="J18" i="5"/>
  <c r="C18" i="5"/>
  <c r="B18" i="5"/>
  <c r="L19" i="5" l="1"/>
  <c r="M7" i="5"/>
  <c r="P19" i="5"/>
  <c r="Q7" i="5"/>
  <c r="T19" i="5"/>
  <c r="U7" i="5"/>
  <c r="Q6" i="5"/>
  <c r="D19" i="5"/>
  <c r="E7" i="5"/>
  <c r="AB19" i="5"/>
  <c r="AC7" i="5"/>
  <c r="M6" i="5"/>
  <c r="E6" i="5"/>
  <c r="AF19" i="5"/>
  <c r="AG7" i="5"/>
  <c r="AG6" i="5"/>
  <c r="AD19" i="5"/>
  <c r="X17" i="4"/>
  <c r="AA17" i="4"/>
  <c r="Z17" i="4"/>
  <c r="T17" i="4"/>
  <c r="P17" i="4"/>
  <c r="L17" i="4"/>
  <c r="H17" i="4"/>
  <c r="D17" i="4"/>
  <c r="AB17" i="4" l="1"/>
  <c r="Z16" i="4"/>
  <c r="AB16" i="4" s="1"/>
  <c r="X16" i="4"/>
  <c r="Y17" i="4" s="1"/>
  <c r="AA16" i="4"/>
  <c r="T16" i="4"/>
  <c r="P16" i="4"/>
  <c r="Q17" i="4" s="1"/>
  <c r="L16" i="4"/>
  <c r="M17" i="4" s="1"/>
  <c r="H16" i="4"/>
  <c r="I17" i="4" s="1"/>
  <c r="D16" i="4"/>
  <c r="E17" i="4" s="1"/>
  <c r="U17" i="4" l="1"/>
  <c r="AC17" i="4"/>
  <c r="X15" i="4"/>
  <c r="Y16" i="4" s="1"/>
  <c r="AA15" i="4"/>
  <c r="Z15" i="4"/>
  <c r="T15" i="4"/>
  <c r="U16" i="4" s="1"/>
  <c r="P15" i="4"/>
  <c r="Q16" i="4" s="1"/>
  <c r="L15" i="4"/>
  <c r="M16" i="4" s="1"/>
  <c r="H15" i="4"/>
  <c r="I16" i="4" s="1"/>
  <c r="D15" i="4"/>
  <c r="AB15" i="4" l="1"/>
  <c r="AC16" i="4" s="1"/>
  <c r="E16" i="4"/>
  <c r="X14" i="4"/>
  <c r="Y15" i="4" s="1"/>
  <c r="AA14" i="4"/>
  <c r="Z14" i="4"/>
  <c r="T14" i="4"/>
  <c r="U15" i="4" s="1"/>
  <c r="P14" i="4"/>
  <c r="Q15" i="4" s="1"/>
  <c r="L14" i="4"/>
  <c r="M15" i="4" s="1"/>
  <c r="H14" i="4"/>
  <c r="I15" i="4" s="1"/>
  <c r="D14" i="4"/>
  <c r="E15" i="4" s="1"/>
  <c r="AB14" i="4" l="1"/>
  <c r="AC15" i="4" s="1"/>
  <c r="X13" i="4"/>
  <c r="AA13" i="4"/>
  <c r="Z13" i="4"/>
  <c r="T13" i="4"/>
  <c r="U14" i="4" s="1"/>
  <c r="P13" i="4"/>
  <c r="Q14" i="4" s="1"/>
  <c r="L13" i="4"/>
  <c r="M14" i="4" s="1"/>
  <c r="H13" i="4"/>
  <c r="I14" i="4" s="1"/>
  <c r="D13" i="4"/>
  <c r="E14" i="4" s="1"/>
  <c r="AB13" i="4" l="1"/>
  <c r="AC14" i="4" s="1"/>
  <c r="Y14" i="4"/>
  <c r="X12" i="4"/>
  <c r="Y13" i="4" s="1"/>
  <c r="AA12" i="4"/>
  <c r="Z12" i="4"/>
  <c r="T12" i="4"/>
  <c r="U13" i="4" s="1"/>
  <c r="P12" i="4"/>
  <c r="Q13" i="4" s="1"/>
  <c r="L12" i="4"/>
  <c r="M13" i="4" s="1"/>
  <c r="H12" i="4"/>
  <c r="D12" i="4"/>
  <c r="AB12" i="4" l="1"/>
  <c r="AC13" i="4" s="1"/>
  <c r="E13" i="4"/>
  <c r="I13" i="4"/>
  <c r="X11" i="4"/>
  <c r="Y12" i="4" s="1"/>
  <c r="AA11" i="4"/>
  <c r="Z11" i="4"/>
  <c r="T11" i="4"/>
  <c r="U12" i="4" s="1"/>
  <c r="P11" i="4"/>
  <c r="L11" i="4"/>
  <c r="M12" i="4" s="1"/>
  <c r="H11" i="4"/>
  <c r="I12" i="4" s="1"/>
  <c r="D11" i="4"/>
  <c r="Q12" i="4" l="1"/>
  <c r="E12" i="4"/>
  <c r="AB11" i="4"/>
  <c r="X10" i="4"/>
  <c r="Y11" i="4" s="1"/>
  <c r="AA10" i="4"/>
  <c r="Z10" i="4"/>
  <c r="T10" i="4"/>
  <c r="P10" i="4"/>
  <c r="Q11" i="4" s="1"/>
  <c r="L10" i="4"/>
  <c r="M11" i="4" s="1"/>
  <c r="H10" i="4"/>
  <c r="I11" i="4" s="1"/>
  <c r="D10" i="4"/>
  <c r="E11" i="4" s="1"/>
  <c r="AC12" i="4" l="1"/>
  <c r="U11" i="4"/>
  <c r="AB10" i="4"/>
  <c r="X9" i="4"/>
  <c r="Y10" i="4" s="1"/>
  <c r="AA9" i="4"/>
  <c r="Z9" i="4"/>
  <c r="AB9" i="4" s="1"/>
  <c r="T9" i="4"/>
  <c r="U10" i="4" s="1"/>
  <c r="P9" i="4"/>
  <c r="Q10" i="4" s="1"/>
  <c r="L9" i="4"/>
  <c r="M10" i="4" s="1"/>
  <c r="H9" i="4"/>
  <c r="I10" i="4" s="1"/>
  <c r="D9" i="4"/>
  <c r="E10" i="4" s="1"/>
  <c r="AC10" i="4" l="1"/>
  <c r="AC11" i="4"/>
  <c r="AA8" i="4"/>
  <c r="Z8" i="4"/>
  <c r="X8" i="4"/>
  <c r="Y9" i="4" s="1"/>
  <c r="T8" i="4"/>
  <c r="U9" i="4" s="1"/>
  <c r="P8" i="4"/>
  <c r="Q9" i="4" s="1"/>
  <c r="L8" i="4"/>
  <c r="M9" i="4" s="1"/>
  <c r="H8" i="4"/>
  <c r="I9" i="4" s="1"/>
  <c r="D8" i="4"/>
  <c r="E9" i="4" s="1"/>
  <c r="AB8" i="4" l="1"/>
  <c r="AC9" i="4"/>
  <c r="X7" i="4"/>
  <c r="Y8" i="4" s="1"/>
  <c r="T7" i="4"/>
  <c r="U8" i="4" s="1"/>
  <c r="P7" i="4"/>
  <c r="Q8" i="4" s="1"/>
  <c r="H7" i="4"/>
  <c r="I8" i="4" s="1"/>
  <c r="D7" i="4"/>
  <c r="E8" i="4" s="1"/>
  <c r="AA7" i="4"/>
  <c r="Z7" i="4"/>
  <c r="AB7" i="4" s="1"/>
  <c r="AA5" i="4"/>
  <c r="Z5" i="4"/>
  <c r="X5" i="4"/>
  <c r="T5" i="4"/>
  <c r="P5" i="4"/>
  <c r="L5" i="4"/>
  <c r="H5" i="4"/>
  <c r="D5" i="4"/>
  <c r="L7" i="4"/>
  <c r="M8" i="4" s="1"/>
  <c r="AC8" i="4" l="1"/>
  <c r="AB5" i="4"/>
  <c r="H6" i="4"/>
  <c r="I7" i="4" l="1"/>
  <c r="I6" i="4"/>
  <c r="AA6" i="4"/>
  <c r="AA19" i="4" s="1"/>
  <c r="Z6" i="4"/>
  <c r="AB6" i="4" s="1"/>
  <c r="AC7" i="4" s="1"/>
  <c r="X6" i="4"/>
  <c r="T6" i="4"/>
  <c r="P6" i="4"/>
  <c r="L6" i="4"/>
  <c r="D6" i="4"/>
  <c r="D19" i="4" s="1"/>
  <c r="W19" i="4"/>
  <c r="V19" i="4"/>
  <c r="S19" i="4"/>
  <c r="R19" i="4"/>
  <c r="O19" i="4"/>
  <c r="N19" i="4"/>
  <c r="K19" i="4"/>
  <c r="J19" i="4"/>
  <c r="G19" i="4"/>
  <c r="F19" i="4"/>
  <c r="C19" i="4"/>
  <c r="B19" i="4"/>
  <c r="W18" i="4"/>
  <c r="V18" i="4"/>
  <c r="S18" i="4"/>
  <c r="R18" i="4"/>
  <c r="O18" i="4"/>
  <c r="N18" i="4"/>
  <c r="K18" i="4"/>
  <c r="J18" i="4"/>
  <c r="G18" i="4"/>
  <c r="F18" i="4"/>
  <c r="C18" i="4"/>
  <c r="B18" i="4"/>
  <c r="H19" i="4"/>
  <c r="Q6" i="4" l="1"/>
  <c r="Q7" i="4"/>
  <c r="T19" i="4"/>
  <c r="U7" i="4"/>
  <c r="U6" i="4"/>
  <c r="Y6" i="4"/>
  <c r="Y7" i="4"/>
  <c r="P19" i="4"/>
  <c r="E6" i="4"/>
  <c r="E7" i="4"/>
  <c r="X19" i="4"/>
  <c r="M6" i="4"/>
  <c r="M7" i="4"/>
  <c r="AC6" i="4"/>
  <c r="Z19" i="4"/>
  <c r="AB19" i="4"/>
  <c r="L19" i="4"/>
  <c r="AA18" i="4"/>
  <c r="Z18" i="4"/>
  <c r="X17" i="3"/>
  <c r="AA17" i="3"/>
  <c r="Z17" i="3"/>
  <c r="T17" i="3"/>
  <c r="P17" i="3"/>
  <c r="L17" i="3"/>
  <c r="H17" i="3"/>
  <c r="D17" i="3"/>
  <c r="AB17" i="3" l="1"/>
  <c r="E17" i="3"/>
  <c r="X16" i="3"/>
  <c r="AA16" i="3"/>
  <c r="Z16" i="3"/>
  <c r="AB16" i="3" s="1"/>
  <c r="AC17" i="3" s="1"/>
  <c r="T16" i="3"/>
  <c r="U17" i="3" s="1"/>
  <c r="P16" i="3"/>
  <c r="Q17" i="3" s="1"/>
  <c r="L16" i="3"/>
  <c r="M17" i="3" s="1"/>
  <c r="H16" i="3"/>
  <c r="D16" i="3"/>
  <c r="I17" i="3" l="1"/>
  <c r="Y17" i="3"/>
  <c r="X15" i="3"/>
  <c r="Y16" i="3" s="1"/>
  <c r="AA15" i="3"/>
  <c r="Z15" i="3"/>
  <c r="T15" i="3"/>
  <c r="U16" i="3" s="1"/>
  <c r="P15" i="3"/>
  <c r="Q16" i="3" s="1"/>
  <c r="L15" i="3"/>
  <c r="M16" i="3" s="1"/>
  <c r="H15" i="3"/>
  <c r="I16" i="3" s="1"/>
  <c r="D15" i="3"/>
  <c r="AB15" i="3" l="1"/>
  <c r="AC16" i="3" s="1"/>
  <c r="E16" i="3"/>
  <c r="X14" i="3"/>
  <c r="Y15" i="3" s="1"/>
  <c r="AA14" i="3"/>
  <c r="Z14" i="3"/>
  <c r="T14" i="3"/>
  <c r="U15" i="3" s="1"/>
  <c r="P14" i="3"/>
  <c r="Q15" i="3" s="1"/>
  <c r="L14" i="3"/>
  <c r="M15" i="3" s="1"/>
  <c r="H14" i="3"/>
  <c r="I15" i="3" s="1"/>
  <c r="D14" i="3"/>
  <c r="E15" i="3" s="1"/>
  <c r="AB14" i="3" l="1"/>
  <c r="X13" i="3"/>
  <c r="Y14" i="3" s="1"/>
  <c r="AA13" i="3"/>
  <c r="Z13" i="3"/>
  <c r="T13" i="3"/>
  <c r="U14" i="3" s="1"/>
  <c r="P13" i="3"/>
  <c r="Q14" i="3" s="1"/>
  <c r="L13" i="3"/>
  <c r="M14" i="3" s="1"/>
  <c r="H13" i="3"/>
  <c r="I14" i="3" s="1"/>
  <c r="D13" i="3"/>
  <c r="E14" i="3" s="1"/>
  <c r="AB13" i="3" l="1"/>
  <c r="AC15" i="3"/>
  <c r="AC14" i="3"/>
  <c r="X12" i="3"/>
  <c r="Y13" i="3" s="1"/>
  <c r="AA12" i="3"/>
  <c r="Z12" i="3"/>
  <c r="AB12" i="3" s="1"/>
  <c r="T12" i="3"/>
  <c r="U13" i="3" s="1"/>
  <c r="P12" i="3"/>
  <c r="Q13" i="3" s="1"/>
  <c r="L12" i="3"/>
  <c r="M13" i="3" s="1"/>
  <c r="H12" i="3"/>
  <c r="I13" i="3" s="1"/>
  <c r="D12" i="3"/>
  <c r="AC13" i="3" l="1"/>
  <c r="E13" i="3"/>
  <c r="AA11" i="3"/>
  <c r="X11" i="3"/>
  <c r="Y12" i="3" s="1"/>
  <c r="Z11" i="3"/>
  <c r="AB11" i="3" s="1"/>
  <c r="T11" i="3"/>
  <c r="P11" i="3"/>
  <c r="Q12" i="3" s="1"/>
  <c r="L11" i="3"/>
  <c r="H11" i="3"/>
  <c r="I12" i="3" s="1"/>
  <c r="D11" i="3"/>
  <c r="E12" i="3" s="1"/>
  <c r="AC12" i="3" l="1"/>
  <c r="U12" i="3"/>
  <c r="M12" i="3"/>
  <c r="W19" i="3"/>
  <c r="V19" i="3"/>
  <c r="S19" i="3"/>
  <c r="R19" i="3"/>
  <c r="O19" i="3"/>
  <c r="N19" i="3"/>
  <c r="K19" i="3"/>
  <c r="J19" i="3"/>
  <c r="G19" i="3"/>
  <c r="F19" i="3"/>
  <c r="C19" i="3"/>
  <c r="B19" i="3"/>
  <c r="W18" i="3"/>
  <c r="V18" i="3"/>
  <c r="O18" i="3"/>
  <c r="N18" i="3"/>
  <c r="K18" i="3"/>
  <c r="J18" i="3"/>
  <c r="G18" i="3"/>
  <c r="F18" i="3"/>
  <c r="C18" i="3"/>
  <c r="B18" i="3"/>
  <c r="S18" i="3"/>
  <c r="R18" i="3"/>
  <c r="AA7" i="3" l="1"/>
  <c r="AA8" i="3"/>
  <c r="AA9" i="3"/>
  <c r="AA10" i="3"/>
  <c r="Z7" i="3"/>
  <c r="AB7" i="3" s="1"/>
  <c r="Z8" i="3"/>
  <c r="AB8" i="3" s="1"/>
  <c r="AC8" i="3" s="1"/>
  <c r="Z9" i="3"/>
  <c r="AB9" i="3" s="1"/>
  <c r="Z10" i="3"/>
  <c r="AB10" i="3" s="1"/>
  <c r="X7" i="3"/>
  <c r="X8" i="3"/>
  <c r="Y8" i="3" s="1"/>
  <c r="X9" i="3"/>
  <c r="Y9" i="3" s="1"/>
  <c r="X10" i="3"/>
  <c r="Y11" i="3" s="1"/>
  <c r="T7" i="3"/>
  <c r="T8" i="3"/>
  <c r="U8" i="3" s="1"/>
  <c r="T9" i="3"/>
  <c r="U9" i="3" s="1"/>
  <c r="T10" i="3"/>
  <c r="U11" i="3" s="1"/>
  <c r="P7" i="3"/>
  <c r="P8" i="3"/>
  <c r="Q8" i="3" s="1"/>
  <c r="P9" i="3"/>
  <c r="Q9" i="3" s="1"/>
  <c r="P10" i="3"/>
  <c r="Q11" i="3" s="1"/>
  <c r="L7" i="3"/>
  <c r="L8" i="3"/>
  <c r="M8" i="3" s="1"/>
  <c r="L9" i="3"/>
  <c r="M9" i="3" s="1"/>
  <c r="L10" i="3"/>
  <c r="M11" i="3" s="1"/>
  <c r="AC9" i="3" l="1"/>
  <c r="AC11" i="3"/>
  <c r="AC10" i="3"/>
  <c r="M10" i="3"/>
  <c r="Q10" i="3"/>
  <c r="U10" i="3"/>
  <c r="Y10" i="3"/>
  <c r="H7" i="3"/>
  <c r="H8" i="3"/>
  <c r="H9" i="3"/>
  <c r="I9" i="3" s="1"/>
  <c r="H10" i="3"/>
  <c r="I11" i="3" s="1"/>
  <c r="D7" i="3"/>
  <c r="D8" i="3"/>
  <c r="E8" i="3" s="1"/>
  <c r="D9" i="3"/>
  <c r="E9" i="3" s="1"/>
  <c r="D10" i="3"/>
  <c r="E11" i="3" s="1"/>
  <c r="I8" i="3" l="1"/>
  <c r="E10" i="3"/>
  <c r="I10" i="3"/>
  <c r="AA6" i="3"/>
  <c r="Z6" i="3"/>
  <c r="AA5" i="3"/>
  <c r="Z5" i="3"/>
  <c r="X5" i="3"/>
  <c r="T5" i="3"/>
  <c r="P5" i="3"/>
  <c r="L5" i="3"/>
  <c r="H5" i="3"/>
  <c r="D5" i="3"/>
  <c r="E6" i="3" s="1"/>
  <c r="X6" i="3"/>
  <c r="T6" i="3"/>
  <c r="P6" i="3"/>
  <c r="L6" i="3"/>
  <c r="H6" i="3"/>
  <c r="I7" i="3" s="1"/>
  <c r="D6" i="3"/>
  <c r="D19" i="3" s="1"/>
  <c r="AB6" i="3" l="1"/>
  <c r="AB19" i="3"/>
  <c r="AC7" i="3"/>
  <c r="P19" i="3"/>
  <c r="Q6" i="3"/>
  <c r="Q7" i="3"/>
  <c r="T19" i="3"/>
  <c r="U7" i="3"/>
  <c r="U6" i="3"/>
  <c r="E7" i="3"/>
  <c r="H19" i="3"/>
  <c r="I6" i="3"/>
  <c r="X19" i="3"/>
  <c r="Y7" i="3"/>
  <c r="AB5" i="3"/>
  <c r="AC6" i="3" s="1"/>
  <c r="Z18" i="3"/>
  <c r="Z19" i="3"/>
  <c r="Y6" i="3"/>
  <c r="L19" i="3"/>
  <c r="M6" i="3"/>
  <c r="M7" i="3"/>
  <c r="AA19" i="3"/>
  <c r="AA18" i="3"/>
  <c r="X16" i="2"/>
  <c r="T16" i="2"/>
  <c r="P16" i="2"/>
  <c r="L16" i="2"/>
  <c r="H16" i="2"/>
  <c r="D16" i="2"/>
  <c r="X15" i="2" l="1"/>
  <c r="Y16" i="2" s="1"/>
  <c r="T15" i="2"/>
  <c r="U16" i="2" s="1"/>
  <c r="P15" i="2"/>
  <c r="Q16" i="2" s="1"/>
  <c r="L15" i="2"/>
  <c r="M16" i="2" s="1"/>
  <c r="H15" i="2"/>
  <c r="I16" i="2" s="1"/>
  <c r="D15" i="2"/>
  <c r="E16" i="2" s="1"/>
  <c r="X14" i="2" l="1"/>
  <c r="X13" i="2"/>
  <c r="T13" i="2"/>
  <c r="T14" i="2"/>
  <c r="P12" i="2"/>
  <c r="P13" i="2"/>
  <c r="Q13" i="2" s="1"/>
  <c r="P14" i="2"/>
  <c r="L13" i="2"/>
  <c r="L14" i="2"/>
  <c r="H13" i="2"/>
  <c r="H14" i="2"/>
  <c r="D13" i="2"/>
  <c r="D14" i="2"/>
  <c r="I15" i="2" l="1"/>
  <c r="I14" i="2"/>
  <c r="Q15" i="2"/>
  <c r="Q14" i="2"/>
  <c r="E14" i="2"/>
  <c r="E15" i="2"/>
  <c r="M15" i="2"/>
  <c r="M14" i="2"/>
  <c r="Y15" i="2"/>
  <c r="Y14" i="2"/>
  <c r="U14" i="2"/>
  <c r="U15" i="2"/>
  <c r="Z6" i="2"/>
  <c r="Z7" i="2"/>
  <c r="AB7" i="2" s="1"/>
  <c r="Z8" i="2"/>
  <c r="AB8" i="2" s="1"/>
  <c r="AC8" i="2" s="1"/>
  <c r="Z9" i="2"/>
  <c r="AB9" i="2" s="1"/>
  <c r="Z10" i="2"/>
  <c r="Z11" i="2"/>
  <c r="Z12" i="2"/>
  <c r="Z13" i="2"/>
  <c r="Z14" i="2"/>
  <c r="Z15" i="2"/>
  <c r="AB15" i="2" s="1"/>
  <c r="Z16" i="2"/>
  <c r="AB16" i="2" s="1"/>
  <c r="AC16" i="2" s="1"/>
  <c r="AA6" i="2"/>
  <c r="AA7" i="2"/>
  <c r="AA8" i="2"/>
  <c r="AA9" i="2"/>
  <c r="AA10" i="2"/>
  <c r="AB10" i="2" s="1"/>
  <c r="AA11" i="2"/>
  <c r="AA12" i="2"/>
  <c r="AA13" i="2"/>
  <c r="AA14" i="2"/>
  <c r="AB14" i="2" s="1"/>
  <c r="AA15" i="2"/>
  <c r="AA16" i="2"/>
  <c r="AA18" i="2"/>
  <c r="AA5" i="2"/>
  <c r="Z5" i="2"/>
  <c r="AB6" i="2" l="1"/>
  <c r="AB5" i="2"/>
  <c r="AC7" i="2"/>
  <c r="AB13" i="2"/>
  <c r="AB12" i="2"/>
  <c r="AB11" i="2"/>
  <c r="AC11" i="2" s="1"/>
  <c r="AC10" i="2"/>
  <c r="AC6" i="2"/>
  <c r="AC13" i="2"/>
  <c r="AC9" i="2"/>
  <c r="AC15" i="2"/>
  <c r="AC14" i="2"/>
  <c r="C17" i="2"/>
  <c r="F17" i="2"/>
  <c r="G17" i="2"/>
  <c r="J17" i="2"/>
  <c r="K17" i="2"/>
  <c r="N17" i="2"/>
  <c r="O17" i="2"/>
  <c r="R17" i="2"/>
  <c r="S17" i="2"/>
  <c r="V17" i="2"/>
  <c r="W17" i="2"/>
  <c r="B17" i="2"/>
  <c r="T6" i="2"/>
  <c r="T7" i="2"/>
  <c r="T8" i="2"/>
  <c r="T9" i="2"/>
  <c r="U9" i="2" s="1"/>
  <c r="T10" i="2"/>
  <c r="U10" i="2" s="1"/>
  <c r="T11" i="2"/>
  <c r="T12" i="2"/>
  <c r="T5" i="2"/>
  <c r="X6" i="2"/>
  <c r="X7" i="2"/>
  <c r="X8" i="2"/>
  <c r="X9" i="2"/>
  <c r="Y9" i="2" s="1"/>
  <c r="X10" i="2"/>
  <c r="Y10" i="2" s="1"/>
  <c r="X11" i="2"/>
  <c r="X12" i="2"/>
  <c r="X5" i="2"/>
  <c r="P6" i="2"/>
  <c r="P7" i="2"/>
  <c r="P8" i="2"/>
  <c r="P9" i="2"/>
  <c r="Q9" i="2" s="1"/>
  <c r="P10" i="2"/>
  <c r="Q10" i="2" s="1"/>
  <c r="P11" i="2"/>
  <c r="P5" i="2"/>
  <c r="L12" i="2"/>
  <c r="L6" i="2"/>
  <c r="L7" i="2"/>
  <c r="L8" i="2"/>
  <c r="L9" i="2"/>
  <c r="M9" i="2" s="1"/>
  <c r="L10" i="2"/>
  <c r="M10" i="2" s="1"/>
  <c r="L11" i="2"/>
  <c r="L5" i="2"/>
  <c r="Q6" i="2" l="1"/>
  <c r="M6" i="2"/>
  <c r="P18" i="2"/>
  <c r="AC12" i="2"/>
  <c r="T18" i="2"/>
  <c r="X18" i="2"/>
  <c r="M8" i="2"/>
  <c r="Q8" i="2"/>
  <c r="Y8" i="2"/>
  <c r="U8" i="2"/>
  <c r="M12" i="2"/>
  <c r="M13" i="2"/>
  <c r="Y12" i="2"/>
  <c r="Y13" i="2"/>
  <c r="M11" i="2"/>
  <c r="M7" i="2"/>
  <c r="Q11" i="2"/>
  <c r="Q12" i="2"/>
  <c r="Q7" i="2"/>
  <c r="Y11" i="2"/>
  <c r="Y7" i="2"/>
  <c r="U11" i="2"/>
  <c r="U7" i="2"/>
  <c r="Y6" i="2"/>
  <c r="U6" i="2"/>
  <c r="L18" i="2"/>
  <c r="U12" i="2"/>
  <c r="U13" i="2"/>
  <c r="AA17" i="2"/>
  <c r="Z17" i="2"/>
  <c r="D9" i="2"/>
  <c r="D6" i="2"/>
  <c r="D7" i="2"/>
  <c r="D8" i="2"/>
  <c r="D10" i="2"/>
  <c r="D11" i="2"/>
  <c r="D12" i="2"/>
  <c r="D5" i="2"/>
  <c r="E10" i="2" l="1"/>
  <c r="E7" i="2"/>
  <c r="E9" i="2"/>
  <c r="E6" i="2"/>
  <c r="E11" i="2"/>
  <c r="E12" i="2"/>
  <c r="E13" i="2"/>
  <c r="D18" i="2"/>
  <c r="E8" i="2"/>
  <c r="AB18" i="2"/>
  <c r="H12" i="2"/>
  <c r="H9" i="2"/>
  <c r="H10" i="2"/>
  <c r="H11" i="2"/>
  <c r="I11" i="2" s="1"/>
  <c r="H8" i="2"/>
  <c r="H6" i="2"/>
  <c r="H7" i="2"/>
  <c r="H5" i="2"/>
  <c r="I6" i="2" l="1"/>
  <c r="I9" i="2"/>
  <c r="I8" i="2"/>
  <c r="I12" i="2"/>
  <c r="I13" i="2"/>
  <c r="H18" i="2"/>
  <c r="I7" i="2"/>
  <c r="I10" i="2"/>
</calcChain>
</file>

<file path=xl/sharedStrings.xml><?xml version="1.0" encoding="utf-8"?>
<sst xmlns="http://schemas.openxmlformats.org/spreadsheetml/2006/main" count="415" uniqueCount="94">
  <si>
    <t>AMAZ</t>
  </si>
  <si>
    <t>AMJK</t>
  </si>
  <si>
    <t>AMSC</t>
  </si>
  <si>
    <t>PFCH</t>
  </si>
  <si>
    <t>TXAS</t>
  </si>
  <si>
    <t>VAMT</t>
  </si>
  <si>
    <t>Frt Amt</t>
  </si>
  <si>
    <t>TTL Weight</t>
  </si>
  <si>
    <t>c/lbs</t>
  </si>
  <si>
    <t>Site</t>
  </si>
  <si>
    <t>Date</t>
  </si>
  <si>
    <t>AVG</t>
  </si>
  <si>
    <t>TOTAL</t>
  </si>
  <si>
    <t>TTL FRT</t>
  </si>
  <si>
    <t>Note:</t>
  </si>
  <si>
    <t>Variance</t>
  </si>
  <si>
    <t>-</t>
  </si>
  <si>
    <t>YTD TTL</t>
  </si>
  <si>
    <t>Vari</t>
  </si>
  <si>
    <t>AmTopp Freight Cost Analysis-2018</t>
  </si>
  <si>
    <t>1. December overall freight cost decreased 0.3 C/LBS=4.8% compared to November, total shipment volume decreased 5.99 million lbs -15%</t>
  </si>
  <si>
    <t>2. AMSC has highest decrease- 14.9% and TXAS has second highest decrease- 9.3%, these decreased were mainly due to reduction in shipped less than full T/L</t>
  </si>
  <si>
    <t>AmTopp Freight Cost Analysis-2019</t>
  </si>
  <si>
    <t>2019AVG</t>
  </si>
  <si>
    <t>1. The overall average freight cost for December is 5.66 ¢/lb, 3% increase compared to 5.66 ¢/lb in November. Total shipment volume decreased appr. 1.01m lbs.(-2%).  The details are as following:</t>
  </si>
  <si>
    <t>2. AMAZ has 30.10% increase compared to November, due to tighten market in December, shipping had to order service from higher price carrier.</t>
  </si>
  <si>
    <t>4. AMSC has 3% decrease compared to November, due to decrease shipments to farther distance.</t>
  </si>
  <si>
    <t>3. AMJK has 1% increase compared to November, due to increase in LTL shipments.</t>
  </si>
  <si>
    <t>5. PFCH has 7% increase compared to November, due to increase in LTL shipments.</t>
  </si>
  <si>
    <t>6. VAMT  has 1% increase compared to November, due to increase in LTL shipments.</t>
  </si>
  <si>
    <t>7. Houston (TXAS) has 9% increase compared to November, due to increase in LTL shipments.</t>
  </si>
  <si>
    <t>AmTopp Freight Cost Analysis-2020</t>
  </si>
  <si>
    <t>2020AVG</t>
  </si>
  <si>
    <t>TTL Weight(lbs)</t>
  </si>
  <si>
    <t>Frt Amt($)</t>
  </si>
  <si>
    <t>Total($)</t>
  </si>
  <si>
    <t>TTL W. (lbs)</t>
  </si>
  <si>
    <t>c/lb</t>
  </si>
  <si>
    <t>The overall average freight cost for December is 6.56¢/lb., 0.06 cents decrease compared to 6.62¢/lb. in November.  Total shipment volume increased appr. 246 k lbs.(0.6%).  The details are as following:</t>
  </si>
  <si>
    <t>1. AMAZ frt cost is 6.66¢/lb., 0.39¢(6%) increase compared to previous month due to some loads need higher SPR and increase in LTL shipments.</t>
  </si>
  <si>
    <t>2. AMJK frt cost is 7.31¢/lb., 0.41¢(-5%) decrease compared to previous month, due to decrease in SPR and LTL shipments.</t>
  </si>
  <si>
    <t>5. VAMT  frt cost is 3.81¢/lb., 0.19¢(5%) increase compared to previous month, due to increase in LTL shipments.</t>
  </si>
  <si>
    <t>6. Houston (TXAS) frts cost is 16.73¢/lb., 2.75¢(20%)increase compared to previous month, due to increase in LTL shipments.</t>
  </si>
  <si>
    <t>3. AMSC frt cost is 3.28¢/lb., 0.24¢(3%) increase compared to previous month due to increase in LTL shipments.</t>
  </si>
  <si>
    <t>4. PFCH frt cost is 6.54¢/lb., 0.15¢(3%) increase compared to previous month, due to SPR and increase in LTL shipments.</t>
  </si>
  <si>
    <t>AmTopp Freight Cost Analysis-2021</t>
  </si>
  <si>
    <t>AMIN</t>
  </si>
  <si>
    <t>TTL W.(lbs)</t>
  </si>
  <si>
    <t>¢/lb</t>
  </si>
  <si>
    <t>2021AVG</t>
  </si>
  <si>
    <t>The overall average freight cost for this month is 8.10¢/lb., 0.04¢ increase compared to last month.  Total shipment volume decreased appr. 2.78M lbs.(-6.16%).  The details are as following:</t>
  </si>
  <si>
    <t>2. AMIN frt cost is 10.79¢/lb., 3.86¢(26%) decrease compared to previous month due decrease in LTL shipments.</t>
  </si>
  <si>
    <t>3. AMSC frt cost is 4.42¢/lb., 0.05¢(1%) increase compared to previous month due to increase in LTL shipments.</t>
  </si>
  <si>
    <t>5. VAMT  frt cost is 4.08¢/lb, 0.57¢(-13%)decrease compared to previous month due decrease in LTL shipments.</t>
  </si>
  <si>
    <t>6. Houston (TXAS) frt cost is 16.54¢/lb., 0.43¢(2%) increase compared to previous month due to increase in LTL shipments.</t>
  </si>
  <si>
    <t>1. AMAZ frt cost is 8.25¢/lb., 1.09¢(15%) increase compared to previous month due to increase in LTL shipments and holiday.</t>
  </si>
  <si>
    <t>2. AMJK frt cost is 9.41/lb., 0.05¢ increase compared to previous month due to increase in LTL shipments and holiday.</t>
  </si>
  <si>
    <t>4. PFCH frt cost is 7.67¢/lb., 0.29(4%) increase compared to previous month due to increase in LTL shipments and holiday.</t>
  </si>
  <si>
    <t>AmTopp Freight Cost Analysis-2022</t>
  </si>
  <si>
    <t>The overall average freight cost for this month is 7.41/lb., 0.09¢ (-1%) decrease compared to previous month.  Total shipment volume decreased appr. 4.49M lbs.(-11.91%).  The details are as following:</t>
  </si>
  <si>
    <t>1. AMAZ frt cost is 7.57¢/lb., 0.50¢(7%) increase compared to previous month due to increasing on LTL shipments.</t>
  </si>
  <si>
    <t>2. AMIN frt cost is 8.31¢/lb., 2.58¢(-24%) decrease compared to previous month due to increase in non-pre-stretch shipments.</t>
  </si>
  <si>
    <t>2. AMJK frt cost is 8.39/lb., 0.35¢(-4%) decrease compared to previous month mainly due to easing in truck demands and decrease in FSC.</t>
  </si>
  <si>
    <t>3. AMSC frt cost is 3.22¢/lb., 0.95¢(-23%) decrease compared to previous month due to decrease in long distance loads, and slow in truck demands and FSC.</t>
  </si>
  <si>
    <t>4. PFCH frt cost is 7.60¢/lb., 0.46¢(-6%) decrease compared to previous month due to easing in truck demands and decrease in FSC.</t>
  </si>
  <si>
    <t>5. VAMT  frt cost is 4.47¢/lb, 0.02¢(1%) increase compared to previous month mainly  due to increase in LTL shipments.  VACA transaction without freight cost is appro. 329,629.73 lbs(6.08%).</t>
  </si>
  <si>
    <t>6. Houston (TXAS) frt cost is 16.84¢/lb., 5.37(47%) increase compared to previous mainly due to increase in long distance loads.</t>
  </si>
  <si>
    <t>AmTopp Freight Cost Analysis-2023</t>
  </si>
  <si>
    <t>The overall average freight cost for this month is 6.42/lb., 0.07¢(-1%) decrease compared to previous month.  Total shipment volume decreased appr. 1.15M lbs.(-2.96%).  The details are as following:</t>
  </si>
  <si>
    <t>1. AMAZ frt cost is 6.03¢/lb., 0.18¢(3%) increase compared to previous month due to increase in LTL shipments.</t>
  </si>
  <si>
    <t>2. AMIN frt cost is 9.33¢/lb., 0.41¢(5%) increase compared to previous month due to increase in LTL shipments.</t>
  </si>
  <si>
    <t>2. AMJK frt cost is 7.44¢/lb., 0.06¢(-1%) decrease compared to previous month due to decrease in LTL shipments.</t>
  </si>
  <si>
    <t>3. AMSC frt cost is 3.35¢/lb., 0.11¢(3%) increase compared to previous month due to increase in long distance loads.</t>
  </si>
  <si>
    <t>4. PFCH frt cost is 7.26¢/lb., 0.16¢(2%) increase compared to previous month mainly due to increase in LTL shipments.</t>
  </si>
  <si>
    <t>5. VAMT  frt cost is 3.67¢/lb, 0.21(-5%) decrease compared to previous month mainly due to decrease in LTL shipments.  VACA transaction without freight cost is appro. 116K lbs(1.91%).</t>
  </si>
  <si>
    <t>6. Houston (TXAS) frt cost is 8.63¢/lb.,  0.92¢(-10%) decrease compared to previous month due to decrease in long distance shipments.</t>
  </si>
  <si>
    <t>AmTopp Freight Cost Analysis-2024</t>
  </si>
  <si>
    <t>The overall average freight cost for this month is 6.37¢/lb., 0.30¢(5%) increase compared to previous month due to increase in LTL shipments and increase  in multiple stop loads during holiday.  Total shipment volume increased appr. 2.83M lbs.(7.09%).  The details are as following:</t>
  </si>
  <si>
    <t>1. AMAZ frt cost is 7.75¢/lb., 1.03¢(15%) increase compared to previous month due to increase in LTL shipments and increase in multiple stop loads during holiday.</t>
  </si>
  <si>
    <t>2. AMIN frt cost is 7.12¢/lb., same as last month.</t>
  </si>
  <si>
    <t>2. AMJK frt cost is 7.39¢/lb., 0.30¢(4%) increase compared to previous month due to increase in LTL shipments and increase in multiple stop loads during holiday.</t>
  </si>
  <si>
    <t>3. AMSC frt cost is 3.10¢/lb., 0.13¢(4%) increase compared to previous month due to increase in long distance shipments.</t>
  </si>
  <si>
    <t>4. PFCH frt cost is 7.39¢/lb., 0.11¢(2%) increase compared to previous month due to increase in LTL shipments.</t>
  </si>
  <si>
    <t>5. VAMT  frt cost is 3.63¢/lb, 0.19¢(6%) increase compared to previous month mainly due to increase in LTL shipments.  VACA transaction without freight cost is appro. 175K lbs(2.75%).</t>
  </si>
  <si>
    <t>6. Houston (TXAS) frt cost is 8.90¢/lb.,  1.33¢(-13%) decrease compared to previous month due to decrease in long distance shipments.</t>
  </si>
  <si>
    <t>AmTopp Freight Cost Analysis-2026</t>
  </si>
  <si>
    <t>The overall average freight cost for this month is 7.47¢/lb., 0.46¢(7%) increase compared to previous month due to high martket demand and FSC increase.  Total shipment volume increased appr. 6.92M lbs.(16.69%).  The details are as following:</t>
  </si>
  <si>
    <t>2. AMIN frt cost is 8.25¢/lb.,  same as last month.</t>
  </si>
  <si>
    <t>3. AMSC frt cost is 4.02¢/lb., 0.09¢(-2%) decrease compared to previous month due to increase in short distance shipments and decrease in LTL shipment.</t>
  </si>
  <si>
    <t>5. VAMT  frt cost is 3.56¢/lb, 0.40¢(-10%) decrease compared to previous month due to decrease in LTL shipments.  VACA transaction without freight cost is appro. 513K lbs(6.27%).</t>
  </si>
  <si>
    <t>1. AMAZ frt cost is 8.58¢/lb., 0.73¢(9%) increase compared to previous month due to high market demand and FSC increase.</t>
  </si>
  <si>
    <t>2. AMJK frt cost is 8.60/lb., 0.85¢(11%) increase compared to previous month due to high market demand and FSC increase.</t>
  </si>
  <si>
    <t>4. PFCH frt cost is 8.61¢/lb., 1.06¢(14%) increase compared to previous month due to high market demand and FSC increase.</t>
  </si>
  <si>
    <t>6. Houston (TXAS) frt cost is 15.58¢/lb., 1.68¢(12%) increase compared to previous month due to high market demand and FSC increase.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</si>
</sst>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_(* #,##0_);_(* \(#,##0\);_(* &quot;-&quot;??_);_(@_)"/>
    <numFmt numFmtId="165" formatCode="0.0"/>
    <numFmt numFmtId="166" formatCode="0.0%"/>
    <numFmt numFmtId="167" formatCode="&quot;$&quot;#,##0.00"/>
    <numFmt numFmtId="168" formatCode="&quot;$&quot;#,##0"/>
  </numFmts>
  <fonts count="3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sz val="10"/>
      <color theme="1"/>
      <name val="Calibri"/>
      <family val="2"/>
      <scheme val="minor"/>
    </font>
    <font>
      <b/>
      <sz val="16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1"/>
      <color theme="1"/>
      <name val="Times New Roman"/>
      <family val="1"/>
    </font>
    <font>
      <b/>
      <sz val="9"/>
      <color theme="1"/>
      <name val="Times New Roman"/>
      <family val="1"/>
    </font>
    <font>
      <sz val="9"/>
      <color theme="1"/>
      <name val="Times New Roman"/>
      <family val="1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9"/>
      <name val="Times New Roman"/>
      <family val="1"/>
    </font>
    <font>
      <b/>
      <sz val="9"/>
      <name val="Times New Roman"/>
      <family val="1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3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44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258">
    <xf numFmtId="0" fontId="0" fillId="0" borderId="0" xfId="0"/>
    <xf numFmtId="0" fontId="18" fillId="0" borderId="16" xfId="0" applyFont="1" applyBorder="1" applyAlignment="1">
      <alignment horizontal="center"/>
    </xf>
    <xf numFmtId="0" fontId="18" fillId="0" borderId="19" xfId="0" applyFont="1" applyBorder="1" applyAlignment="1">
      <alignment horizontal="center"/>
    </xf>
    <xf numFmtId="0" fontId="18" fillId="0" borderId="20" xfId="0" applyFont="1" applyBorder="1" applyAlignment="1">
      <alignment horizontal="center"/>
    </xf>
    <xf numFmtId="0" fontId="18" fillId="0" borderId="21" xfId="0" applyFont="1" applyBorder="1" applyAlignment="1">
      <alignment horizontal="center"/>
    </xf>
    <xf numFmtId="164" fontId="19" fillId="0" borderId="14" xfId="1" applyNumberFormat="1" applyFont="1" applyBorder="1"/>
    <xf numFmtId="10" fontId="19" fillId="0" borderId="14" xfId="43" applyNumberFormat="1" applyFont="1" applyBorder="1"/>
    <xf numFmtId="164" fontId="19" fillId="0" borderId="13" xfId="1" applyNumberFormat="1" applyFont="1" applyBorder="1"/>
    <xf numFmtId="2" fontId="19" fillId="0" borderId="14" xfId="0" applyNumberFormat="1" applyFont="1" applyBorder="1"/>
    <xf numFmtId="2" fontId="19" fillId="0" borderId="13" xfId="0" applyNumberFormat="1" applyFont="1" applyBorder="1"/>
    <xf numFmtId="164" fontId="19" fillId="0" borderId="14" xfId="0" applyNumberFormat="1" applyFont="1" applyBorder="1"/>
    <xf numFmtId="164" fontId="19" fillId="0" borderId="10" xfId="1" applyNumberFormat="1" applyFont="1" applyBorder="1"/>
    <xf numFmtId="166" fontId="19" fillId="0" borderId="10" xfId="43" applyNumberFormat="1" applyFont="1" applyBorder="1"/>
    <xf numFmtId="2" fontId="19" fillId="0" borderId="10" xfId="0" applyNumberFormat="1" applyFont="1" applyBorder="1"/>
    <xf numFmtId="166" fontId="19" fillId="0" borderId="12" xfId="43" applyNumberFormat="1" applyFont="1" applyBorder="1"/>
    <xf numFmtId="164" fontId="19" fillId="0" borderId="12" xfId="1" applyNumberFormat="1" applyFont="1" applyBorder="1"/>
    <xf numFmtId="164" fontId="19" fillId="0" borderId="10" xfId="0" applyNumberFormat="1" applyFont="1" applyBorder="1"/>
    <xf numFmtId="2" fontId="19" fillId="0" borderId="11" xfId="0" applyNumberFormat="1" applyFont="1" applyBorder="1"/>
    <xf numFmtId="165" fontId="19" fillId="0" borderId="10" xfId="0" applyNumberFormat="1" applyFont="1" applyBorder="1"/>
    <xf numFmtId="2" fontId="19" fillId="0" borderId="15" xfId="0" applyNumberFormat="1" applyFont="1" applyBorder="1"/>
    <xf numFmtId="164" fontId="18" fillId="0" borderId="10" xfId="0" applyNumberFormat="1" applyFont="1" applyBorder="1" applyAlignment="1">
      <alignment horizontal="center"/>
    </xf>
    <xf numFmtId="164" fontId="18" fillId="0" borderId="10" xfId="0" applyNumberFormat="1" applyFont="1" applyBorder="1"/>
    <xf numFmtId="166" fontId="19" fillId="33" borderId="10" xfId="43" applyNumberFormat="1" applyFont="1" applyFill="1" applyBorder="1"/>
    <xf numFmtId="17" fontId="19" fillId="0" borderId="25" xfId="0" applyNumberFormat="1" applyFont="1" applyBorder="1" applyAlignment="1">
      <alignment horizontal="center"/>
    </xf>
    <xf numFmtId="0" fontId="20" fillId="0" borderId="26" xfId="0" applyFont="1" applyBorder="1"/>
    <xf numFmtId="17" fontId="19" fillId="0" borderId="27" xfId="0" applyNumberFormat="1" applyFont="1" applyBorder="1" applyAlignment="1">
      <alignment horizontal="center"/>
    </xf>
    <xf numFmtId="164" fontId="19" fillId="0" borderId="0" xfId="1" applyNumberFormat="1" applyFont="1" applyBorder="1"/>
    <xf numFmtId="0" fontId="18" fillId="0" borderId="27" xfId="0" applyFont="1" applyBorder="1" applyAlignment="1">
      <alignment horizontal="center"/>
    </xf>
    <xf numFmtId="0" fontId="19" fillId="0" borderId="20" xfId="0" applyFont="1" applyBorder="1" applyAlignment="1">
      <alignment horizontal="center"/>
    </xf>
    <xf numFmtId="2" fontId="19" fillId="33" borderId="20" xfId="0" applyNumberFormat="1" applyFont="1" applyFill="1" applyBorder="1" applyAlignment="1">
      <alignment horizontal="center"/>
    </xf>
    <xf numFmtId="0" fontId="19" fillId="34" borderId="20" xfId="0" applyFont="1" applyFill="1" applyBorder="1" applyAlignment="1">
      <alignment horizontal="center"/>
    </xf>
    <xf numFmtId="2" fontId="19" fillId="34" borderId="20" xfId="0" applyNumberFormat="1" applyFont="1" applyFill="1" applyBorder="1" applyAlignment="1">
      <alignment horizontal="center"/>
    </xf>
    <xf numFmtId="0" fontId="19" fillId="0" borderId="20" xfId="0" applyFont="1" applyBorder="1"/>
    <xf numFmtId="164" fontId="19" fillId="0" borderId="20" xfId="0" applyNumberFormat="1" applyFont="1" applyBorder="1"/>
    <xf numFmtId="2" fontId="19" fillId="33" borderId="20" xfId="0" applyNumberFormat="1" applyFont="1" applyFill="1" applyBorder="1"/>
    <xf numFmtId="0" fontId="20" fillId="0" borderId="21" xfId="0" applyFont="1" applyBorder="1"/>
    <xf numFmtId="166" fontId="19" fillId="0" borderId="12" xfId="43" applyNumberFormat="1" applyFont="1" applyFill="1" applyBorder="1"/>
    <xf numFmtId="166" fontId="20" fillId="0" borderId="28" xfId="43" applyNumberFormat="1" applyFont="1" applyBorder="1"/>
    <xf numFmtId="166" fontId="20" fillId="0" borderId="28" xfId="0" applyNumberFormat="1" applyFont="1" applyBorder="1"/>
    <xf numFmtId="0" fontId="16" fillId="0" borderId="0" xfId="0" applyFont="1"/>
    <xf numFmtId="166" fontId="19" fillId="34" borderId="10" xfId="43" applyNumberFormat="1" applyFont="1" applyFill="1" applyBorder="1"/>
    <xf numFmtId="0" fontId="22" fillId="0" borderId="0" xfId="0" applyFont="1"/>
    <xf numFmtId="0" fontId="23" fillId="0" borderId="0" xfId="0" applyFont="1"/>
    <xf numFmtId="0" fontId="24" fillId="0" borderId="0" xfId="0" applyFont="1"/>
    <xf numFmtId="0" fontId="25" fillId="0" borderId="16" xfId="0" applyFont="1" applyBorder="1" applyAlignment="1">
      <alignment horizontal="center"/>
    </xf>
    <xf numFmtId="0" fontId="25" fillId="0" borderId="19" xfId="0" applyFont="1" applyBorder="1" applyAlignment="1">
      <alignment horizontal="center"/>
    </xf>
    <xf numFmtId="0" fontId="25" fillId="0" borderId="20" xfId="0" applyFont="1" applyBorder="1" applyAlignment="1">
      <alignment horizontal="center"/>
    </xf>
    <xf numFmtId="0" fontId="25" fillId="0" borderId="21" xfId="0" applyFont="1" applyBorder="1" applyAlignment="1">
      <alignment horizontal="center"/>
    </xf>
    <xf numFmtId="17" fontId="26" fillId="0" borderId="27" xfId="0" applyNumberFormat="1" applyFont="1" applyBorder="1" applyAlignment="1">
      <alignment horizontal="center"/>
    </xf>
    <xf numFmtId="17" fontId="26" fillId="0" borderId="25" xfId="0" applyNumberFormat="1" applyFont="1" applyBorder="1" applyAlignment="1">
      <alignment horizontal="center"/>
    </xf>
    <xf numFmtId="0" fontId="27" fillId="0" borderId="0" xfId="0" applyFont="1"/>
    <xf numFmtId="164" fontId="26" fillId="0" borderId="10" xfId="1" applyNumberFormat="1" applyFont="1" applyBorder="1" applyAlignment="1">
      <alignment horizontal="center"/>
    </xf>
    <xf numFmtId="2" fontId="26" fillId="0" borderId="10" xfId="0" applyNumberFormat="1" applyFont="1" applyBorder="1" applyAlignment="1">
      <alignment horizontal="center"/>
    </xf>
    <xf numFmtId="166" fontId="26" fillId="34" borderId="10" xfId="43" applyNumberFormat="1" applyFont="1" applyFill="1" applyBorder="1" applyAlignment="1">
      <alignment horizontal="center"/>
    </xf>
    <xf numFmtId="166" fontId="26" fillId="0" borderId="10" xfId="43" applyNumberFormat="1" applyFont="1" applyBorder="1" applyAlignment="1">
      <alignment horizontal="center"/>
    </xf>
    <xf numFmtId="166" fontId="26" fillId="0" borderId="12" xfId="43" applyNumberFormat="1" applyFont="1" applyFill="1" applyBorder="1" applyAlignment="1">
      <alignment horizontal="center"/>
    </xf>
    <xf numFmtId="166" fontId="27" fillId="0" borderId="28" xfId="43" applyNumberFormat="1" applyFont="1" applyBorder="1" applyAlignment="1">
      <alignment horizontal="center"/>
    </xf>
    <xf numFmtId="164" fontId="26" fillId="0" borderId="14" xfId="1" applyNumberFormat="1" applyFont="1" applyBorder="1" applyAlignment="1">
      <alignment horizontal="center"/>
    </xf>
    <xf numFmtId="2" fontId="26" fillId="0" borderId="15" xfId="0" applyNumberFormat="1" applyFont="1" applyBorder="1" applyAlignment="1">
      <alignment horizontal="center"/>
    </xf>
    <xf numFmtId="10" fontId="26" fillId="0" borderId="14" xfId="43" applyNumberFormat="1" applyFont="1" applyBorder="1" applyAlignment="1">
      <alignment horizontal="center"/>
    </xf>
    <xf numFmtId="164" fontId="26" fillId="0" borderId="13" xfId="1" applyNumberFormat="1" applyFont="1" applyBorder="1" applyAlignment="1">
      <alignment horizontal="center"/>
    </xf>
    <xf numFmtId="2" fontId="26" fillId="0" borderId="14" xfId="0" applyNumberFormat="1" applyFont="1" applyBorder="1" applyAlignment="1">
      <alignment horizontal="center"/>
    </xf>
    <xf numFmtId="9" fontId="26" fillId="0" borderId="14" xfId="43" applyFont="1" applyBorder="1" applyAlignment="1">
      <alignment horizontal="center"/>
    </xf>
    <xf numFmtId="9" fontId="26" fillId="0" borderId="13" xfId="43" applyFont="1" applyBorder="1" applyAlignment="1">
      <alignment horizontal="center"/>
    </xf>
    <xf numFmtId="164" fontId="26" fillId="34" borderId="14" xfId="0" applyNumberFormat="1" applyFont="1" applyFill="1" applyBorder="1" applyAlignment="1">
      <alignment horizontal="center"/>
    </xf>
    <xf numFmtId="2" fontId="26" fillId="34" borderId="14" xfId="0" applyNumberFormat="1" applyFont="1" applyFill="1" applyBorder="1" applyAlignment="1">
      <alignment horizontal="center"/>
    </xf>
    <xf numFmtId="9" fontId="27" fillId="34" borderId="26" xfId="43" applyFont="1" applyFill="1" applyBorder="1" applyAlignment="1">
      <alignment horizontal="center"/>
    </xf>
    <xf numFmtId="164" fontId="26" fillId="0" borderId="0" xfId="1" applyNumberFormat="1" applyFont="1" applyBorder="1" applyAlignment="1">
      <alignment horizontal="center"/>
    </xf>
    <xf numFmtId="164" fontId="26" fillId="0" borderId="12" xfId="1" applyNumberFormat="1" applyFont="1" applyBorder="1" applyAlignment="1">
      <alignment horizontal="center"/>
    </xf>
    <xf numFmtId="2" fontId="26" fillId="0" borderId="11" xfId="0" applyNumberFormat="1" applyFont="1" applyBorder="1" applyAlignment="1">
      <alignment horizontal="center"/>
    </xf>
    <xf numFmtId="164" fontId="26" fillId="0" borderId="10" xfId="0" applyNumberFormat="1" applyFont="1" applyBorder="1" applyAlignment="1">
      <alignment horizontal="center"/>
    </xf>
    <xf numFmtId="0" fontId="29" fillId="0" borderId="0" xfId="0" applyFont="1"/>
    <xf numFmtId="164" fontId="25" fillId="0" borderId="20" xfId="0" applyNumberFormat="1" applyFont="1" applyBorder="1" applyAlignment="1">
      <alignment horizontal="center"/>
    </xf>
    <xf numFmtId="0" fontId="25" fillId="34" borderId="20" xfId="0" applyFont="1" applyFill="1" applyBorder="1" applyAlignment="1">
      <alignment horizontal="center"/>
    </xf>
    <xf numFmtId="2" fontId="25" fillId="34" borderId="20" xfId="0" applyNumberFormat="1" applyFont="1" applyFill="1" applyBorder="1" applyAlignment="1">
      <alignment horizontal="center"/>
    </xf>
    <xf numFmtId="0" fontId="28" fillId="0" borderId="21" xfId="0" applyFont="1" applyBorder="1" applyAlignment="1">
      <alignment horizontal="center"/>
    </xf>
    <xf numFmtId="164" fontId="25" fillId="34" borderId="20" xfId="0" applyNumberFormat="1" applyFont="1" applyFill="1" applyBorder="1" applyAlignment="1">
      <alignment horizontal="center"/>
    </xf>
    <xf numFmtId="0" fontId="25" fillId="33" borderId="27" xfId="0" applyFont="1" applyFill="1" applyBorder="1" applyAlignment="1">
      <alignment horizontal="center"/>
    </xf>
    <xf numFmtId="164" fontId="25" fillId="33" borderId="10" xfId="0" applyNumberFormat="1" applyFont="1" applyFill="1" applyBorder="1" applyAlignment="1">
      <alignment horizontal="center"/>
    </xf>
    <xf numFmtId="165" fontId="26" fillId="33" borderId="10" xfId="0" applyNumberFormat="1" applyFont="1" applyFill="1" applyBorder="1" applyAlignment="1">
      <alignment horizontal="center"/>
    </xf>
    <xf numFmtId="166" fontId="27" fillId="33" borderId="28" xfId="0" applyNumberFormat="1" applyFont="1" applyFill="1" applyBorder="1" applyAlignment="1">
      <alignment horizontal="center"/>
    </xf>
    <xf numFmtId="17" fontId="26" fillId="34" borderId="25" xfId="0" applyNumberFormat="1" applyFont="1" applyFill="1" applyBorder="1" applyAlignment="1">
      <alignment horizontal="center"/>
    </xf>
    <xf numFmtId="164" fontId="26" fillId="34" borderId="0" xfId="1" applyNumberFormat="1" applyFont="1" applyFill="1" applyBorder="1" applyAlignment="1">
      <alignment horizontal="center"/>
    </xf>
    <xf numFmtId="164" fontId="26" fillId="34" borderId="10" xfId="1" applyNumberFormat="1" applyFont="1" applyFill="1" applyBorder="1" applyAlignment="1">
      <alignment horizontal="center"/>
    </xf>
    <xf numFmtId="2" fontId="26" fillId="34" borderId="15" xfId="0" applyNumberFormat="1" applyFont="1" applyFill="1" applyBorder="1" applyAlignment="1">
      <alignment horizontal="center"/>
    </xf>
    <xf numFmtId="9" fontId="26" fillId="34" borderId="14" xfId="43" applyFont="1" applyFill="1" applyBorder="1" applyAlignment="1">
      <alignment horizontal="center"/>
    </xf>
    <xf numFmtId="10" fontId="26" fillId="34" borderId="14" xfId="43" applyNumberFormat="1" applyFont="1" applyFill="1" applyBorder="1" applyAlignment="1">
      <alignment horizontal="center"/>
    </xf>
    <xf numFmtId="9" fontId="26" fillId="34" borderId="13" xfId="43" applyFont="1" applyFill="1" applyBorder="1" applyAlignment="1">
      <alignment horizontal="center"/>
    </xf>
    <xf numFmtId="164" fontId="26" fillId="34" borderId="12" xfId="1" applyNumberFormat="1" applyFont="1" applyFill="1" applyBorder="1" applyAlignment="1">
      <alignment horizontal="center"/>
    </xf>
    <xf numFmtId="2" fontId="26" fillId="34" borderId="10" xfId="0" applyNumberFormat="1" applyFont="1" applyFill="1" applyBorder="1" applyAlignment="1">
      <alignment horizontal="center"/>
    </xf>
    <xf numFmtId="10" fontId="26" fillId="33" borderId="14" xfId="43" applyNumberFormat="1" applyFont="1" applyFill="1" applyBorder="1" applyAlignment="1">
      <alignment horizontal="center"/>
    </xf>
    <xf numFmtId="9" fontId="26" fillId="33" borderId="14" xfId="43" applyFont="1" applyFill="1" applyBorder="1" applyAlignment="1">
      <alignment horizontal="center"/>
    </xf>
    <xf numFmtId="9" fontId="26" fillId="33" borderId="13" xfId="43" applyFont="1" applyFill="1" applyBorder="1" applyAlignment="1">
      <alignment horizontal="center"/>
    </xf>
    <xf numFmtId="9" fontId="27" fillId="33" borderId="26" xfId="43" applyFont="1" applyFill="1" applyBorder="1" applyAlignment="1">
      <alignment horizontal="center"/>
    </xf>
    <xf numFmtId="0" fontId="22" fillId="0" borderId="0" xfId="0" applyFont="1" applyAlignment="1">
      <alignment horizontal="left"/>
    </xf>
    <xf numFmtId="164" fontId="26" fillId="34" borderId="10" xfId="0" applyNumberFormat="1" applyFont="1" applyFill="1" applyBorder="1" applyAlignment="1">
      <alignment horizontal="center"/>
    </xf>
    <xf numFmtId="0" fontId="29" fillId="0" borderId="0" xfId="0" applyFont="1" applyAlignment="1">
      <alignment horizontal="left"/>
    </xf>
    <xf numFmtId="167" fontId="26" fillId="0" borderId="10" xfId="1" applyNumberFormat="1" applyFont="1" applyBorder="1" applyAlignment="1">
      <alignment horizontal="center"/>
    </xf>
    <xf numFmtId="167" fontId="25" fillId="33" borderId="10" xfId="0" applyNumberFormat="1" applyFont="1" applyFill="1" applyBorder="1" applyAlignment="1">
      <alignment horizontal="center"/>
    </xf>
    <xf numFmtId="167" fontId="25" fillId="0" borderId="20" xfId="0" applyNumberFormat="1" applyFont="1" applyBorder="1" applyAlignment="1">
      <alignment horizontal="center"/>
    </xf>
    <xf numFmtId="167" fontId="25" fillId="34" borderId="20" xfId="0" applyNumberFormat="1" applyFont="1" applyFill="1" applyBorder="1" applyAlignment="1">
      <alignment horizontal="center"/>
    </xf>
    <xf numFmtId="167" fontId="26" fillId="34" borderId="14" xfId="0" applyNumberFormat="1" applyFont="1" applyFill="1" applyBorder="1" applyAlignment="1">
      <alignment horizontal="center"/>
    </xf>
    <xf numFmtId="167" fontId="26" fillId="0" borderId="10" xfId="0" applyNumberFormat="1" applyFont="1" applyBorder="1" applyAlignment="1">
      <alignment horizontal="center"/>
    </xf>
    <xf numFmtId="167" fontId="26" fillId="34" borderId="10" xfId="0" applyNumberFormat="1" applyFont="1" applyFill="1" applyBorder="1" applyAlignment="1">
      <alignment horizontal="center"/>
    </xf>
    <xf numFmtId="9" fontId="0" fillId="0" borderId="0" xfId="43" applyFont="1"/>
    <xf numFmtId="168" fontId="26" fillId="0" borderId="10" xfId="1" applyNumberFormat="1" applyFont="1" applyBorder="1" applyAlignment="1">
      <alignment horizontal="center"/>
    </xf>
    <xf numFmtId="168" fontId="26" fillId="0" borderId="13" xfId="1" applyNumberFormat="1" applyFont="1" applyBorder="1" applyAlignment="1">
      <alignment horizontal="center"/>
    </xf>
    <xf numFmtId="168" fontId="26" fillId="0" borderId="12" xfId="1" applyNumberFormat="1" applyFont="1" applyBorder="1" applyAlignment="1">
      <alignment horizontal="center"/>
    </xf>
    <xf numFmtId="168" fontId="26" fillId="0" borderId="14" xfId="1" applyNumberFormat="1" applyFont="1" applyBorder="1" applyAlignment="1">
      <alignment horizontal="center"/>
    </xf>
    <xf numFmtId="168" fontId="26" fillId="0" borderId="0" xfId="1" applyNumberFormat="1" applyFont="1" applyBorder="1" applyAlignment="1">
      <alignment horizontal="center"/>
    </xf>
    <xf numFmtId="168" fontId="26" fillId="34" borderId="0" xfId="1" applyNumberFormat="1" applyFont="1" applyFill="1" applyBorder="1" applyAlignment="1">
      <alignment horizontal="center"/>
    </xf>
    <xf numFmtId="168" fontId="26" fillId="34" borderId="12" xfId="1" applyNumberFormat="1" applyFont="1" applyFill="1" applyBorder="1" applyAlignment="1">
      <alignment horizontal="center"/>
    </xf>
    <xf numFmtId="168" fontId="26" fillId="34" borderId="10" xfId="1" applyNumberFormat="1" applyFont="1" applyFill="1" applyBorder="1" applyAlignment="1">
      <alignment horizontal="center"/>
    </xf>
    <xf numFmtId="0" fontId="23" fillId="0" borderId="0" xfId="0" applyFont="1" applyAlignment="1">
      <alignment horizontal="left"/>
    </xf>
    <xf numFmtId="9" fontId="26" fillId="0" borderId="14" xfId="43" applyFont="1" applyFill="1" applyBorder="1" applyAlignment="1">
      <alignment horizontal="center"/>
    </xf>
    <xf numFmtId="2" fontId="31" fillId="34" borderId="10" xfId="0" applyNumberFormat="1" applyFont="1" applyFill="1" applyBorder="1" applyAlignment="1">
      <alignment horizontal="center"/>
    </xf>
    <xf numFmtId="9" fontId="31" fillId="34" borderId="14" xfId="43" applyFont="1" applyFill="1" applyBorder="1" applyAlignment="1">
      <alignment horizontal="center"/>
    </xf>
    <xf numFmtId="164" fontId="0" fillId="0" borderId="0" xfId="43" applyNumberFormat="1" applyFont="1"/>
    <xf numFmtId="2" fontId="26" fillId="33" borderId="10" xfId="0" applyNumberFormat="1" applyFont="1" applyFill="1" applyBorder="1" applyAlignment="1">
      <alignment horizontal="center"/>
    </xf>
    <xf numFmtId="9" fontId="31" fillId="33" borderId="14" xfId="43" applyFont="1" applyFill="1" applyBorder="1" applyAlignment="1">
      <alignment horizontal="center"/>
    </xf>
    <xf numFmtId="2" fontId="26" fillId="33" borderId="15" xfId="0" applyNumberFormat="1" applyFont="1" applyFill="1" applyBorder="1" applyAlignment="1">
      <alignment horizontal="center"/>
    </xf>
    <xf numFmtId="17" fontId="25" fillId="0" borderId="25" xfId="0" applyNumberFormat="1" applyFont="1" applyBorder="1" applyAlignment="1">
      <alignment horizontal="center"/>
    </xf>
    <xf numFmtId="168" fontId="25" fillId="0" borderId="10" xfId="1" applyNumberFormat="1" applyFont="1" applyBorder="1" applyAlignment="1">
      <alignment horizontal="center"/>
    </xf>
    <xf numFmtId="164" fontId="25" fillId="0" borderId="10" xfId="1" applyNumberFormat="1" applyFont="1" applyBorder="1" applyAlignment="1"/>
    <xf numFmtId="2" fontId="25" fillId="0" borderId="10" xfId="0" applyNumberFormat="1" applyFont="1" applyBorder="1" applyAlignment="1">
      <alignment horizontal="center"/>
    </xf>
    <xf numFmtId="10" fontId="25" fillId="34" borderId="14" xfId="43" applyNumberFormat="1" applyFont="1" applyFill="1" applyBorder="1" applyAlignment="1">
      <alignment horizontal="center"/>
    </xf>
    <xf numFmtId="164" fontId="25" fillId="0" borderId="10" xfId="1" applyNumberFormat="1" applyFont="1" applyBorder="1" applyAlignment="1">
      <alignment horizontal="center"/>
    </xf>
    <xf numFmtId="9" fontId="25" fillId="34" borderId="14" xfId="43" applyFont="1" applyFill="1" applyBorder="1" applyAlignment="1">
      <alignment horizontal="center"/>
    </xf>
    <xf numFmtId="9" fontId="25" fillId="34" borderId="13" xfId="43" applyFont="1" applyFill="1" applyBorder="1" applyAlignment="1">
      <alignment horizontal="center"/>
    </xf>
    <xf numFmtId="9" fontId="28" fillId="34" borderId="26" xfId="43" applyFont="1" applyFill="1" applyBorder="1" applyAlignment="1">
      <alignment horizontal="center"/>
    </xf>
    <xf numFmtId="168" fontId="25" fillId="0" borderId="14" xfId="1" applyNumberFormat="1" applyFont="1" applyBorder="1" applyAlignment="1">
      <alignment horizontal="center"/>
    </xf>
    <xf numFmtId="164" fontId="25" fillId="0" borderId="14" xfId="1" applyNumberFormat="1" applyFont="1" applyBorder="1" applyAlignment="1"/>
    <xf numFmtId="2" fontId="25" fillId="0" borderId="15" xfId="0" applyNumberFormat="1" applyFont="1" applyBorder="1" applyAlignment="1">
      <alignment horizontal="center"/>
    </xf>
    <xf numFmtId="168" fontId="25" fillId="34" borderId="13" xfId="43" applyNumberFormat="1" applyFont="1" applyFill="1" applyBorder="1" applyAlignment="1">
      <alignment horizontal="center"/>
    </xf>
    <xf numFmtId="164" fontId="25" fillId="34" borderId="13" xfId="1" applyNumberFormat="1" applyFont="1" applyFill="1" applyBorder="1" applyAlignment="1">
      <alignment horizontal="center"/>
    </xf>
    <xf numFmtId="2" fontId="25" fillId="34" borderId="13" xfId="43" applyNumberFormat="1" applyFont="1" applyFill="1" applyBorder="1" applyAlignment="1">
      <alignment horizontal="center"/>
    </xf>
    <xf numFmtId="168" fontId="25" fillId="0" borderId="13" xfId="1" applyNumberFormat="1" applyFont="1" applyBorder="1" applyAlignment="1">
      <alignment horizontal="center"/>
    </xf>
    <xf numFmtId="164" fontId="25" fillId="0" borderId="14" xfId="1" applyNumberFormat="1" applyFont="1" applyBorder="1" applyAlignment="1">
      <alignment horizontal="center"/>
    </xf>
    <xf numFmtId="2" fontId="25" fillId="0" borderId="14" xfId="0" applyNumberFormat="1" applyFont="1" applyBorder="1" applyAlignment="1">
      <alignment horizontal="center"/>
    </xf>
    <xf numFmtId="168" fontId="25" fillId="34" borderId="14" xfId="0" applyNumberFormat="1" applyFont="1" applyFill="1" applyBorder="1" applyAlignment="1">
      <alignment horizontal="center"/>
    </xf>
    <xf numFmtId="164" fontId="25" fillId="34" borderId="14" xfId="1" applyNumberFormat="1" applyFont="1" applyFill="1" applyBorder="1" applyAlignment="1">
      <alignment horizontal="center"/>
    </xf>
    <xf numFmtId="2" fontId="25" fillId="34" borderId="14" xfId="0" applyNumberFormat="1" applyFont="1" applyFill="1" applyBorder="1" applyAlignment="1">
      <alignment horizontal="center"/>
    </xf>
    <xf numFmtId="17" fontId="25" fillId="34" borderId="25" xfId="0" applyNumberFormat="1" applyFont="1" applyFill="1" applyBorder="1" applyAlignment="1">
      <alignment horizontal="center"/>
    </xf>
    <xf numFmtId="168" fontId="25" fillId="34" borderId="10" xfId="1" applyNumberFormat="1" applyFont="1" applyFill="1" applyBorder="1" applyAlignment="1">
      <alignment horizontal="center"/>
    </xf>
    <xf numFmtId="164" fontId="25" fillId="34" borderId="10" xfId="1" applyNumberFormat="1" applyFont="1" applyFill="1" applyBorder="1" applyAlignment="1"/>
    <xf numFmtId="2" fontId="25" fillId="34" borderId="15" xfId="0" applyNumberFormat="1" applyFont="1" applyFill="1" applyBorder="1" applyAlignment="1">
      <alignment horizontal="center"/>
    </xf>
    <xf numFmtId="168" fontId="25" fillId="34" borderId="10" xfId="43" applyNumberFormat="1" applyFont="1" applyFill="1" applyBorder="1" applyAlignment="1">
      <alignment horizontal="center"/>
    </xf>
    <xf numFmtId="164" fontId="25" fillId="34" borderId="10" xfId="1" applyNumberFormat="1" applyFont="1" applyFill="1" applyBorder="1" applyAlignment="1">
      <alignment horizontal="center"/>
    </xf>
    <xf numFmtId="2" fontId="25" fillId="34" borderId="10" xfId="43" applyNumberFormat="1" applyFont="1" applyFill="1" applyBorder="1" applyAlignment="1">
      <alignment horizontal="center"/>
    </xf>
    <xf numFmtId="9" fontId="25" fillId="34" borderId="10" xfId="43" applyFont="1" applyFill="1" applyBorder="1" applyAlignment="1">
      <alignment horizontal="center"/>
    </xf>
    <xf numFmtId="168" fontId="25" fillId="34" borderId="0" xfId="1" applyNumberFormat="1" applyFont="1" applyFill="1" applyBorder="1" applyAlignment="1">
      <alignment horizontal="center"/>
    </xf>
    <xf numFmtId="168" fontId="25" fillId="34" borderId="12" xfId="1" applyNumberFormat="1" applyFont="1" applyFill="1" applyBorder="1" applyAlignment="1">
      <alignment horizontal="center"/>
    </xf>
    <xf numFmtId="168" fontId="25" fillId="34" borderId="10" xfId="0" applyNumberFormat="1" applyFont="1" applyFill="1" applyBorder="1" applyAlignment="1">
      <alignment horizontal="center"/>
    </xf>
    <xf numFmtId="2" fontId="25" fillId="34" borderId="10" xfId="0" applyNumberFormat="1" applyFont="1" applyFill="1" applyBorder="1" applyAlignment="1">
      <alignment horizontal="center"/>
    </xf>
    <xf numFmtId="164" fontId="25" fillId="34" borderId="0" xfId="1" applyNumberFormat="1" applyFont="1" applyFill="1" applyBorder="1" applyAlignment="1">
      <alignment horizontal="center"/>
    </xf>
    <xf numFmtId="168" fontId="25" fillId="34" borderId="14" xfId="43" applyNumberFormat="1" applyFont="1" applyFill="1" applyBorder="1" applyAlignment="1">
      <alignment horizontal="center"/>
    </xf>
    <xf numFmtId="17" fontId="25" fillId="33" borderId="25" xfId="0" applyNumberFormat="1" applyFont="1" applyFill="1" applyBorder="1" applyAlignment="1">
      <alignment horizontal="center"/>
    </xf>
    <xf numFmtId="2" fontId="25" fillId="33" borderId="15" xfId="0" applyNumberFormat="1" applyFont="1" applyFill="1" applyBorder="1" applyAlignment="1">
      <alignment horizontal="center"/>
    </xf>
    <xf numFmtId="9" fontId="25" fillId="33" borderId="14" xfId="43" applyFont="1" applyFill="1" applyBorder="1" applyAlignment="1">
      <alignment horizontal="center"/>
    </xf>
    <xf numFmtId="2" fontId="25" fillId="33" borderId="10" xfId="43" applyNumberFormat="1" applyFont="1" applyFill="1" applyBorder="1" applyAlignment="1">
      <alignment horizontal="center"/>
    </xf>
    <xf numFmtId="9" fontId="25" fillId="33" borderId="13" xfId="43" applyFont="1" applyFill="1" applyBorder="1" applyAlignment="1">
      <alignment horizontal="center"/>
    </xf>
    <xf numFmtId="164" fontId="25" fillId="33" borderId="10" xfId="1" applyNumberFormat="1" applyFont="1" applyFill="1" applyBorder="1" applyAlignment="1">
      <alignment horizontal="center"/>
    </xf>
    <xf numFmtId="168" fontId="25" fillId="33" borderId="10" xfId="1" applyNumberFormat="1" applyFont="1" applyFill="1" applyBorder="1" applyAlignment="1">
      <alignment horizontal="center"/>
    </xf>
    <xf numFmtId="9" fontId="28" fillId="33" borderId="26" xfId="43" applyFont="1" applyFill="1" applyBorder="1" applyAlignment="1">
      <alignment horizontal="center"/>
    </xf>
    <xf numFmtId="168" fontId="25" fillId="34" borderId="13" xfId="1" applyNumberFormat="1" applyFont="1" applyFill="1" applyBorder="1" applyAlignment="1">
      <alignment horizontal="center"/>
    </xf>
    <xf numFmtId="2" fontId="25" fillId="33" borderId="10" xfId="0" applyNumberFormat="1" applyFont="1" applyFill="1" applyBorder="1" applyAlignment="1">
      <alignment horizontal="center"/>
    </xf>
    <xf numFmtId="0" fontId="25" fillId="33" borderId="19" xfId="0" applyFont="1" applyFill="1" applyBorder="1" applyAlignment="1">
      <alignment horizontal="center"/>
    </xf>
    <xf numFmtId="168" fontId="25" fillId="33" borderId="20" xfId="0" applyNumberFormat="1" applyFont="1" applyFill="1" applyBorder="1" applyAlignment="1">
      <alignment horizontal="center"/>
    </xf>
    <xf numFmtId="164" fontId="25" fillId="33" borderId="20" xfId="0" applyNumberFormat="1" applyFont="1" applyFill="1" applyBorder="1" applyAlignment="1">
      <alignment horizontal="center"/>
    </xf>
    <xf numFmtId="2" fontId="25" fillId="33" borderId="20" xfId="0" applyNumberFormat="1" applyFont="1" applyFill="1" applyBorder="1" applyAlignment="1">
      <alignment horizontal="center"/>
    </xf>
    <xf numFmtId="0" fontId="25" fillId="33" borderId="20" xfId="0" applyFont="1" applyFill="1" applyBorder="1" applyAlignment="1">
      <alignment horizontal="center"/>
    </xf>
    <xf numFmtId="168" fontId="25" fillId="33" borderId="20" xfId="1" applyNumberFormat="1" applyFont="1" applyFill="1" applyBorder="1" applyAlignment="1">
      <alignment horizontal="center"/>
    </xf>
    <xf numFmtId="164" fontId="25" fillId="33" borderId="20" xfId="1" applyNumberFormat="1" applyFont="1" applyFill="1" applyBorder="1" applyAlignment="1">
      <alignment horizontal="center"/>
    </xf>
    <xf numFmtId="0" fontId="28" fillId="33" borderId="21" xfId="0" applyFont="1" applyFill="1" applyBorder="1" applyAlignment="1">
      <alignment horizontal="center"/>
    </xf>
    <xf numFmtId="164" fontId="25" fillId="33" borderId="14" xfId="1" applyNumberFormat="1" applyFont="1" applyFill="1" applyBorder="1" applyAlignment="1">
      <alignment horizontal="center"/>
    </xf>
    <xf numFmtId="2" fontId="32" fillId="34" borderId="10" xfId="0" applyNumberFormat="1" applyFont="1" applyFill="1" applyBorder="1" applyAlignment="1">
      <alignment horizontal="center"/>
    </xf>
    <xf numFmtId="168" fontId="25" fillId="33" borderId="14" xfId="43" applyNumberFormat="1" applyFont="1" applyFill="1" applyBorder="1" applyAlignment="1">
      <alignment horizontal="center"/>
    </xf>
    <xf numFmtId="0" fontId="25" fillId="34" borderId="27" xfId="0" applyFont="1" applyFill="1" applyBorder="1" applyAlignment="1">
      <alignment horizontal="center"/>
    </xf>
    <xf numFmtId="164" fontId="25" fillId="34" borderId="10" xfId="0" applyNumberFormat="1" applyFont="1" applyFill="1" applyBorder="1" applyAlignment="1">
      <alignment horizontal="center"/>
    </xf>
    <xf numFmtId="165" fontId="26" fillId="34" borderId="10" xfId="0" applyNumberFormat="1" applyFont="1" applyFill="1" applyBorder="1" applyAlignment="1">
      <alignment horizontal="center"/>
    </xf>
    <xf numFmtId="166" fontId="27" fillId="34" borderId="28" xfId="0" applyNumberFormat="1" applyFont="1" applyFill="1" applyBorder="1" applyAlignment="1">
      <alignment horizontal="center"/>
    </xf>
    <xf numFmtId="9" fontId="29" fillId="0" borderId="0" xfId="43" applyFont="1"/>
    <xf numFmtId="164" fontId="29" fillId="0" borderId="0" xfId="43" applyNumberFormat="1" applyFont="1"/>
    <xf numFmtId="9" fontId="25" fillId="34" borderId="26" xfId="43" applyFont="1" applyFill="1" applyBorder="1" applyAlignment="1">
      <alignment horizontal="center"/>
    </xf>
    <xf numFmtId="9" fontId="25" fillId="33" borderId="26" xfId="43" applyFont="1" applyFill="1" applyBorder="1" applyAlignment="1">
      <alignment horizontal="center"/>
    </xf>
    <xf numFmtId="168" fontId="25" fillId="33" borderId="10" xfId="0" applyNumberFormat="1" applyFont="1" applyFill="1" applyBorder="1" applyAlignment="1">
      <alignment horizontal="center"/>
    </xf>
    <xf numFmtId="17" fontId="25" fillId="0" borderId="29" xfId="0" applyNumberFormat="1" applyFont="1" applyBorder="1" applyAlignment="1">
      <alignment horizontal="center"/>
    </xf>
    <xf numFmtId="168" fontId="25" fillId="0" borderId="30" xfId="1" applyNumberFormat="1" applyFont="1" applyBorder="1" applyAlignment="1">
      <alignment horizontal="center"/>
    </xf>
    <xf numFmtId="164" fontId="25" fillId="0" borderId="30" xfId="1" applyNumberFormat="1" applyFont="1" applyBorder="1" applyAlignment="1"/>
    <xf numFmtId="2" fontId="25" fillId="0" borderId="30" xfId="0" applyNumberFormat="1" applyFont="1" applyBorder="1" applyAlignment="1">
      <alignment horizontal="center"/>
    </xf>
    <xf numFmtId="10" fontId="25" fillId="34" borderId="31" xfId="43" applyNumberFormat="1" applyFont="1" applyFill="1" applyBorder="1" applyAlignment="1">
      <alignment horizontal="center"/>
    </xf>
    <xf numFmtId="168" fontId="25" fillId="34" borderId="31" xfId="43" applyNumberFormat="1" applyFont="1" applyFill="1" applyBorder="1" applyAlignment="1">
      <alignment horizontal="center"/>
    </xf>
    <xf numFmtId="164" fontId="25" fillId="34" borderId="31" xfId="1" applyNumberFormat="1" applyFont="1" applyFill="1" applyBorder="1" applyAlignment="1">
      <alignment horizontal="center"/>
    </xf>
    <xf numFmtId="2" fontId="25" fillId="34" borderId="31" xfId="43" applyNumberFormat="1" applyFont="1" applyFill="1" applyBorder="1" applyAlignment="1">
      <alignment horizontal="center"/>
    </xf>
    <xf numFmtId="164" fontId="25" fillId="0" borderId="30" xfId="1" applyNumberFormat="1" applyFont="1" applyBorder="1" applyAlignment="1">
      <alignment horizontal="center"/>
    </xf>
    <xf numFmtId="9" fontId="25" fillId="34" borderId="31" xfId="43" applyFont="1" applyFill="1" applyBorder="1" applyAlignment="1">
      <alignment horizontal="center"/>
    </xf>
    <xf numFmtId="9" fontId="25" fillId="34" borderId="32" xfId="43" applyFont="1" applyFill="1" applyBorder="1" applyAlignment="1">
      <alignment horizontal="center"/>
    </xf>
    <xf numFmtId="9" fontId="27" fillId="34" borderId="33" xfId="43" applyFont="1" applyFill="1" applyBorder="1" applyAlignment="1">
      <alignment horizontal="center"/>
    </xf>
    <xf numFmtId="17" fontId="25" fillId="34" borderId="16" xfId="0" applyNumberFormat="1" applyFont="1" applyFill="1" applyBorder="1" applyAlignment="1">
      <alignment horizontal="center"/>
    </xf>
    <xf numFmtId="168" fontId="25" fillId="34" borderId="17" xfId="1" applyNumberFormat="1" applyFont="1" applyFill="1" applyBorder="1" applyAlignment="1">
      <alignment horizontal="center"/>
    </xf>
    <xf numFmtId="164" fontId="25" fillId="34" borderId="17" xfId="1" applyNumberFormat="1" applyFont="1" applyFill="1" applyBorder="1" applyAlignment="1"/>
    <xf numFmtId="2" fontId="25" fillId="34" borderId="22" xfId="0" applyNumberFormat="1" applyFont="1" applyFill="1" applyBorder="1" applyAlignment="1">
      <alignment horizontal="center"/>
    </xf>
    <xf numFmtId="9" fontId="25" fillId="34" borderId="17" xfId="43" applyFont="1" applyFill="1" applyBorder="1" applyAlignment="1">
      <alignment horizontal="center"/>
    </xf>
    <xf numFmtId="168" fontId="25" fillId="34" borderId="24" xfId="43" applyNumberFormat="1" applyFont="1" applyFill="1" applyBorder="1" applyAlignment="1">
      <alignment horizontal="center"/>
    </xf>
    <xf numFmtId="164" fontId="25" fillId="34" borderId="24" xfId="1" applyNumberFormat="1" applyFont="1" applyFill="1" applyBorder="1" applyAlignment="1">
      <alignment horizontal="center"/>
    </xf>
    <xf numFmtId="2" fontId="25" fillId="34" borderId="24" xfId="43" applyNumberFormat="1" applyFont="1" applyFill="1" applyBorder="1" applyAlignment="1">
      <alignment horizontal="center"/>
    </xf>
    <xf numFmtId="9" fontId="25" fillId="34" borderId="24" xfId="43" applyFont="1" applyFill="1" applyBorder="1" applyAlignment="1">
      <alignment horizontal="center"/>
    </xf>
    <xf numFmtId="168" fontId="25" fillId="34" borderId="24" xfId="1" applyNumberFormat="1" applyFont="1" applyFill="1" applyBorder="1" applyAlignment="1">
      <alignment horizontal="center"/>
    </xf>
    <xf numFmtId="164" fontId="25" fillId="34" borderId="17" xfId="1" applyNumberFormat="1" applyFont="1" applyFill="1" applyBorder="1" applyAlignment="1">
      <alignment horizontal="center"/>
    </xf>
    <xf numFmtId="2" fontId="25" fillId="34" borderId="17" xfId="0" applyNumberFormat="1" applyFont="1" applyFill="1" applyBorder="1" applyAlignment="1">
      <alignment horizontal="center"/>
    </xf>
    <xf numFmtId="9" fontId="25" fillId="34" borderId="18" xfId="43" applyFont="1" applyFill="1" applyBorder="1" applyAlignment="1">
      <alignment horizontal="center"/>
    </xf>
    <xf numFmtId="0" fontId="25" fillId="34" borderId="19" xfId="0" applyFont="1" applyFill="1" applyBorder="1" applyAlignment="1">
      <alignment horizontal="center"/>
    </xf>
    <xf numFmtId="168" fontId="25" fillId="34" borderId="20" xfId="0" applyNumberFormat="1" applyFont="1" applyFill="1" applyBorder="1" applyAlignment="1">
      <alignment horizontal="center"/>
    </xf>
    <xf numFmtId="164" fontId="25" fillId="34" borderId="20" xfId="1" applyNumberFormat="1" applyFont="1" applyFill="1" applyBorder="1" applyAlignment="1">
      <alignment horizontal="center"/>
    </xf>
    <xf numFmtId="2" fontId="25" fillId="34" borderId="34" xfId="0" applyNumberFormat="1" applyFont="1" applyFill="1" applyBorder="1" applyAlignment="1">
      <alignment horizontal="center"/>
    </xf>
    <xf numFmtId="164" fontId="25" fillId="34" borderId="35" xfId="1" applyNumberFormat="1" applyFont="1" applyFill="1" applyBorder="1" applyAlignment="1">
      <alignment horizontal="center"/>
    </xf>
    <xf numFmtId="2" fontId="25" fillId="34" borderId="20" xfId="43" applyNumberFormat="1" applyFont="1" applyFill="1" applyBorder="1" applyAlignment="1">
      <alignment horizontal="center"/>
    </xf>
    <xf numFmtId="0" fontId="28" fillId="34" borderId="21" xfId="0" applyFont="1" applyFill="1" applyBorder="1" applyAlignment="1">
      <alignment horizontal="center"/>
    </xf>
    <xf numFmtId="9" fontId="28" fillId="34" borderId="33" xfId="43" applyFont="1" applyFill="1" applyBorder="1" applyAlignment="1">
      <alignment horizontal="center"/>
    </xf>
    <xf numFmtId="2" fontId="25" fillId="34" borderId="11" xfId="0" applyNumberFormat="1" applyFont="1" applyFill="1" applyBorder="1" applyAlignment="1">
      <alignment horizontal="center"/>
    </xf>
    <xf numFmtId="168" fontId="25" fillId="34" borderId="12" xfId="43" applyNumberFormat="1" applyFont="1" applyFill="1" applyBorder="1" applyAlignment="1">
      <alignment horizontal="center"/>
    </xf>
    <xf numFmtId="164" fontId="25" fillId="34" borderId="12" xfId="1" applyNumberFormat="1" applyFont="1" applyFill="1" applyBorder="1" applyAlignment="1">
      <alignment horizontal="center"/>
    </xf>
    <xf numFmtId="2" fontId="25" fillId="34" borderId="12" xfId="43" applyNumberFormat="1" applyFont="1" applyFill="1" applyBorder="1" applyAlignment="1">
      <alignment horizontal="center"/>
    </xf>
    <xf numFmtId="9" fontId="25" fillId="34" borderId="12" xfId="43" applyFont="1" applyFill="1" applyBorder="1" applyAlignment="1">
      <alignment horizontal="center"/>
    </xf>
    <xf numFmtId="9" fontId="25" fillId="34" borderId="28" xfId="43" applyFont="1" applyFill="1" applyBorder="1" applyAlignment="1">
      <alignment horizontal="center"/>
    </xf>
    <xf numFmtId="168" fontId="25" fillId="0" borderId="31" xfId="1" applyNumberFormat="1" applyFont="1" applyBorder="1" applyAlignment="1">
      <alignment horizontal="center"/>
    </xf>
    <xf numFmtId="164" fontId="25" fillId="0" borderId="31" xfId="1" applyNumberFormat="1" applyFont="1" applyBorder="1" applyAlignment="1"/>
    <xf numFmtId="2" fontId="25" fillId="0" borderId="31" xfId="0" applyNumberFormat="1" applyFont="1" applyBorder="1" applyAlignment="1">
      <alignment horizontal="center"/>
    </xf>
    <xf numFmtId="164" fontId="25" fillId="0" borderId="31" xfId="1" applyNumberFormat="1" applyFont="1" applyBorder="1" applyAlignment="1">
      <alignment horizontal="center"/>
    </xf>
    <xf numFmtId="2" fontId="25" fillId="33" borderId="34" xfId="0" applyNumberFormat="1" applyFont="1" applyFill="1" applyBorder="1" applyAlignment="1">
      <alignment horizontal="center"/>
    </xf>
    <xf numFmtId="164" fontId="25" fillId="33" borderId="35" xfId="1" applyNumberFormat="1" applyFont="1" applyFill="1" applyBorder="1" applyAlignment="1">
      <alignment horizontal="center"/>
    </xf>
    <xf numFmtId="2" fontId="25" fillId="33" borderId="20" xfId="43" applyNumberFormat="1" applyFont="1" applyFill="1" applyBorder="1" applyAlignment="1">
      <alignment horizontal="center"/>
    </xf>
    <xf numFmtId="17" fontId="25" fillId="0" borderId="27" xfId="0" applyNumberFormat="1" applyFont="1" applyBorder="1" applyAlignment="1">
      <alignment horizontal="center"/>
    </xf>
    <xf numFmtId="17" fontId="25" fillId="34" borderId="27" xfId="0" applyNumberFormat="1" applyFont="1" applyFill="1" applyBorder="1" applyAlignment="1">
      <alignment horizontal="center"/>
    </xf>
    <xf numFmtId="17" fontId="25" fillId="33" borderId="27" xfId="0" applyNumberFormat="1" applyFont="1" applyFill="1" applyBorder="1" applyAlignment="1">
      <alignment horizontal="center"/>
    </xf>
    <xf numFmtId="9" fontId="25" fillId="33" borderId="10" xfId="43" applyFont="1" applyFill="1" applyBorder="1" applyAlignment="1">
      <alignment horizontal="center"/>
    </xf>
    <xf numFmtId="9" fontId="25" fillId="33" borderId="12" xfId="43" applyFont="1" applyFill="1" applyBorder="1" applyAlignment="1">
      <alignment horizontal="center"/>
    </xf>
    <xf numFmtId="9" fontId="25" fillId="33" borderId="28" xfId="43" applyFont="1" applyFill="1" applyBorder="1" applyAlignment="1">
      <alignment horizontal="center"/>
    </xf>
    <xf numFmtId="164" fontId="25" fillId="33" borderId="10" xfId="1" applyNumberFormat="1" applyFont="1" applyFill="1" applyBorder="1" applyAlignment="1"/>
    <xf numFmtId="2" fontId="25" fillId="33" borderId="11" xfId="0" applyNumberFormat="1" applyFont="1" applyFill="1" applyBorder="1" applyAlignment="1">
      <alignment horizontal="center"/>
    </xf>
    <xf numFmtId="2" fontId="25" fillId="33" borderId="12" xfId="43" applyNumberFormat="1" applyFont="1" applyFill="1" applyBorder="1" applyAlignment="1">
      <alignment horizontal="center"/>
    </xf>
    <xf numFmtId="168" fontId="25" fillId="33" borderId="12" xfId="1" applyNumberFormat="1" applyFont="1" applyFill="1" applyBorder="1" applyAlignment="1">
      <alignment horizontal="center"/>
    </xf>
    <xf numFmtId="168" fontId="25" fillId="33" borderId="0" xfId="1" applyNumberFormat="1" applyFont="1" applyFill="1" applyBorder="1" applyAlignment="1">
      <alignment horizontal="center"/>
    </xf>
    <xf numFmtId="168" fontId="25" fillId="33" borderId="13" xfId="1" applyNumberFormat="1" applyFont="1" applyFill="1" applyBorder="1" applyAlignment="1">
      <alignment horizontal="center"/>
    </xf>
    <xf numFmtId="164" fontId="25" fillId="33" borderId="13" xfId="1" applyNumberFormat="1" applyFont="1" applyFill="1" applyBorder="1" applyAlignment="1">
      <alignment horizontal="center"/>
    </xf>
    <xf numFmtId="0" fontId="21" fillId="0" borderId="0" xfId="0" applyFont="1" applyAlignment="1">
      <alignment horizontal="center"/>
    </xf>
    <xf numFmtId="0" fontId="25" fillId="0" borderId="22" xfId="0" applyFont="1" applyBorder="1" applyAlignment="1">
      <alignment horizontal="center"/>
    </xf>
    <xf numFmtId="0" fontId="25" fillId="0" borderId="23" xfId="0" applyFont="1" applyBorder="1" applyAlignment="1">
      <alignment horizontal="center"/>
    </xf>
    <xf numFmtId="0" fontId="25" fillId="0" borderId="24" xfId="0" applyFont="1" applyBorder="1" applyAlignment="1">
      <alignment horizontal="center"/>
    </xf>
    <xf numFmtId="0" fontId="25" fillId="0" borderId="17" xfId="0" applyFont="1" applyBorder="1" applyAlignment="1">
      <alignment horizontal="center"/>
    </xf>
    <xf numFmtId="0" fontId="25" fillId="0" borderId="18" xfId="0" applyFont="1" applyBorder="1" applyAlignment="1">
      <alignment horizontal="center"/>
    </xf>
    <xf numFmtId="0" fontId="18" fillId="0" borderId="22" xfId="0" applyFont="1" applyBorder="1" applyAlignment="1">
      <alignment horizontal="center"/>
    </xf>
    <xf numFmtId="0" fontId="18" fillId="0" borderId="23" xfId="0" applyFont="1" applyBorder="1" applyAlignment="1">
      <alignment horizontal="center"/>
    </xf>
    <xf numFmtId="0" fontId="18" fillId="0" borderId="24" xfId="0" applyFont="1" applyBorder="1" applyAlignment="1">
      <alignment horizontal="center"/>
    </xf>
    <xf numFmtId="0" fontId="18" fillId="0" borderId="17" xfId="0" applyFont="1" applyBorder="1" applyAlignment="1">
      <alignment horizontal="center"/>
    </xf>
    <xf numFmtId="0" fontId="18" fillId="0" borderId="18" xfId="0" applyFont="1" applyBorder="1" applyAlignment="1">
      <alignment horizontal="center"/>
    </xf>
    <xf numFmtId="0" fontId="22" fillId="0" borderId="0" xfId="0" applyFont="1" applyAlignment="1">
      <alignment horizontal="left"/>
    </xf>
    <xf numFmtId="0" fontId="30" fillId="0" borderId="0" xfId="0" applyFont="1" applyAlignment="1">
      <alignment horizontal="left"/>
    </xf>
  </cellXfs>
  <cellStyles count="44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1" builtinId="3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Percent" xfId="43" builtinId="5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28"/>
  <sheetViews>
    <sheetView topLeftCell="A4" zoomScale="90" zoomScaleNormal="90" workbookViewId="0">
      <selection activeCell="P18" sqref="P18"/>
    </sheetView>
  </sheetViews>
  <sheetFormatPr defaultRowHeight="14.5" x14ac:dyDescent="0.35"/>
  <cols>
    <col min="1" max="3" width="11.7265625" customWidth="1"/>
    <col min="4" max="5" width="6.7265625" customWidth="1"/>
    <col min="6" max="7" width="11.7265625" customWidth="1"/>
    <col min="8" max="9" width="6.7265625" customWidth="1"/>
    <col min="10" max="11" width="11.7265625" customWidth="1"/>
    <col min="12" max="13" width="6.7265625" customWidth="1"/>
    <col min="14" max="15" width="11.7265625" customWidth="1"/>
    <col min="16" max="17" width="6.7265625" customWidth="1"/>
    <col min="18" max="19" width="11.7265625" customWidth="1"/>
    <col min="20" max="21" width="6.7265625" customWidth="1"/>
    <col min="22" max="23" width="11.7265625" customWidth="1"/>
    <col min="24" max="25" width="6.7265625" customWidth="1"/>
    <col min="26" max="27" width="11.7265625" customWidth="1"/>
    <col min="28" max="28" width="6.7265625" customWidth="1"/>
    <col min="29" max="29" width="8.1796875" bestFit="1" customWidth="1"/>
  </cols>
  <sheetData>
    <row r="1" spans="1:29" ht="25.5" customHeight="1" x14ac:dyDescent="0.3">
      <c r="A1" s="245" t="s">
        <v>19</v>
      </c>
      <c r="B1" s="245"/>
      <c r="C1" s="245"/>
      <c r="D1" s="245"/>
      <c r="E1" s="245"/>
      <c r="F1" s="245"/>
      <c r="G1" s="245"/>
      <c r="H1" s="245"/>
      <c r="I1" s="245"/>
      <c r="J1" s="245"/>
      <c r="K1" s="245"/>
      <c r="L1" s="245"/>
      <c r="M1" s="245"/>
      <c r="N1" s="245"/>
      <c r="O1" s="245"/>
      <c r="P1" s="245"/>
      <c r="Q1" s="245"/>
      <c r="R1" s="245"/>
      <c r="S1" s="245"/>
      <c r="T1" s="245"/>
      <c r="U1" s="245"/>
      <c r="V1" s="245"/>
      <c r="W1" s="245"/>
      <c r="X1" s="245"/>
      <c r="Y1" s="245"/>
      <c r="Z1" s="245"/>
      <c r="AA1" s="245"/>
      <c r="AB1" s="245"/>
    </row>
    <row r="2" spans="1:29" ht="15" thickBot="1" x14ac:dyDescent="0.4"/>
    <row r="3" spans="1:29" ht="25" customHeight="1" x14ac:dyDescent="0.35">
      <c r="A3" s="1" t="s">
        <v>9</v>
      </c>
      <c r="B3" s="251" t="s">
        <v>0</v>
      </c>
      <c r="C3" s="252"/>
      <c r="D3" s="252"/>
      <c r="E3" s="253"/>
      <c r="F3" s="251" t="s">
        <v>1</v>
      </c>
      <c r="G3" s="252"/>
      <c r="H3" s="252"/>
      <c r="I3" s="253"/>
      <c r="J3" s="251" t="s">
        <v>2</v>
      </c>
      <c r="K3" s="252"/>
      <c r="L3" s="252"/>
      <c r="M3" s="253"/>
      <c r="N3" s="251" t="s">
        <v>3</v>
      </c>
      <c r="O3" s="252"/>
      <c r="P3" s="252"/>
      <c r="Q3" s="253"/>
      <c r="R3" s="251" t="s">
        <v>5</v>
      </c>
      <c r="S3" s="252"/>
      <c r="T3" s="252"/>
      <c r="U3" s="253"/>
      <c r="V3" s="251" t="s">
        <v>4</v>
      </c>
      <c r="W3" s="252"/>
      <c r="X3" s="252"/>
      <c r="Y3" s="253"/>
      <c r="Z3" s="254" t="s">
        <v>12</v>
      </c>
      <c r="AA3" s="254"/>
      <c r="AB3" s="254"/>
      <c r="AC3" s="255"/>
    </row>
    <row r="4" spans="1:29" ht="25" customHeight="1" thickBot="1" x14ac:dyDescent="0.4">
      <c r="A4" s="2" t="s">
        <v>10</v>
      </c>
      <c r="B4" s="3" t="s">
        <v>6</v>
      </c>
      <c r="C4" s="3" t="s">
        <v>7</v>
      </c>
      <c r="D4" s="3" t="s">
        <v>8</v>
      </c>
      <c r="E4" s="3" t="s">
        <v>18</v>
      </c>
      <c r="F4" s="3" t="s">
        <v>6</v>
      </c>
      <c r="G4" s="3" t="s">
        <v>7</v>
      </c>
      <c r="H4" s="3" t="s">
        <v>8</v>
      </c>
      <c r="I4" s="3" t="s">
        <v>18</v>
      </c>
      <c r="J4" s="3" t="s">
        <v>6</v>
      </c>
      <c r="K4" s="3" t="s">
        <v>7</v>
      </c>
      <c r="L4" s="3" t="s">
        <v>8</v>
      </c>
      <c r="M4" s="3" t="s">
        <v>18</v>
      </c>
      <c r="N4" s="3" t="s">
        <v>6</v>
      </c>
      <c r="O4" s="3" t="s">
        <v>7</v>
      </c>
      <c r="P4" s="3" t="s">
        <v>8</v>
      </c>
      <c r="Q4" s="3" t="s">
        <v>18</v>
      </c>
      <c r="R4" s="3" t="s">
        <v>6</v>
      </c>
      <c r="S4" s="3" t="s">
        <v>7</v>
      </c>
      <c r="T4" s="3" t="s">
        <v>8</v>
      </c>
      <c r="U4" s="3" t="s">
        <v>18</v>
      </c>
      <c r="V4" s="3" t="s">
        <v>6</v>
      </c>
      <c r="W4" s="3" t="s">
        <v>7</v>
      </c>
      <c r="X4" s="3" t="s">
        <v>8</v>
      </c>
      <c r="Y4" s="3" t="s">
        <v>18</v>
      </c>
      <c r="Z4" s="3" t="s">
        <v>13</v>
      </c>
      <c r="AA4" s="3" t="s">
        <v>7</v>
      </c>
      <c r="AB4" s="3" t="s">
        <v>8</v>
      </c>
      <c r="AC4" s="4" t="s">
        <v>15</v>
      </c>
    </row>
    <row r="5" spans="1:29" ht="25" customHeight="1" x14ac:dyDescent="0.35">
      <c r="A5" s="23">
        <v>43101</v>
      </c>
      <c r="B5" s="5">
        <v>153072.32000000009</v>
      </c>
      <c r="C5" s="5">
        <v>2925924</v>
      </c>
      <c r="D5" s="19">
        <f>B5/C5*100</f>
        <v>5.2315890638307794</v>
      </c>
      <c r="E5" s="6" t="s">
        <v>16</v>
      </c>
      <c r="F5" s="7">
        <v>1776308.79</v>
      </c>
      <c r="G5" s="5">
        <v>26846210.789999999</v>
      </c>
      <c r="H5" s="8">
        <f>F5/G5*100</f>
        <v>6.6166089653950753</v>
      </c>
      <c r="I5" s="8" t="s">
        <v>16</v>
      </c>
      <c r="J5" s="5">
        <v>109367.69999999997</v>
      </c>
      <c r="K5" s="5">
        <v>2585509</v>
      </c>
      <c r="L5" s="8">
        <f>J5/K5*100</f>
        <v>4.2300258865855804</v>
      </c>
      <c r="M5" s="8" t="s">
        <v>16</v>
      </c>
      <c r="N5" s="5">
        <v>329530.64999999997</v>
      </c>
      <c r="O5" s="5">
        <v>4517063.3899999997</v>
      </c>
      <c r="P5" s="8">
        <f>N5/O5*100</f>
        <v>7.2952407692467647</v>
      </c>
      <c r="Q5" s="8" t="s">
        <v>16</v>
      </c>
      <c r="R5" s="5">
        <v>351491.32999999996</v>
      </c>
      <c r="S5" s="5">
        <v>8851758.3799999934</v>
      </c>
      <c r="T5" s="8">
        <f>R5/S5*100</f>
        <v>3.9708644871528929</v>
      </c>
      <c r="U5" s="9" t="s">
        <v>16</v>
      </c>
      <c r="V5" s="7">
        <v>73626.669999999969</v>
      </c>
      <c r="W5" s="5">
        <v>954426</v>
      </c>
      <c r="X5" s="8">
        <f>V5/W5*100</f>
        <v>7.7142355719563351</v>
      </c>
      <c r="Y5" s="8" t="s">
        <v>16</v>
      </c>
      <c r="Z5" s="10">
        <f>B5+F5+J5+N5+R5+V5</f>
        <v>2793397.46</v>
      </c>
      <c r="AA5" s="10">
        <f>C5+G5+K5+O5+S5+W5</f>
        <v>46680891.559999995</v>
      </c>
      <c r="AB5" s="8">
        <f>Z5/AA5*100</f>
        <v>5.9840276538197301</v>
      </c>
      <c r="AC5" s="24" t="s">
        <v>16</v>
      </c>
    </row>
    <row r="6" spans="1:29" ht="25" customHeight="1" x14ac:dyDescent="0.35">
      <c r="A6" s="25">
        <v>43132</v>
      </c>
      <c r="B6" s="11">
        <v>117999.77000000006</v>
      </c>
      <c r="C6" s="11">
        <v>2130894</v>
      </c>
      <c r="D6" s="17">
        <f t="shared" ref="D6:D16" si="0">B6/C6*100</f>
        <v>5.5375710851877225</v>
      </c>
      <c r="E6" s="12">
        <f>D6/D5-1</f>
        <v>5.8487396013648496E-2</v>
      </c>
      <c r="F6" s="26">
        <v>1686570.5000000021</v>
      </c>
      <c r="G6" s="11">
        <v>25784713.249999993</v>
      </c>
      <c r="H6" s="13">
        <f t="shared" ref="H6:H16" si="1">F6/G6*100</f>
        <v>6.5409705496724992</v>
      </c>
      <c r="I6" s="12">
        <f>H6/H5-1</f>
        <v>-1.1431598288211609E-2</v>
      </c>
      <c r="J6" s="11">
        <v>102058.85999999999</v>
      </c>
      <c r="K6" s="11">
        <v>2342986</v>
      </c>
      <c r="L6" s="13">
        <f t="shared" ref="L6:L16" si="2">J6/K6*100</f>
        <v>4.3559312774382768</v>
      </c>
      <c r="M6" s="12">
        <f>L6/L5-1</f>
        <v>2.9764685661137991E-2</v>
      </c>
      <c r="N6" s="11">
        <v>310598.81000000011</v>
      </c>
      <c r="O6" s="11">
        <v>4492558</v>
      </c>
      <c r="P6" s="13">
        <f t="shared" ref="P6:P16" si="3">N6/O6*100</f>
        <v>6.9136293844175221</v>
      </c>
      <c r="Q6" s="12">
        <f>P6/P5-1</f>
        <v>-5.2309635404760524E-2</v>
      </c>
      <c r="R6" s="11">
        <v>323872.95000000059</v>
      </c>
      <c r="S6" s="11">
        <v>8593887.7400000021</v>
      </c>
      <c r="T6" s="13">
        <f t="shared" ref="T6:T16" si="4">R6/S6*100</f>
        <v>3.7686430146456686</v>
      </c>
      <c r="U6" s="14">
        <f>T6/T5-1</f>
        <v>-5.0926309160506444E-2</v>
      </c>
      <c r="V6" s="15">
        <v>62998.270000000004</v>
      </c>
      <c r="W6" s="11">
        <v>871587</v>
      </c>
      <c r="X6" s="13">
        <f t="shared" ref="X6:X13" si="5">V6/W6*100</f>
        <v>7.2279955988329343</v>
      </c>
      <c r="Y6" s="12">
        <f>X6/X5-1</f>
        <v>-6.3031517327657882E-2</v>
      </c>
      <c r="Z6" s="16">
        <f t="shared" ref="Z6:Z17" si="6">B6+F6+J6+N6+R6+V6</f>
        <v>2604099.1600000029</v>
      </c>
      <c r="AA6" s="16">
        <f t="shared" ref="AA6:AA18" si="7">C6+G6+K6+O6+S6+W6</f>
        <v>44216625.989999995</v>
      </c>
      <c r="AB6" s="13">
        <f t="shared" ref="AB6:AB16" si="8">Z6/AA6*100</f>
        <v>5.8894117352801736</v>
      </c>
      <c r="AC6" s="37">
        <f>AB6/AB5-1</f>
        <v>-1.5811410643993495E-2</v>
      </c>
    </row>
    <row r="7" spans="1:29" ht="25" customHeight="1" x14ac:dyDescent="0.35">
      <c r="A7" s="25">
        <v>43160</v>
      </c>
      <c r="B7" s="26">
        <v>134682.91999999998</v>
      </c>
      <c r="C7" s="11">
        <v>2651766</v>
      </c>
      <c r="D7" s="17">
        <f t="shared" si="0"/>
        <v>5.0789896242730306</v>
      </c>
      <c r="E7" s="12">
        <f t="shared" ref="E7:E16" si="9">D7/D6-1</f>
        <v>-8.2812744768430591E-2</v>
      </c>
      <c r="F7" s="15">
        <v>2263008.3899999969</v>
      </c>
      <c r="G7" s="11">
        <v>29086231.559999999</v>
      </c>
      <c r="H7" s="13">
        <f t="shared" si="1"/>
        <v>7.7803423428428387</v>
      </c>
      <c r="I7" s="12">
        <f t="shared" ref="I7:I16" si="10">H7/H6-1</f>
        <v>0.18947827142141671</v>
      </c>
      <c r="J7" s="11">
        <v>114626.28999999991</v>
      </c>
      <c r="K7" s="11">
        <v>2899991</v>
      </c>
      <c r="L7" s="13">
        <f t="shared" si="2"/>
        <v>3.9526429564781376</v>
      </c>
      <c r="M7" s="12">
        <f t="shared" ref="M7:M16" si="11">L7/L6-1</f>
        <v>-9.2583719823356114E-2</v>
      </c>
      <c r="N7" s="11">
        <v>319951.08999999968</v>
      </c>
      <c r="O7" s="11">
        <v>4334233</v>
      </c>
      <c r="P7" s="13">
        <f t="shared" si="3"/>
        <v>7.381954085071099</v>
      </c>
      <c r="Q7" s="12">
        <f t="shared" ref="Q7:Q16" si="12">P7/P6-1</f>
        <v>6.7739341323259872E-2</v>
      </c>
      <c r="R7" s="11">
        <v>359976.96999999991</v>
      </c>
      <c r="S7" s="11">
        <v>9144384.0100000054</v>
      </c>
      <c r="T7" s="13">
        <f t="shared" si="4"/>
        <v>3.9365906944233822</v>
      </c>
      <c r="U7" s="14">
        <f t="shared" ref="U7:U16" si="13">T7/T6-1</f>
        <v>4.4564496856039915E-2</v>
      </c>
      <c r="V7" s="15">
        <v>59278.77</v>
      </c>
      <c r="W7" s="11">
        <v>877010</v>
      </c>
      <c r="X7" s="13">
        <f t="shared" si="5"/>
        <v>6.7591897469812201</v>
      </c>
      <c r="Y7" s="12">
        <f t="shared" ref="Y7:Y16" si="14">X7/X6-1</f>
        <v>-6.4859731227203565E-2</v>
      </c>
      <c r="Z7" s="16">
        <f t="shared" si="6"/>
        <v>3251524.4299999964</v>
      </c>
      <c r="AA7" s="16">
        <f t="shared" si="7"/>
        <v>48993615.570000008</v>
      </c>
      <c r="AB7" s="13">
        <f t="shared" si="8"/>
        <v>6.6366288590282858</v>
      </c>
      <c r="AC7" s="37">
        <f t="shared" ref="AC7:AC16" si="15">AB7/AB6-1</f>
        <v>0.1268746620773602</v>
      </c>
    </row>
    <row r="8" spans="1:29" ht="25" customHeight="1" x14ac:dyDescent="0.35">
      <c r="A8" s="25">
        <v>43191</v>
      </c>
      <c r="B8" s="11">
        <v>143449.70000000013</v>
      </c>
      <c r="C8" s="26">
        <v>3230843</v>
      </c>
      <c r="D8" s="17">
        <f t="shared" si="0"/>
        <v>4.4400083817133833</v>
      </c>
      <c r="E8" s="12">
        <f t="shared" si="9"/>
        <v>-0.12580873162368522</v>
      </c>
      <c r="F8" s="15">
        <v>2230264.5199999996</v>
      </c>
      <c r="G8" s="11">
        <v>29630128.820000004</v>
      </c>
      <c r="H8" s="13">
        <f t="shared" si="1"/>
        <v>7.5270159422816825</v>
      </c>
      <c r="I8" s="12">
        <f t="shared" si="10"/>
        <v>-3.2559801278434941E-2</v>
      </c>
      <c r="J8" s="11">
        <v>143449.70000000013</v>
      </c>
      <c r="K8" s="11">
        <v>3230843</v>
      </c>
      <c r="L8" s="13">
        <f t="shared" si="2"/>
        <v>4.4400083817133833</v>
      </c>
      <c r="M8" s="12">
        <f t="shared" si="11"/>
        <v>0.12330115079999415</v>
      </c>
      <c r="N8" s="11">
        <v>345504.04000000068</v>
      </c>
      <c r="O8" s="11">
        <v>4653473</v>
      </c>
      <c r="P8" s="13">
        <f t="shared" si="3"/>
        <v>7.42464907392824</v>
      </c>
      <c r="Q8" s="12">
        <f t="shared" si="12"/>
        <v>5.7836974282303721E-3</v>
      </c>
      <c r="R8" s="11">
        <v>385386.98</v>
      </c>
      <c r="S8" s="11">
        <v>8958213.5199999921</v>
      </c>
      <c r="T8" s="13">
        <f t="shared" si="4"/>
        <v>4.3020517331897707</v>
      </c>
      <c r="U8" s="14">
        <f t="shared" si="13"/>
        <v>9.2836941184691879E-2</v>
      </c>
      <c r="V8" s="15">
        <v>62549.850000000006</v>
      </c>
      <c r="W8" s="11">
        <v>1044163</v>
      </c>
      <c r="X8" s="13">
        <f t="shared" si="5"/>
        <v>5.9904296551400504</v>
      </c>
      <c r="Y8" s="12">
        <f t="shared" si="14"/>
        <v>-0.11373553940907077</v>
      </c>
      <c r="Z8" s="16">
        <f t="shared" si="6"/>
        <v>3310604.7900000005</v>
      </c>
      <c r="AA8" s="16">
        <f t="shared" si="7"/>
        <v>50747664.340000004</v>
      </c>
      <c r="AB8" s="13">
        <f t="shared" si="8"/>
        <v>6.5236594295642023</v>
      </c>
      <c r="AC8" s="37">
        <f t="shared" si="15"/>
        <v>-1.7022110451513806E-2</v>
      </c>
    </row>
    <row r="9" spans="1:29" ht="25" customHeight="1" x14ac:dyDescent="0.35">
      <c r="A9" s="25">
        <v>43221</v>
      </c>
      <c r="B9" s="26">
        <v>138871.08999999988</v>
      </c>
      <c r="C9" s="11">
        <v>3005929</v>
      </c>
      <c r="D9" s="17">
        <f t="shared" si="0"/>
        <v>4.6199058593865621</v>
      </c>
      <c r="E9" s="12">
        <f t="shared" si="9"/>
        <v>4.0517373438776483E-2</v>
      </c>
      <c r="F9" s="15">
        <v>2194160.0399999963</v>
      </c>
      <c r="G9" s="11">
        <v>28177349.420000002</v>
      </c>
      <c r="H9" s="13">
        <f t="shared" si="1"/>
        <v>7.7869639450281412</v>
      </c>
      <c r="I9" s="12">
        <f t="shared" si="10"/>
        <v>3.4535333090799814E-2</v>
      </c>
      <c r="J9" s="11">
        <v>126722.60999999993</v>
      </c>
      <c r="K9" s="11">
        <v>2795192</v>
      </c>
      <c r="L9" s="13">
        <f t="shared" si="2"/>
        <v>4.5335923256792352</v>
      </c>
      <c r="M9" s="12">
        <f t="shared" si="11"/>
        <v>2.1077425067773881E-2</v>
      </c>
      <c r="N9" s="11">
        <v>323067.26999999961</v>
      </c>
      <c r="O9" s="11">
        <v>4260493</v>
      </c>
      <c r="P9" s="13">
        <f t="shared" si="3"/>
        <v>7.5828611853135222</v>
      </c>
      <c r="Q9" s="12">
        <f t="shared" si="12"/>
        <v>2.1309035593459313E-2</v>
      </c>
      <c r="R9" s="11">
        <v>389513.71999999956</v>
      </c>
      <c r="S9" s="11">
        <v>9849509.0300000049</v>
      </c>
      <c r="T9" s="13">
        <f t="shared" si="4"/>
        <v>3.9546511284329409</v>
      </c>
      <c r="U9" s="14">
        <f t="shared" si="13"/>
        <v>-8.0752307573774496E-2</v>
      </c>
      <c r="V9" s="26">
        <v>58613.61</v>
      </c>
      <c r="W9" s="11">
        <v>907342</v>
      </c>
      <c r="X9" s="13">
        <f t="shared" si="5"/>
        <v>6.4599247031439084</v>
      </c>
      <c r="Y9" s="12">
        <f t="shared" si="14"/>
        <v>7.8374185998663748E-2</v>
      </c>
      <c r="Z9" s="16">
        <f t="shared" si="6"/>
        <v>3230948.3399999952</v>
      </c>
      <c r="AA9" s="16">
        <f t="shared" si="7"/>
        <v>48995814.450000003</v>
      </c>
      <c r="AB9" s="13">
        <f t="shared" si="8"/>
        <v>6.5943354065420481</v>
      </c>
      <c r="AC9" s="37">
        <f t="shared" si="15"/>
        <v>1.0833793170985206E-2</v>
      </c>
    </row>
    <row r="10" spans="1:29" ht="25" customHeight="1" x14ac:dyDescent="0.35">
      <c r="A10" s="25">
        <v>43252</v>
      </c>
      <c r="B10" s="11">
        <v>160800.12</v>
      </c>
      <c r="C10" s="11">
        <v>3107813</v>
      </c>
      <c r="D10" s="17">
        <f t="shared" si="0"/>
        <v>5.1740603440425792</v>
      </c>
      <c r="E10" s="12">
        <f t="shared" si="9"/>
        <v>0.11994930232833756</v>
      </c>
      <c r="F10" s="15">
        <v>2181475.3799999971</v>
      </c>
      <c r="G10" s="11">
        <v>27721070.559999999</v>
      </c>
      <c r="H10" s="13">
        <f t="shared" si="1"/>
        <v>7.8693763838534716</v>
      </c>
      <c r="I10" s="12">
        <f t="shared" si="10"/>
        <v>1.0583385181582861E-2</v>
      </c>
      <c r="J10" s="11">
        <v>160800.12</v>
      </c>
      <c r="K10" s="11">
        <v>3107813</v>
      </c>
      <c r="L10" s="13">
        <f t="shared" si="2"/>
        <v>5.1740603440425792</v>
      </c>
      <c r="M10" s="12">
        <f t="shared" si="11"/>
        <v>0.1412716389904749</v>
      </c>
      <c r="N10" s="11">
        <v>334681.97000000038</v>
      </c>
      <c r="O10" s="11">
        <v>4611208</v>
      </c>
      <c r="P10" s="13">
        <f t="shared" si="3"/>
        <v>7.2580106991486915</v>
      </c>
      <c r="Q10" s="12">
        <f t="shared" si="12"/>
        <v>-4.2840094025985986E-2</v>
      </c>
      <c r="R10" s="11">
        <v>332643.25999999989</v>
      </c>
      <c r="S10" s="11">
        <v>7544398.0200000033</v>
      </c>
      <c r="T10" s="13">
        <f t="shared" si="4"/>
        <v>4.4091425070386165</v>
      </c>
      <c r="U10" s="14">
        <f t="shared" si="13"/>
        <v>0.11492578329805059</v>
      </c>
      <c r="V10" s="15">
        <v>67398.01999999999</v>
      </c>
      <c r="W10" s="11">
        <v>898824.93</v>
      </c>
      <c r="X10" s="13">
        <f t="shared" si="5"/>
        <v>7.4984591270738328</v>
      </c>
      <c r="Y10" s="12">
        <f t="shared" si="14"/>
        <v>0.16076571657630812</v>
      </c>
      <c r="Z10" s="16">
        <f t="shared" si="6"/>
        <v>3237798.8699999973</v>
      </c>
      <c r="AA10" s="16">
        <f t="shared" si="7"/>
        <v>46991127.510000005</v>
      </c>
      <c r="AB10" s="13">
        <f t="shared" si="8"/>
        <v>6.8902344795003554</v>
      </c>
      <c r="AC10" s="37">
        <f t="shared" si="15"/>
        <v>4.487170498861115E-2</v>
      </c>
    </row>
    <row r="11" spans="1:29" ht="25" customHeight="1" x14ac:dyDescent="0.35">
      <c r="A11" s="25">
        <v>43282</v>
      </c>
      <c r="B11" s="11">
        <v>222872.9200000001</v>
      </c>
      <c r="C11" s="11">
        <v>3883444.2800000003</v>
      </c>
      <c r="D11" s="17">
        <f t="shared" si="0"/>
        <v>5.7390528595404513</v>
      </c>
      <c r="E11" s="12">
        <f t="shared" si="9"/>
        <v>0.10919712526128644</v>
      </c>
      <c r="F11" s="15">
        <v>2172051.2499999944</v>
      </c>
      <c r="G11" s="26">
        <v>28052566.240000002</v>
      </c>
      <c r="H11" s="13">
        <f t="shared" si="1"/>
        <v>7.7427898446698205</v>
      </c>
      <c r="I11" s="12">
        <f t="shared" si="10"/>
        <v>-1.6085968316801313E-2</v>
      </c>
      <c r="J11" s="11">
        <v>122696.69</v>
      </c>
      <c r="K11" s="11">
        <v>2476627</v>
      </c>
      <c r="L11" s="13">
        <f t="shared" si="2"/>
        <v>4.9541852689161514</v>
      </c>
      <c r="M11" s="12">
        <f t="shared" si="11"/>
        <v>-4.249565341455519E-2</v>
      </c>
      <c r="N11" s="11">
        <v>330331.17000000016</v>
      </c>
      <c r="O11" s="11">
        <v>4419529</v>
      </c>
      <c r="P11" s="13">
        <f t="shared" si="3"/>
        <v>7.4743523574570991</v>
      </c>
      <c r="Q11" s="12">
        <f t="shared" si="12"/>
        <v>2.9807293937136548E-2</v>
      </c>
      <c r="R11" s="11">
        <v>378722.49000000046</v>
      </c>
      <c r="S11" s="11">
        <v>8351991.5599999996</v>
      </c>
      <c r="T11" s="13">
        <f t="shared" si="4"/>
        <v>4.5345171541337201</v>
      </c>
      <c r="U11" s="14">
        <f t="shared" si="13"/>
        <v>2.8435154204011104E-2</v>
      </c>
      <c r="V11" s="15">
        <v>88440.11</v>
      </c>
      <c r="W11" s="11">
        <v>1139187</v>
      </c>
      <c r="X11" s="13">
        <f t="shared" si="5"/>
        <v>7.7634409451652804</v>
      </c>
      <c r="Y11" s="12">
        <f t="shared" si="14"/>
        <v>3.5338169295970223E-2</v>
      </c>
      <c r="Z11" s="16">
        <f t="shared" si="6"/>
        <v>3315114.6299999948</v>
      </c>
      <c r="AA11" s="16">
        <f t="shared" si="7"/>
        <v>48323345.080000006</v>
      </c>
      <c r="AB11" s="13">
        <f t="shared" si="8"/>
        <v>6.8602755552451393</v>
      </c>
      <c r="AC11" s="37">
        <f t="shared" si="15"/>
        <v>-4.3480268116199428E-3</v>
      </c>
    </row>
    <row r="12" spans="1:29" ht="25" customHeight="1" x14ac:dyDescent="0.35">
      <c r="A12" s="25">
        <v>43313</v>
      </c>
      <c r="B12" s="11">
        <v>198216.78</v>
      </c>
      <c r="C12" s="11">
        <v>3634984</v>
      </c>
      <c r="D12" s="17">
        <f t="shared" si="0"/>
        <v>5.453030329707091</v>
      </c>
      <c r="E12" s="12">
        <f t="shared" si="9"/>
        <v>-4.98379326403805E-2</v>
      </c>
      <c r="F12" s="15">
        <v>1987111.229999997</v>
      </c>
      <c r="G12" s="11">
        <v>28297948.710000005</v>
      </c>
      <c r="H12" s="13">
        <f t="shared" si="1"/>
        <v>7.0221034406560578</v>
      </c>
      <c r="I12" s="12">
        <f t="shared" si="10"/>
        <v>-9.3078388858750638E-2</v>
      </c>
      <c r="J12" s="26">
        <v>119698.01</v>
      </c>
      <c r="K12" s="11">
        <v>3113101</v>
      </c>
      <c r="L12" s="13">
        <f t="shared" si="2"/>
        <v>3.8449767611137573</v>
      </c>
      <c r="M12" s="12">
        <f t="shared" si="11"/>
        <v>-0.22389322312224724</v>
      </c>
      <c r="N12" s="11">
        <v>335178.17999999988</v>
      </c>
      <c r="O12" s="11">
        <v>4942909</v>
      </c>
      <c r="P12" s="13">
        <f>N12/O12*100</f>
        <v>6.7809903034832297</v>
      </c>
      <c r="Q12" s="12">
        <f t="shared" si="12"/>
        <v>-9.2765502723738735E-2</v>
      </c>
      <c r="R12" s="11">
        <v>296306.96000000002</v>
      </c>
      <c r="S12" s="11">
        <v>7612850.7000000067</v>
      </c>
      <c r="T12" s="13">
        <f t="shared" si="4"/>
        <v>3.8921945494084071</v>
      </c>
      <c r="U12" s="14">
        <f t="shared" si="13"/>
        <v>-0.14165181934305049</v>
      </c>
      <c r="V12" s="15">
        <v>60105.219999999994</v>
      </c>
      <c r="W12" s="11">
        <v>897671</v>
      </c>
      <c r="X12" s="13">
        <f t="shared" si="5"/>
        <v>6.6956847219081377</v>
      </c>
      <c r="Y12" s="12">
        <f t="shared" si="14"/>
        <v>-0.13753646492565808</v>
      </c>
      <c r="Z12" s="16">
        <f t="shared" si="6"/>
        <v>2996616.3799999966</v>
      </c>
      <c r="AA12" s="16">
        <f t="shared" si="7"/>
        <v>48499464.410000011</v>
      </c>
      <c r="AB12" s="13">
        <f t="shared" si="8"/>
        <v>6.1786587057281608</v>
      </c>
      <c r="AC12" s="37">
        <f t="shared" si="15"/>
        <v>-9.9357065766233932E-2</v>
      </c>
    </row>
    <row r="13" spans="1:29" ht="25" customHeight="1" x14ac:dyDescent="0.35">
      <c r="A13" s="25">
        <v>43344</v>
      </c>
      <c r="B13" s="11">
        <v>154697</v>
      </c>
      <c r="C13" s="11">
        <v>3251596.0399999996</v>
      </c>
      <c r="D13" s="17">
        <f t="shared" si="0"/>
        <v>4.75757130027751</v>
      </c>
      <c r="E13" s="12">
        <f t="shared" si="9"/>
        <v>-0.12753624817394649</v>
      </c>
      <c r="F13" s="15">
        <v>1820055.1499999973</v>
      </c>
      <c r="G13" s="11">
        <v>26831105.380000003</v>
      </c>
      <c r="H13" s="13">
        <f t="shared" si="1"/>
        <v>6.7833774427969438</v>
      </c>
      <c r="I13" s="12">
        <f t="shared" si="10"/>
        <v>-3.3996365886175384E-2</v>
      </c>
      <c r="J13" s="11">
        <v>118699.12000000001</v>
      </c>
      <c r="K13" s="11">
        <v>2756629</v>
      </c>
      <c r="L13" s="13">
        <f t="shared" si="2"/>
        <v>4.3059519434787923</v>
      </c>
      <c r="M13" s="12">
        <f t="shared" si="11"/>
        <v>0.11989023887663408</v>
      </c>
      <c r="N13" s="11">
        <v>267077.25000000052</v>
      </c>
      <c r="O13" s="11">
        <v>3899314</v>
      </c>
      <c r="P13" s="13">
        <f t="shared" si="3"/>
        <v>6.849339396622085</v>
      </c>
      <c r="Q13" s="12">
        <f t="shared" si="12"/>
        <v>1.0079514949866031E-2</v>
      </c>
      <c r="R13" s="11">
        <v>283442.2300000001</v>
      </c>
      <c r="S13" s="11">
        <v>6985238.9700000025</v>
      </c>
      <c r="T13" s="13">
        <f t="shared" si="4"/>
        <v>4.0577313276942908</v>
      </c>
      <c r="U13" s="14">
        <f t="shared" si="13"/>
        <v>4.2530448101841145E-2</v>
      </c>
      <c r="V13" s="11">
        <v>51422.749999999993</v>
      </c>
      <c r="W13" s="11">
        <v>742728</v>
      </c>
      <c r="X13" s="13">
        <f t="shared" si="5"/>
        <v>6.9234968925367015</v>
      </c>
      <c r="Y13" s="12">
        <f t="shared" si="14"/>
        <v>3.4023730221819815E-2</v>
      </c>
      <c r="Z13" s="16">
        <f t="shared" si="6"/>
        <v>2695393.4999999981</v>
      </c>
      <c r="AA13" s="16">
        <f t="shared" si="7"/>
        <v>44466611.390000001</v>
      </c>
      <c r="AB13" s="13">
        <f t="shared" si="8"/>
        <v>6.0616121079245522</v>
      </c>
      <c r="AC13" s="37">
        <f t="shared" si="15"/>
        <v>-1.8943690431565074E-2</v>
      </c>
    </row>
    <row r="14" spans="1:29" ht="25" customHeight="1" x14ac:dyDescent="0.35">
      <c r="A14" s="25">
        <v>43374</v>
      </c>
      <c r="B14" s="11">
        <v>165758</v>
      </c>
      <c r="C14" s="11">
        <v>3456115</v>
      </c>
      <c r="D14" s="17">
        <f t="shared" si="0"/>
        <v>4.7960788341823113</v>
      </c>
      <c r="E14" s="12">
        <f t="shared" si="9"/>
        <v>8.0939478305990242E-3</v>
      </c>
      <c r="F14" s="15">
        <v>2167141</v>
      </c>
      <c r="G14" s="11">
        <v>30711810.879999999</v>
      </c>
      <c r="H14" s="13">
        <f t="shared" si="1"/>
        <v>7.0563764815681234</v>
      </c>
      <c r="I14" s="12">
        <f t="shared" si="10"/>
        <v>4.0245296841187717E-2</v>
      </c>
      <c r="J14" s="11">
        <v>132071.9</v>
      </c>
      <c r="K14" s="11">
        <v>3184157</v>
      </c>
      <c r="L14" s="13">
        <f t="shared" si="2"/>
        <v>4.1477822858609041</v>
      </c>
      <c r="M14" s="12">
        <f t="shared" si="11"/>
        <v>-3.6732796764587738E-2</v>
      </c>
      <c r="N14" s="11">
        <v>338625.5</v>
      </c>
      <c r="O14" s="11">
        <v>5064741</v>
      </c>
      <c r="P14" s="13">
        <f t="shared" si="3"/>
        <v>6.6859391230469631</v>
      </c>
      <c r="Q14" s="12">
        <f t="shared" si="12"/>
        <v>-2.3856355206416935E-2</v>
      </c>
      <c r="R14" s="11">
        <v>278398.90000000002</v>
      </c>
      <c r="S14" s="11">
        <v>7447576</v>
      </c>
      <c r="T14" s="13">
        <f t="shared" si="4"/>
        <v>3.7381142535504175</v>
      </c>
      <c r="U14" s="14">
        <f t="shared" si="13"/>
        <v>-7.8767431436986723E-2</v>
      </c>
      <c r="V14" s="11">
        <v>90662.59</v>
      </c>
      <c r="W14" s="11">
        <v>1189341</v>
      </c>
      <c r="X14" s="13">
        <f>V14/W14*100</f>
        <v>7.622926477772145</v>
      </c>
      <c r="Y14" s="12">
        <f t="shared" si="14"/>
        <v>0.10102258960921984</v>
      </c>
      <c r="Z14" s="16">
        <f t="shared" si="6"/>
        <v>3172657.8899999997</v>
      </c>
      <c r="AA14" s="16">
        <f t="shared" si="7"/>
        <v>51053740.879999995</v>
      </c>
      <c r="AB14" s="13">
        <f t="shared" si="8"/>
        <v>6.2143494978305691</v>
      </c>
      <c r="AC14" s="37">
        <f t="shared" si="15"/>
        <v>2.5197486606960195E-2</v>
      </c>
    </row>
    <row r="15" spans="1:29" ht="25" customHeight="1" x14ac:dyDescent="0.35">
      <c r="A15" s="25">
        <v>43405</v>
      </c>
      <c r="B15" s="11">
        <v>132554.65</v>
      </c>
      <c r="C15" s="11">
        <v>2484389.64</v>
      </c>
      <c r="D15" s="13">
        <f t="shared" si="0"/>
        <v>5.3355016405558668</v>
      </c>
      <c r="E15" s="40">
        <f t="shared" si="9"/>
        <v>0.11247163047634157</v>
      </c>
      <c r="F15" s="11">
        <v>1607093.48</v>
      </c>
      <c r="G15" s="11">
        <v>23064092</v>
      </c>
      <c r="H15" s="13">
        <f t="shared" si="1"/>
        <v>6.9679460175583756</v>
      </c>
      <c r="I15" s="12">
        <f t="shared" si="10"/>
        <v>-1.2531993472958192E-2</v>
      </c>
      <c r="J15" s="11">
        <v>105402.81</v>
      </c>
      <c r="K15" s="11">
        <v>2495448</v>
      </c>
      <c r="L15" s="13">
        <f t="shared" si="2"/>
        <v>4.2238031006857284</v>
      </c>
      <c r="M15" s="12">
        <f t="shared" si="11"/>
        <v>1.832806294678635E-2</v>
      </c>
      <c r="N15" s="11">
        <v>267457.56</v>
      </c>
      <c r="O15" s="11">
        <v>3853435</v>
      </c>
      <c r="P15" s="13">
        <f t="shared" si="3"/>
        <v>6.9407570128988807</v>
      </c>
      <c r="Q15" s="12">
        <f t="shared" si="12"/>
        <v>3.8112505238574457E-2</v>
      </c>
      <c r="R15" s="11">
        <v>242305.52</v>
      </c>
      <c r="S15" s="11">
        <v>6201303.1600000001</v>
      </c>
      <c r="T15" s="13">
        <f t="shared" si="4"/>
        <v>3.9073322775595445</v>
      </c>
      <c r="U15" s="36">
        <f t="shared" si="13"/>
        <v>4.5268285700043931E-2</v>
      </c>
      <c r="V15" s="11">
        <v>107432.78</v>
      </c>
      <c r="W15" s="11">
        <v>1212154.33</v>
      </c>
      <c r="X15" s="13">
        <f>V15/W15*100</f>
        <v>8.862962193931196</v>
      </c>
      <c r="Y15" s="40">
        <f t="shared" si="14"/>
        <v>0.1626718714623443</v>
      </c>
      <c r="Z15" s="11">
        <f t="shared" si="6"/>
        <v>2462246.7999999998</v>
      </c>
      <c r="AA15" s="11">
        <f t="shared" si="7"/>
        <v>39310822.129999995</v>
      </c>
      <c r="AB15" s="13">
        <f t="shared" si="8"/>
        <v>6.2635342294735166</v>
      </c>
      <c r="AC15" s="37">
        <f t="shared" si="15"/>
        <v>7.914703165651904E-3</v>
      </c>
    </row>
    <row r="16" spans="1:29" ht="25" customHeight="1" x14ac:dyDescent="0.35">
      <c r="A16" s="25">
        <v>43435</v>
      </c>
      <c r="B16" s="11">
        <v>116711.22</v>
      </c>
      <c r="C16" s="11">
        <v>2352948.38</v>
      </c>
      <c r="D16" s="13">
        <f t="shared" si="0"/>
        <v>4.9602116643119896</v>
      </c>
      <c r="E16" s="22">
        <f t="shared" si="9"/>
        <v>-7.0338273985570132E-2</v>
      </c>
      <c r="F16" s="11">
        <v>1288177.7</v>
      </c>
      <c r="G16" s="11">
        <v>18939698.399999999</v>
      </c>
      <c r="H16" s="13">
        <f t="shared" si="1"/>
        <v>6.8014689188503663</v>
      </c>
      <c r="I16" s="12">
        <f t="shared" si="10"/>
        <v>-2.3891846792226445E-2</v>
      </c>
      <c r="J16" s="11">
        <v>73671.199999999997</v>
      </c>
      <c r="K16" s="11">
        <v>2050680</v>
      </c>
      <c r="L16" s="13">
        <f t="shared" si="2"/>
        <v>3.5925254062067218</v>
      </c>
      <c r="M16" s="22">
        <f t="shared" si="11"/>
        <v>-0.14945717862097307</v>
      </c>
      <c r="N16" s="11">
        <v>215375.8</v>
      </c>
      <c r="O16" s="11">
        <v>3275877</v>
      </c>
      <c r="P16" s="13">
        <f t="shared" si="3"/>
        <v>6.5745997178770752</v>
      </c>
      <c r="Q16" s="12">
        <f t="shared" si="12"/>
        <v>-5.2754662689001974E-2</v>
      </c>
      <c r="R16" s="11">
        <v>228716.82</v>
      </c>
      <c r="S16" s="11">
        <v>5894969.3399999999</v>
      </c>
      <c r="T16" s="13">
        <f t="shared" si="4"/>
        <v>3.8798644540532932</v>
      </c>
      <c r="U16" s="36">
        <f t="shared" si="13"/>
        <v>-7.0298151155466782E-3</v>
      </c>
      <c r="V16" s="11">
        <v>64902.39</v>
      </c>
      <c r="W16" s="11">
        <v>807805.11</v>
      </c>
      <c r="X16" s="13">
        <f>V16/W16*100</f>
        <v>8.034411914032086</v>
      </c>
      <c r="Y16" s="22">
        <f t="shared" si="14"/>
        <v>-9.3484577928861001E-2</v>
      </c>
      <c r="Z16" s="11">
        <f t="shared" si="6"/>
        <v>1987555.13</v>
      </c>
      <c r="AA16" s="11">
        <f t="shared" si="7"/>
        <v>33321978.229999997</v>
      </c>
      <c r="AB16" s="13">
        <f t="shared" si="8"/>
        <v>5.9646972826198867</v>
      </c>
      <c r="AC16" s="37">
        <f t="shared" si="15"/>
        <v>-4.7710595313334547E-2</v>
      </c>
    </row>
    <row r="17" spans="1:29" ht="25" customHeight="1" x14ac:dyDescent="0.35">
      <c r="A17" s="27" t="s">
        <v>17</v>
      </c>
      <c r="B17" s="20">
        <f>SUM(B5:B16)</f>
        <v>1839686.49</v>
      </c>
      <c r="C17" s="20">
        <f t="shared" ref="C17:W17" si="16">SUM(C5:C16)</f>
        <v>36116646.340000004</v>
      </c>
      <c r="D17" s="20"/>
      <c r="E17" s="20"/>
      <c r="F17" s="20">
        <f t="shared" si="16"/>
        <v>23373417.429999981</v>
      </c>
      <c r="G17" s="20">
        <f t="shared" si="16"/>
        <v>323142926.00999999</v>
      </c>
      <c r="H17" s="20"/>
      <c r="I17" s="20"/>
      <c r="J17" s="20">
        <f t="shared" si="16"/>
        <v>1429265.01</v>
      </c>
      <c r="K17" s="20">
        <f t="shared" si="16"/>
        <v>33038976</v>
      </c>
      <c r="L17" s="20"/>
      <c r="M17" s="20"/>
      <c r="N17" s="20">
        <f t="shared" si="16"/>
        <v>3717379.290000001</v>
      </c>
      <c r="O17" s="20">
        <f t="shared" si="16"/>
        <v>52324833.390000001</v>
      </c>
      <c r="P17" s="20"/>
      <c r="Q17" s="20"/>
      <c r="R17" s="20">
        <f t="shared" si="16"/>
        <v>3850778.13</v>
      </c>
      <c r="S17" s="20">
        <f t="shared" si="16"/>
        <v>95436080.430000007</v>
      </c>
      <c r="T17" s="20"/>
      <c r="U17" s="20"/>
      <c r="V17" s="20">
        <f t="shared" si="16"/>
        <v>847431.02999999991</v>
      </c>
      <c r="W17" s="20">
        <f t="shared" si="16"/>
        <v>11542239.369999999</v>
      </c>
      <c r="X17" s="20"/>
      <c r="Y17" s="20"/>
      <c r="Z17" s="21">
        <f t="shared" si="6"/>
        <v>35057957.379999988</v>
      </c>
      <c r="AA17" s="21">
        <f t="shared" si="7"/>
        <v>551601701.54000008</v>
      </c>
      <c r="AB17" s="18"/>
      <c r="AC17" s="38"/>
    </row>
    <row r="18" spans="1:29" ht="25" customHeight="1" thickBot="1" x14ac:dyDescent="0.4">
      <c r="A18" s="2" t="s">
        <v>11</v>
      </c>
      <c r="B18" s="28"/>
      <c r="C18" s="28"/>
      <c r="D18" s="29">
        <f>AVERAGE(D5:D16)</f>
        <v>5.0936309155841064</v>
      </c>
      <c r="E18" s="30"/>
      <c r="F18" s="28"/>
      <c r="G18" s="28"/>
      <c r="H18" s="29">
        <f>AVERAGE(H5:H16)</f>
        <v>7.2079450229311162</v>
      </c>
      <c r="I18" s="31"/>
      <c r="J18" s="28"/>
      <c r="K18" s="28"/>
      <c r="L18" s="29">
        <f>AVERAGE(L5:L16)</f>
        <v>4.3129571615166045</v>
      </c>
      <c r="M18" s="31"/>
      <c r="N18" s="28"/>
      <c r="O18" s="28"/>
      <c r="P18" s="29">
        <f>AVERAGE(P5:P16)</f>
        <v>7.0968602590425975</v>
      </c>
      <c r="Q18" s="31"/>
      <c r="R18" s="28"/>
      <c r="S18" s="28"/>
      <c r="T18" s="29">
        <f>AVERAGE(T5:T16)</f>
        <v>4.029308131773579</v>
      </c>
      <c r="U18" s="31"/>
      <c r="V18" s="28"/>
      <c r="W18" s="28"/>
      <c r="X18" s="29">
        <f>AVERAGE(X5:X16)</f>
        <v>7.2960964623728195</v>
      </c>
      <c r="Y18" s="31"/>
      <c r="Z18" s="32"/>
      <c r="AA18" s="33">
        <f t="shared" si="7"/>
        <v>0</v>
      </c>
      <c r="AB18" s="34">
        <f>Z17/AA17*100</f>
        <v>6.3556651986610522</v>
      </c>
      <c r="AC18" s="35"/>
    </row>
    <row r="19" spans="1:29" ht="25" customHeight="1" x14ac:dyDescent="0.35">
      <c r="A19" s="41" t="s">
        <v>14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</row>
    <row r="20" spans="1:29" ht="25" customHeight="1" x14ac:dyDescent="0.35">
      <c r="A20" s="41" t="s">
        <v>20</v>
      </c>
      <c r="B20" s="41"/>
      <c r="C20" s="41"/>
      <c r="D20" s="41"/>
      <c r="E20" s="41"/>
      <c r="F20" s="41"/>
      <c r="G20" s="41"/>
      <c r="H20" s="41"/>
      <c r="I20" s="41"/>
      <c r="J20" s="41"/>
      <c r="K20" s="41"/>
      <c r="L20" s="41"/>
      <c r="M20" s="41"/>
      <c r="N20" s="41"/>
      <c r="O20" s="41"/>
      <c r="P20" s="39"/>
    </row>
    <row r="21" spans="1:29" ht="25" customHeight="1" x14ac:dyDescent="0.35">
      <c r="A21" s="41" t="s">
        <v>21</v>
      </c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39"/>
    </row>
    <row r="22" spans="1:29" ht="25" customHeight="1" x14ac:dyDescent="0.35"/>
    <row r="23" spans="1:29" ht="25" customHeight="1" x14ac:dyDescent="0.35"/>
    <row r="24" spans="1:29" ht="25" customHeight="1" x14ac:dyDescent="0.35"/>
    <row r="25" spans="1:29" ht="25" customHeight="1" x14ac:dyDescent="0.35"/>
    <row r="26" spans="1:29" ht="25" customHeight="1" x14ac:dyDescent="0.35"/>
    <row r="27" spans="1:29" ht="25" customHeight="1" x14ac:dyDescent="0.35"/>
    <row r="28" spans="1:29" ht="25" customHeight="1" x14ac:dyDescent="0.35"/>
  </sheetData>
  <mergeCells count="8">
    <mergeCell ref="V3:Y3"/>
    <mergeCell ref="A1:AB1"/>
    <mergeCell ref="Z3:AC3"/>
    <mergeCell ref="B3:E3"/>
    <mergeCell ref="F3:I3"/>
    <mergeCell ref="J3:M3"/>
    <mergeCell ref="N3:Q3"/>
    <mergeCell ref="R3:U3"/>
  </mergeCells>
  <pageMargins left="0.7" right="0.7" top="0.75" bottom="0.75" header="0.3" footer="0.3"/>
  <pageSetup paperSize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C29"/>
  <sheetViews>
    <sheetView topLeftCell="A7" zoomScale="90" zoomScaleNormal="90" workbookViewId="0">
      <selection activeCell="A13" sqref="A13:XFD13"/>
    </sheetView>
  </sheetViews>
  <sheetFormatPr defaultRowHeight="14.5" x14ac:dyDescent="0.35"/>
  <cols>
    <col min="1" max="1" width="8.7265625" customWidth="1"/>
    <col min="2" max="3" width="10.7265625" customWidth="1"/>
    <col min="4" max="4" width="5.7265625" customWidth="1"/>
    <col min="5" max="5" width="6.81640625" customWidth="1"/>
    <col min="6" max="7" width="10.7265625" customWidth="1"/>
    <col min="8" max="9" width="5.7265625" customWidth="1"/>
    <col min="10" max="11" width="10.7265625" customWidth="1"/>
    <col min="12" max="13" width="5.7265625" customWidth="1"/>
    <col min="14" max="15" width="10.7265625" customWidth="1"/>
    <col min="16" max="17" width="5.7265625" customWidth="1"/>
    <col min="18" max="19" width="10.7265625" customWidth="1"/>
    <col min="20" max="21" width="5.7265625" customWidth="1"/>
    <col min="22" max="23" width="10.7265625" customWidth="1"/>
    <col min="24" max="25" width="5.7265625" customWidth="1"/>
    <col min="26" max="27" width="10.7265625" customWidth="1"/>
    <col min="28" max="29" width="5.7265625" customWidth="1"/>
  </cols>
  <sheetData>
    <row r="1" spans="1:29" ht="20.25" x14ac:dyDescent="0.3">
      <c r="A1" s="245" t="s">
        <v>22</v>
      </c>
      <c r="B1" s="245"/>
      <c r="C1" s="245"/>
      <c r="D1" s="245"/>
      <c r="E1" s="245"/>
      <c r="F1" s="245"/>
      <c r="G1" s="245"/>
      <c r="H1" s="245"/>
      <c r="I1" s="245"/>
      <c r="J1" s="245"/>
      <c r="K1" s="245"/>
      <c r="L1" s="245"/>
      <c r="M1" s="245"/>
      <c r="N1" s="245"/>
      <c r="O1" s="245"/>
      <c r="P1" s="245"/>
      <c r="Q1" s="245"/>
      <c r="R1" s="245"/>
      <c r="S1" s="245"/>
      <c r="T1" s="245"/>
      <c r="U1" s="245"/>
      <c r="V1" s="245"/>
      <c r="W1" s="245"/>
      <c r="X1" s="245"/>
      <c r="Y1" s="245"/>
      <c r="Z1" s="245"/>
      <c r="AA1" s="245"/>
      <c r="AB1" s="245"/>
    </row>
    <row r="2" spans="1:29" ht="15" thickBot="1" x14ac:dyDescent="0.4"/>
    <row r="3" spans="1:29" ht="25" customHeight="1" x14ac:dyDescent="0.35">
      <c r="A3" s="44" t="s">
        <v>9</v>
      </c>
      <c r="B3" s="246" t="s">
        <v>0</v>
      </c>
      <c r="C3" s="247"/>
      <c r="D3" s="247"/>
      <c r="E3" s="248"/>
      <c r="F3" s="246" t="s">
        <v>1</v>
      </c>
      <c r="G3" s="247"/>
      <c r="H3" s="247"/>
      <c r="I3" s="248"/>
      <c r="J3" s="246" t="s">
        <v>2</v>
      </c>
      <c r="K3" s="247"/>
      <c r="L3" s="247"/>
      <c r="M3" s="248"/>
      <c r="N3" s="246" t="s">
        <v>3</v>
      </c>
      <c r="O3" s="247"/>
      <c r="P3" s="247"/>
      <c r="Q3" s="248"/>
      <c r="R3" s="246" t="s">
        <v>5</v>
      </c>
      <c r="S3" s="247"/>
      <c r="T3" s="247"/>
      <c r="U3" s="248"/>
      <c r="V3" s="246" t="s">
        <v>4</v>
      </c>
      <c r="W3" s="247"/>
      <c r="X3" s="247"/>
      <c r="Y3" s="248"/>
      <c r="Z3" s="249" t="s">
        <v>12</v>
      </c>
      <c r="AA3" s="249"/>
      <c r="AB3" s="249"/>
      <c r="AC3" s="250"/>
    </row>
    <row r="4" spans="1:29" ht="25" customHeight="1" thickBot="1" x14ac:dyDescent="0.4">
      <c r="A4" s="45" t="s">
        <v>10</v>
      </c>
      <c r="B4" s="46" t="s">
        <v>6</v>
      </c>
      <c r="C4" s="46" t="s">
        <v>7</v>
      </c>
      <c r="D4" s="46" t="s">
        <v>8</v>
      </c>
      <c r="E4" s="46" t="s">
        <v>18</v>
      </c>
      <c r="F4" s="46" t="s">
        <v>6</v>
      </c>
      <c r="G4" s="46" t="s">
        <v>7</v>
      </c>
      <c r="H4" s="46" t="s">
        <v>8</v>
      </c>
      <c r="I4" s="46" t="s">
        <v>18</v>
      </c>
      <c r="J4" s="46" t="s">
        <v>6</v>
      </c>
      <c r="K4" s="46" t="s">
        <v>7</v>
      </c>
      <c r="L4" s="46" t="s">
        <v>8</v>
      </c>
      <c r="M4" s="46" t="s">
        <v>18</v>
      </c>
      <c r="N4" s="46" t="s">
        <v>6</v>
      </c>
      <c r="O4" s="46" t="s">
        <v>7</v>
      </c>
      <c r="P4" s="46" t="s">
        <v>8</v>
      </c>
      <c r="Q4" s="46" t="s">
        <v>18</v>
      </c>
      <c r="R4" s="46" t="s">
        <v>6</v>
      </c>
      <c r="S4" s="46" t="s">
        <v>7</v>
      </c>
      <c r="T4" s="46" t="s">
        <v>8</v>
      </c>
      <c r="U4" s="46" t="s">
        <v>18</v>
      </c>
      <c r="V4" s="46" t="s">
        <v>6</v>
      </c>
      <c r="W4" s="46" t="s">
        <v>7</v>
      </c>
      <c r="X4" s="46" t="s">
        <v>8</v>
      </c>
      <c r="Y4" s="46" t="s">
        <v>18</v>
      </c>
      <c r="Z4" s="46" t="s">
        <v>13</v>
      </c>
      <c r="AA4" s="46" t="s">
        <v>7</v>
      </c>
      <c r="AB4" s="46" t="s">
        <v>8</v>
      </c>
      <c r="AC4" s="47" t="s">
        <v>18</v>
      </c>
    </row>
    <row r="5" spans="1:29" ht="25" customHeight="1" x14ac:dyDescent="0.35">
      <c r="A5" s="48">
        <v>43435</v>
      </c>
      <c r="B5" s="51">
        <v>116711.22</v>
      </c>
      <c r="C5" s="51">
        <v>2352948.38</v>
      </c>
      <c r="D5" s="52">
        <f t="shared" ref="D5" si="0">B5/C5*100</f>
        <v>4.9602116643119896</v>
      </c>
      <c r="E5" s="53"/>
      <c r="F5" s="51">
        <v>1288177.7</v>
      </c>
      <c r="G5" s="51">
        <v>18939698.399999999</v>
      </c>
      <c r="H5" s="52">
        <f t="shared" ref="H5" si="1">F5/G5*100</f>
        <v>6.8014689188503663</v>
      </c>
      <c r="I5" s="53"/>
      <c r="J5" s="51">
        <v>73671.199999999997</v>
      </c>
      <c r="K5" s="51">
        <v>2050680</v>
      </c>
      <c r="L5" s="52">
        <f t="shared" ref="L5" si="2">J5/K5*100</f>
        <v>3.5925254062067218</v>
      </c>
      <c r="M5" s="53"/>
      <c r="N5" s="51">
        <v>215375.8</v>
      </c>
      <c r="O5" s="51">
        <v>3275877</v>
      </c>
      <c r="P5" s="52">
        <f t="shared" ref="P5" si="3">N5/O5*100</f>
        <v>6.5745997178770752</v>
      </c>
      <c r="Q5" s="54"/>
      <c r="R5" s="51">
        <v>228716.82</v>
      </c>
      <c r="S5" s="51">
        <v>5894969.3399999999</v>
      </c>
      <c r="T5" s="52">
        <f t="shared" ref="T5" si="4">R5/S5*100</f>
        <v>3.8798644540532932</v>
      </c>
      <c r="U5" s="55"/>
      <c r="V5" s="51">
        <v>64902.39</v>
      </c>
      <c r="W5" s="51">
        <v>807805.11</v>
      </c>
      <c r="X5" s="52">
        <f>V5/W5*100</f>
        <v>8.034411914032086</v>
      </c>
      <c r="Y5" s="53"/>
      <c r="Z5" s="51">
        <f t="shared" ref="Z5:AA5" si="5">B5+F5+J5+N5+R5+V5</f>
        <v>1987555.13</v>
      </c>
      <c r="AA5" s="51">
        <f t="shared" si="5"/>
        <v>33321978.229999997</v>
      </c>
      <c r="AB5" s="52">
        <f t="shared" ref="AB5" si="6">Z5/AA5*100</f>
        <v>5.9646972826198867</v>
      </c>
      <c r="AC5" s="56"/>
    </row>
    <row r="6" spans="1:29" ht="25" customHeight="1" x14ac:dyDescent="0.35">
      <c r="A6" s="49">
        <v>43466</v>
      </c>
      <c r="B6" s="57">
        <v>149868.63</v>
      </c>
      <c r="C6" s="57">
        <v>2951830.73</v>
      </c>
      <c r="D6" s="58">
        <f>B6/C6*100</f>
        <v>5.0771417370534655</v>
      </c>
      <c r="E6" s="59">
        <f>D6/D5-1</f>
        <v>2.3573605453729218E-2</v>
      </c>
      <c r="F6" s="60">
        <v>1956531.28</v>
      </c>
      <c r="G6" s="57">
        <v>29571288.199999999</v>
      </c>
      <c r="H6" s="61">
        <f>F6/G6*100</f>
        <v>6.6163207594047257</v>
      </c>
      <c r="I6" s="62">
        <f>H6/H5-1</f>
        <v>-2.7221790124262735E-2</v>
      </c>
      <c r="J6" s="57">
        <v>134221.79999999999</v>
      </c>
      <c r="K6" s="57">
        <v>3736621</v>
      </c>
      <c r="L6" s="61">
        <f>J6/K6*100</f>
        <v>3.5920635247727826</v>
      </c>
      <c r="M6" s="62">
        <f>L6/L5-1</f>
        <v>-1.2856733960497913E-4</v>
      </c>
      <c r="N6" s="57">
        <v>300546.24</v>
      </c>
      <c r="O6" s="57">
        <v>4487806</v>
      </c>
      <c r="P6" s="61">
        <f>N6/O6*100</f>
        <v>6.6969525866314186</v>
      </c>
      <c r="Q6" s="62">
        <f>P6/P5-1</f>
        <v>1.8609934293285058E-2</v>
      </c>
      <c r="R6" s="57">
        <v>300863.68</v>
      </c>
      <c r="S6" s="57">
        <v>7858155.2699999996</v>
      </c>
      <c r="T6" s="61">
        <f>R6/S6*100</f>
        <v>3.8286807738274682</v>
      </c>
      <c r="U6" s="63">
        <f>T6/T5-1</f>
        <v>-1.3192131022091047E-2</v>
      </c>
      <c r="V6" s="60">
        <v>73616.649999999994</v>
      </c>
      <c r="W6" s="57">
        <v>1033705</v>
      </c>
      <c r="X6" s="61">
        <f>V6/W6*100</f>
        <v>7.1216304458235182</v>
      </c>
      <c r="Y6" s="62">
        <f>X6/X5-1</f>
        <v>-0.11360899565211446</v>
      </c>
      <c r="Z6" s="64">
        <f>B6+F6+J6+N6+R6+V6</f>
        <v>2915648.2800000003</v>
      </c>
      <c r="AA6" s="64">
        <f>C6+G6+K6+O6+S6+W6</f>
        <v>49639406.200000003</v>
      </c>
      <c r="AB6" s="65">
        <f>Z6/AA6*100</f>
        <v>5.8736566433786237</v>
      </c>
      <c r="AC6" s="66">
        <f>AB6/AB5-1</f>
        <v>-1.5263245547521787E-2</v>
      </c>
    </row>
    <row r="7" spans="1:29" ht="25" customHeight="1" x14ac:dyDescent="0.35">
      <c r="A7" s="49">
        <v>43497</v>
      </c>
      <c r="B7" s="51">
        <v>126655.67</v>
      </c>
      <c r="C7" s="51">
        <v>2680357.14</v>
      </c>
      <c r="D7" s="58">
        <f t="shared" ref="D7:D17" si="7">B7/C7*100</f>
        <v>4.7253281329517147</v>
      </c>
      <c r="E7" s="59">
        <f t="shared" ref="E7:E17" si="8">D7/D6-1</f>
        <v>-6.9293634553115102E-2</v>
      </c>
      <c r="F7" s="67">
        <v>1759797.18</v>
      </c>
      <c r="G7" s="51">
        <v>26063516</v>
      </c>
      <c r="H7" s="61">
        <f t="shared" ref="H7:H17" si="9">F7/G7*100</f>
        <v>6.7519561827345171</v>
      </c>
      <c r="I7" s="62">
        <f t="shared" ref="I7:I14" si="10">H7/H6-1</f>
        <v>2.0500128131937023E-2</v>
      </c>
      <c r="J7" s="51">
        <v>111137.25</v>
      </c>
      <c r="K7" s="51">
        <v>3049707</v>
      </c>
      <c r="L7" s="61">
        <f t="shared" ref="L7:L17" si="11">J7/K7*100</f>
        <v>3.644194343915661</v>
      </c>
      <c r="M7" s="62">
        <f t="shared" ref="M7:M17" si="12">L7/L6-1</f>
        <v>1.4512777623044926E-2</v>
      </c>
      <c r="N7" s="51">
        <v>249022.49</v>
      </c>
      <c r="O7" s="51">
        <v>3767353</v>
      </c>
      <c r="P7" s="61">
        <f t="shared" ref="P7:P17" si="13">N7/O7*100</f>
        <v>6.6100121225698789</v>
      </c>
      <c r="Q7" s="62">
        <f t="shared" ref="Q7:Q17" si="14">P7/P6-1</f>
        <v>-1.2982093412919116E-2</v>
      </c>
      <c r="R7" s="51">
        <v>254846.43</v>
      </c>
      <c r="S7" s="51">
        <v>7246007.71</v>
      </c>
      <c r="T7" s="61">
        <f t="shared" ref="T7:T17" si="15">R7/S7*100</f>
        <v>3.5170598790323395</v>
      </c>
      <c r="U7" s="63">
        <f t="shared" ref="U7:U17" si="16">T7/T6-1</f>
        <v>-8.1391192738068496E-2</v>
      </c>
      <c r="V7" s="68">
        <v>63457.26</v>
      </c>
      <c r="W7" s="51">
        <v>759570</v>
      </c>
      <c r="X7" s="61">
        <f t="shared" ref="X7:X17" si="17">V7/W7*100</f>
        <v>8.3543662861882382</v>
      </c>
      <c r="Y7" s="62">
        <f t="shared" ref="Y7:Y17" si="18">X7/X6-1</f>
        <v>0.17309741775321386</v>
      </c>
      <c r="Z7" s="64">
        <f t="shared" ref="Z7:Z17" si="19">B7+F7+J7+N7+R7+V7</f>
        <v>2564916.2799999998</v>
      </c>
      <c r="AA7" s="64">
        <f t="shared" ref="AA7:AA17" si="20">C7+G7+K7+O7+S7+W7</f>
        <v>43566510.850000001</v>
      </c>
      <c r="AB7" s="65">
        <f t="shared" ref="AB7:AB17" si="21">Z7/AA7*100</f>
        <v>5.887357582596036</v>
      </c>
      <c r="AC7" s="66">
        <f t="shared" ref="AC7:AC17" si="22">AB7/AB6-1</f>
        <v>2.3326081262950993E-3</v>
      </c>
    </row>
    <row r="8" spans="1:29" ht="25" customHeight="1" x14ac:dyDescent="0.35">
      <c r="A8" s="49">
        <v>43525</v>
      </c>
      <c r="B8" s="67">
        <v>129098.1</v>
      </c>
      <c r="C8" s="51">
        <v>2777869.98</v>
      </c>
      <c r="D8" s="58">
        <f t="shared" si="7"/>
        <v>4.6473773405334118</v>
      </c>
      <c r="E8" s="59">
        <f t="shared" si="8"/>
        <v>-1.6496376595461992E-2</v>
      </c>
      <c r="F8" s="68">
        <v>1874223.32</v>
      </c>
      <c r="G8" s="51">
        <v>26302329.899999999</v>
      </c>
      <c r="H8" s="61">
        <f t="shared" si="9"/>
        <v>7.1256931500961826</v>
      </c>
      <c r="I8" s="62">
        <f t="shared" si="10"/>
        <v>5.535239821569804E-2</v>
      </c>
      <c r="J8" s="51">
        <v>139813.82999999999</v>
      </c>
      <c r="K8" s="51">
        <v>3772172</v>
      </c>
      <c r="L8" s="61">
        <f t="shared" si="11"/>
        <v>3.7064542656061281</v>
      </c>
      <c r="M8" s="62">
        <f t="shared" si="12"/>
        <v>1.7084687537155085E-2</v>
      </c>
      <c r="N8" s="51">
        <v>299684</v>
      </c>
      <c r="O8" s="51">
        <v>4424107</v>
      </c>
      <c r="P8" s="61">
        <f t="shared" si="13"/>
        <v>6.7738867979458908</v>
      </c>
      <c r="Q8" s="62">
        <f t="shared" si="14"/>
        <v>2.479188726696302E-2</v>
      </c>
      <c r="R8" s="51">
        <v>273997.71999999997</v>
      </c>
      <c r="S8" s="51">
        <v>7622475.0599999996</v>
      </c>
      <c r="T8" s="61">
        <f t="shared" si="15"/>
        <v>3.5946030369825834</v>
      </c>
      <c r="U8" s="63">
        <f t="shared" si="16"/>
        <v>2.2047721852145097E-2</v>
      </c>
      <c r="V8" s="68">
        <v>57555.23</v>
      </c>
      <c r="W8" s="51">
        <v>560477</v>
      </c>
      <c r="X8" s="61">
        <f t="shared" si="17"/>
        <v>10.268972678629098</v>
      </c>
      <c r="Y8" s="62">
        <f t="shared" si="18"/>
        <v>0.22917434151841776</v>
      </c>
      <c r="Z8" s="64">
        <f t="shared" si="19"/>
        <v>2774372.1999999997</v>
      </c>
      <c r="AA8" s="64">
        <f t="shared" si="20"/>
        <v>45459430.939999998</v>
      </c>
      <c r="AB8" s="65">
        <f t="shared" si="21"/>
        <v>6.1029628893986327</v>
      </c>
      <c r="AC8" s="66">
        <f t="shared" si="22"/>
        <v>3.6621744777310727E-2</v>
      </c>
    </row>
    <row r="9" spans="1:29" ht="25" customHeight="1" x14ac:dyDescent="0.35">
      <c r="A9" s="49">
        <v>43556</v>
      </c>
      <c r="B9" s="51">
        <v>147468.96</v>
      </c>
      <c r="C9" s="67">
        <v>3162191</v>
      </c>
      <c r="D9" s="58">
        <f t="shared" si="7"/>
        <v>4.6635057781139722</v>
      </c>
      <c r="E9" s="59">
        <f t="shared" si="8"/>
        <v>3.4704385718566932E-3</v>
      </c>
      <c r="F9" s="68">
        <v>2112745.83</v>
      </c>
      <c r="G9" s="51">
        <v>28556727.879999999</v>
      </c>
      <c r="H9" s="61">
        <f t="shared" si="9"/>
        <v>7.3984170696240152</v>
      </c>
      <c r="I9" s="62">
        <f t="shared" si="10"/>
        <v>3.8273317947202345E-2</v>
      </c>
      <c r="J9" s="51">
        <v>155419.34</v>
      </c>
      <c r="K9" s="51">
        <v>4514651</v>
      </c>
      <c r="L9" s="61">
        <f t="shared" si="11"/>
        <v>3.4425549173125449</v>
      </c>
      <c r="M9" s="62">
        <f t="shared" si="12"/>
        <v>-7.1199947276410547E-2</v>
      </c>
      <c r="N9" s="51">
        <v>280172.89</v>
      </c>
      <c r="O9" s="51">
        <v>4334004</v>
      </c>
      <c r="P9" s="61">
        <f t="shared" si="13"/>
        <v>6.4645277207865988</v>
      </c>
      <c r="Q9" s="62">
        <f t="shared" si="14"/>
        <v>-4.5669360352036281E-2</v>
      </c>
      <c r="R9" s="51">
        <v>267959.62</v>
      </c>
      <c r="S9" s="51">
        <v>7316100.5999999996</v>
      </c>
      <c r="T9" s="61">
        <f t="shared" si="15"/>
        <v>3.6626016323504351</v>
      </c>
      <c r="U9" s="63">
        <f t="shared" si="16"/>
        <v>1.891685804197496E-2</v>
      </c>
      <c r="V9" s="68">
        <v>63948.84</v>
      </c>
      <c r="W9" s="51">
        <v>643585</v>
      </c>
      <c r="X9" s="61">
        <f t="shared" si="17"/>
        <v>9.9363471802481413</v>
      </c>
      <c r="Y9" s="62">
        <f t="shared" si="18"/>
        <v>-3.2391312041679443E-2</v>
      </c>
      <c r="Z9" s="64">
        <f t="shared" si="19"/>
        <v>3027715.48</v>
      </c>
      <c r="AA9" s="64">
        <f t="shared" si="20"/>
        <v>48527259.479999997</v>
      </c>
      <c r="AB9" s="65">
        <f t="shared" si="21"/>
        <v>6.2392055773267829</v>
      </c>
      <c r="AC9" s="66">
        <f t="shared" si="22"/>
        <v>2.2324023658216063E-2</v>
      </c>
    </row>
    <row r="10" spans="1:29" ht="25" customHeight="1" x14ac:dyDescent="0.35">
      <c r="A10" s="81">
        <v>43586</v>
      </c>
      <c r="B10" s="82">
        <v>140760.93</v>
      </c>
      <c r="C10" s="83">
        <v>3147699.03</v>
      </c>
      <c r="D10" s="84">
        <f t="shared" si="7"/>
        <v>4.4718675025293004</v>
      </c>
      <c r="E10" s="86">
        <f t="shared" si="8"/>
        <v>-4.1093178544784559E-2</v>
      </c>
      <c r="F10" s="82">
        <v>2196256.71</v>
      </c>
      <c r="G10" s="83">
        <v>29503428.390000001</v>
      </c>
      <c r="H10" s="65">
        <f t="shared" si="9"/>
        <v>7.4440728750846024</v>
      </c>
      <c r="I10" s="85">
        <f t="shared" si="10"/>
        <v>6.1710234812306641E-3</v>
      </c>
      <c r="J10" s="83">
        <v>154799.28</v>
      </c>
      <c r="K10" s="83">
        <v>4365806</v>
      </c>
      <c r="L10" s="65">
        <f t="shared" si="11"/>
        <v>3.5457205382007353</v>
      </c>
      <c r="M10" s="85">
        <f t="shared" si="12"/>
        <v>2.9967748769779146E-2</v>
      </c>
      <c r="N10" s="83">
        <v>326230.43</v>
      </c>
      <c r="O10" s="83">
        <v>5199280</v>
      </c>
      <c r="P10" s="65">
        <f t="shared" si="13"/>
        <v>6.2745308965856808</v>
      </c>
      <c r="Q10" s="85">
        <f t="shared" si="14"/>
        <v>-2.9390673597080585E-2</v>
      </c>
      <c r="R10" s="83">
        <v>330194.65000000002</v>
      </c>
      <c r="S10" s="83">
        <v>8043860.0700000003</v>
      </c>
      <c r="T10" s="65">
        <f t="shared" si="15"/>
        <v>4.1049278222961432</v>
      </c>
      <c r="U10" s="87">
        <f t="shared" si="16"/>
        <v>0.12076830470417543</v>
      </c>
      <c r="V10" s="82">
        <v>59322.92</v>
      </c>
      <c r="W10" s="83">
        <v>703697</v>
      </c>
      <c r="X10" s="65">
        <f t="shared" si="17"/>
        <v>8.4301794664464946</v>
      </c>
      <c r="Y10" s="85">
        <f t="shared" si="18"/>
        <v>-0.15158163120504342</v>
      </c>
      <c r="Z10" s="64">
        <f t="shared" si="19"/>
        <v>3207564.92</v>
      </c>
      <c r="AA10" s="64">
        <f t="shared" si="20"/>
        <v>50963770.490000002</v>
      </c>
      <c r="AB10" s="65">
        <f t="shared" si="21"/>
        <v>6.2938139960217061</v>
      </c>
      <c r="AC10" s="66">
        <f t="shared" si="22"/>
        <v>8.7524634375519828E-3</v>
      </c>
    </row>
    <row r="11" spans="1:29" ht="25" customHeight="1" x14ac:dyDescent="0.35">
      <c r="A11" s="49">
        <v>43617</v>
      </c>
      <c r="B11" s="51">
        <v>162647.38</v>
      </c>
      <c r="C11" s="51">
        <v>3040101.72</v>
      </c>
      <c r="D11" s="69">
        <f t="shared" si="7"/>
        <v>5.3500637472090897</v>
      </c>
      <c r="E11" s="86">
        <f t="shared" si="8"/>
        <v>0.19638243847410042</v>
      </c>
      <c r="F11" s="88">
        <v>1813664.19</v>
      </c>
      <c r="G11" s="83">
        <v>25152553.120000001</v>
      </c>
      <c r="H11" s="89">
        <f t="shared" si="9"/>
        <v>7.2106564345464736</v>
      </c>
      <c r="I11" s="85">
        <f t="shared" si="10"/>
        <v>-3.1356012287221957E-2</v>
      </c>
      <c r="J11" s="83">
        <v>142402.49</v>
      </c>
      <c r="K11" s="83">
        <v>3842337</v>
      </c>
      <c r="L11" s="89">
        <f t="shared" si="11"/>
        <v>3.7061426418349037</v>
      </c>
      <c r="M11" s="85">
        <f t="shared" si="12"/>
        <v>4.5243865641925174E-2</v>
      </c>
      <c r="N11" s="83">
        <v>246421.42</v>
      </c>
      <c r="O11" s="83">
        <v>4044042.48</v>
      </c>
      <c r="P11" s="89">
        <f t="shared" si="13"/>
        <v>6.0934429155650216</v>
      </c>
      <c r="Q11" s="85">
        <f t="shared" si="14"/>
        <v>-2.8860799955451544E-2</v>
      </c>
      <c r="R11" s="83">
        <v>250955.43</v>
      </c>
      <c r="S11" s="83">
        <v>7066101.6600000001</v>
      </c>
      <c r="T11" s="89">
        <f t="shared" si="15"/>
        <v>3.5515400439342106</v>
      </c>
      <c r="U11" s="87">
        <f t="shared" si="16"/>
        <v>-0.13481059894797076</v>
      </c>
      <c r="V11" s="88">
        <v>88825.919999999998</v>
      </c>
      <c r="W11" s="83">
        <v>946176</v>
      </c>
      <c r="X11" s="89">
        <f t="shared" si="17"/>
        <v>9.3878855519480506</v>
      </c>
      <c r="Y11" s="85">
        <f t="shared" si="18"/>
        <v>0.11360447180435296</v>
      </c>
      <c r="Z11" s="70">
        <f t="shared" si="19"/>
        <v>2704916.8299999996</v>
      </c>
      <c r="AA11" s="64">
        <f t="shared" si="20"/>
        <v>44091311.980000004</v>
      </c>
      <c r="AB11" s="52">
        <f t="shared" si="21"/>
        <v>6.1348068554343786</v>
      </c>
      <c r="AC11" s="66">
        <f t="shared" si="22"/>
        <v>-2.5264035557427511E-2</v>
      </c>
    </row>
    <row r="12" spans="1:29" ht="25" customHeight="1" x14ac:dyDescent="0.35">
      <c r="A12" s="49">
        <v>43647</v>
      </c>
      <c r="B12" s="51">
        <v>155745.81</v>
      </c>
      <c r="C12" s="51">
        <v>3293737.34</v>
      </c>
      <c r="D12" s="69">
        <f t="shared" si="7"/>
        <v>4.7285437156321644</v>
      </c>
      <c r="E12" s="86">
        <f t="shared" si="8"/>
        <v>-0.11617058430399951</v>
      </c>
      <c r="F12" s="88">
        <v>1840871.12</v>
      </c>
      <c r="G12" s="82">
        <v>26370759.109999999</v>
      </c>
      <c r="H12" s="89">
        <f t="shared" si="9"/>
        <v>6.9807285877558494</v>
      </c>
      <c r="I12" s="85">
        <f t="shared" si="10"/>
        <v>-3.1887228143201107E-2</v>
      </c>
      <c r="J12" s="83">
        <v>121199.69</v>
      </c>
      <c r="K12" s="83">
        <v>3289947</v>
      </c>
      <c r="L12" s="89">
        <f t="shared" si="11"/>
        <v>3.6839405011691682</v>
      </c>
      <c r="M12" s="85">
        <f t="shared" si="12"/>
        <v>-5.9906330682251152E-3</v>
      </c>
      <c r="N12" s="83">
        <v>280822.61</v>
      </c>
      <c r="O12" s="83">
        <v>4363565</v>
      </c>
      <c r="P12" s="89">
        <f t="shared" si="13"/>
        <v>6.4356233950909409</v>
      </c>
      <c r="Q12" s="85">
        <f t="shared" si="14"/>
        <v>5.6155523940637497E-2</v>
      </c>
      <c r="R12" s="83">
        <v>301311.06</v>
      </c>
      <c r="S12" s="83">
        <v>8213315.6500000004</v>
      </c>
      <c r="T12" s="89">
        <f t="shared" si="15"/>
        <v>3.6685678822047949</v>
      </c>
      <c r="U12" s="87">
        <f t="shared" si="16"/>
        <v>3.2951293473505894E-2</v>
      </c>
      <c r="V12" s="88">
        <v>101141.31</v>
      </c>
      <c r="W12" s="83">
        <v>919339</v>
      </c>
      <c r="X12" s="89">
        <f t="shared" si="17"/>
        <v>11.001525008729098</v>
      </c>
      <c r="Y12" s="85">
        <f t="shared" si="18"/>
        <v>0.17188529279058007</v>
      </c>
      <c r="Z12" s="70">
        <f t="shared" si="19"/>
        <v>2801091.6</v>
      </c>
      <c r="AA12" s="70">
        <f t="shared" si="20"/>
        <v>46450663.100000001</v>
      </c>
      <c r="AB12" s="52">
        <f t="shared" si="21"/>
        <v>6.0302510514645382</v>
      </c>
      <c r="AC12" s="66">
        <f t="shared" si="22"/>
        <v>-1.7043047390680632E-2</v>
      </c>
    </row>
    <row r="13" spans="1:29" ht="25" customHeight="1" x14ac:dyDescent="0.35">
      <c r="A13" s="49">
        <v>43678</v>
      </c>
      <c r="B13" s="51">
        <v>150712.03</v>
      </c>
      <c r="C13" s="51">
        <v>3174219.04</v>
      </c>
      <c r="D13" s="69">
        <f t="shared" si="7"/>
        <v>4.7480034648144507</v>
      </c>
      <c r="E13" s="86">
        <f t="shared" si="8"/>
        <v>4.1153789311398903E-3</v>
      </c>
      <c r="F13" s="68">
        <v>1713090.64</v>
      </c>
      <c r="G13" s="51">
        <v>26513366.140000001</v>
      </c>
      <c r="H13" s="52">
        <f t="shared" si="9"/>
        <v>6.4612340468361218</v>
      </c>
      <c r="I13" s="85">
        <f t="shared" si="10"/>
        <v>-7.441838403958545E-2</v>
      </c>
      <c r="J13" s="67">
        <v>146778.94</v>
      </c>
      <c r="K13" s="51">
        <v>4067195</v>
      </c>
      <c r="L13" s="52">
        <f t="shared" si="11"/>
        <v>3.6088493421141599</v>
      </c>
      <c r="M13" s="85">
        <f t="shared" si="12"/>
        <v>-2.0383379978904825E-2</v>
      </c>
      <c r="N13" s="51">
        <v>278925.46000000002</v>
      </c>
      <c r="O13" s="51">
        <v>4343006</v>
      </c>
      <c r="P13" s="52">
        <f t="shared" si="13"/>
        <v>6.4224055872821735</v>
      </c>
      <c r="Q13" s="85">
        <f t="shared" si="14"/>
        <v>-2.0538504193471363E-3</v>
      </c>
      <c r="R13" s="51">
        <v>264419.69</v>
      </c>
      <c r="S13" s="51">
        <v>7930375.71</v>
      </c>
      <c r="T13" s="52">
        <f t="shared" si="15"/>
        <v>3.3342643484920087</v>
      </c>
      <c r="U13" s="87">
        <f t="shared" si="16"/>
        <v>-9.1126440738469094E-2</v>
      </c>
      <c r="V13" s="68">
        <v>93045.6</v>
      </c>
      <c r="W13" s="51">
        <v>1119953</v>
      </c>
      <c r="X13" s="52">
        <f t="shared" si="17"/>
        <v>8.3079914960717112</v>
      </c>
      <c r="Y13" s="85">
        <f t="shared" si="18"/>
        <v>-0.24483274005378508</v>
      </c>
      <c r="Z13" s="70">
        <f t="shared" si="19"/>
        <v>2646972.36</v>
      </c>
      <c r="AA13" s="70">
        <f t="shared" si="20"/>
        <v>47148114.890000001</v>
      </c>
      <c r="AB13" s="52">
        <f t="shared" si="21"/>
        <v>5.6141637182644093</v>
      </c>
      <c r="AC13" s="66">
        <f t="shared" si="22"/>
        <v>-6.9000001765942343E-2</v>
      </c>
    </row>
    <row r="14" spans="1:29" ht="25" customHeight="1" x14ac:dyDescent="0.35">
      <c r="A14" s="49">
        <v>43709</v>
      </c>
      <c r="B14" s="51">
        <v>154245.19</v>
      </c>
      <c r="C14" s="51">
        <v>2999763.37</v>
      </c>
      <c r="D14" s="69">
        <f t="shared" si="7"/>
        <v>5.1419119102051036</v>
      </c>
      <c r="E14" s="86">
        <f t="shared" si="8"/>
        <v>8.2962965025141777E-2</v>
      </c>
      <c r="F14" s="88">
        <v>1799492.62</v>
      </c>
      <c r="G14" s="83">
        <v>27086787.719999999</v>
      </c>
      <c r="H14" s="89">
        <f t="shared" si="9"/>
        <v>6.643433095875424</v>
      </c>
      <c r="I14" s="85">
        <f t="shared" si="10"/>
        <v>2.819880037135003E-2</v>
      </c>
      <c r="J14" s="83">
        <v>128828.88</v>
      </c>
      <c r="K14" s="83">
        <v>4064289</v>
      </c>
      <c r="L14" s="89">
        <f t="shared" si="11"/>
        <v>3.1697765587043638</v>
      </c>
      <c r="M14" s="85">
        <f t="shared" si="12"/>
        <v>-0.12166558971746255</v>
      </c>
      <c r="N14" s="83">
        <v>303588.40000000002</v>
      </c>
      <c r="O14" s="83">
        <v>4788224</v>
      </c>
      <c r="P14" s="89">
        <f t="shared" si="13"/>
        <v>6.3403132351368701</v>
      </c>
      <c r="Q14" s="85">
        <f t="shared" si="14"/>
        <v>-1.2782181229392453E-2</v>
      </c>
      <c r="R14" s="83">
        <v>282711.78999999998</v>
      </c>
      <c r="S14" s="83">
        <v>7877213.8099999996</v>
      </c>
      <c r="T14" s="89">
        <f t="shared" si="15"/>
        <v>3.5889820540493873</v>
      </c>
      <c r="U14" s="87">
        <f t="shared" si="16"/>
        <v>7.6393974482731108E-2</v>
      </c>
      <c r="V14" s="83">
        <v>106848</v>
      </c>
      <c r="W14" s="83">
        <v>1136687</v>
      </c>
      <c r="X14" s="89">
        <f t="shared" si="17"/>
        <v>9.3999491504697428</v>
      </c>
      <c r="Y14" s="85">
        <f t="shared" si="18"/>
        <v>0.1314346138792204</v>
      </c>
      <c r="Z14" s="95">
        <f t="shared" si="19"/>
        <v>2775714.88</v>
      </c>
      <c r="AA14" s="95">
        <f t="shared" si="20"/>
        <v>47952964.900000006</v>
      </c>
      <c r="AB14" s="89">
        <f t="shared" si="21"/>
        <v>5.7884113855908828</v>
      </c>
      <c r="AC14" s="66">
        <f t="shared" si="22"/>
        <v>3.1037154609438566E-2</v>
      </c>
    </row>
    <row r="15" spans="1:29" ht="25" customHeight="1" x14ac:dyDescent="0.35">
      <c r="A15" s="49">
        <v>43739</v>
      </c>
      <c r="B15" s="51">
        <v>153185.26</v>
      </c>
      <c r="C15" s="51">
        <v>3726470.63</v>
      </c>
      <c r="D15" s="69">
        <f t="shared" si="7"/>
        <v>4.110733055743955</v>
      </c>
      <c r="E15" s="86">
        <f t="shared" si="8"/>
        <v>-0.20054385848473555</v>
      </c>
      <c r="F15" s="68">
        <v>1905558.24</v>
      </c>
      <c r="G15" s="51">
        <v>29763884.879999999</v>
      </c>
      <c r="H15" s="52">
        <f t="shared" si="9"/>
        <v>6.4022497321256946</v>
      </c>
      <c r="I15" s="85">
        <f>H15/H14-1</f>
        <v>-3.6304025384024441E-2</v>
      </c>
      <c r="J15" s="51">
        <v>87312.73</v>
      </c>
      <c r="K15" s="51">
        <v>3367090</v>
      </c>
      <c r="L15" s="52">
        <f t="shared" si="11"/>
        <v>2.5931213599874074</v>
      </c>
      <c r="M15" s="85">
        <f t="shared" si="12"/>
        <v>-0.18192298038593058</v>
      </c>
      <c r="N15" s="51">
        <v>326013.71000000002</v>
      </c>
      <c r="O15" s="51">
        <v>5021546.72</v>
      </c>
      <c r="P15" s="52">
        <f t="shared" si="13"/>
        <v>6.4922966603405419</v>
      </c>
      <c r="Q15" s="85">
        <f t="shared" si="14"/>
        <v>2.3970964772120018E-2</v>
      </c>
      <c r="R15" s="51">
        <v>282490.76</v>
      </c>
      <c r="S15" s="51">
        <v>7938305.3300000001</v>
      </c>
      <c r="T15" s="52">
        <f t="shared" si="15"/>
        <v>3.5585776592949467</v>
      </c>
      <c r="U15" s="87">
        <f t="shared" si="16"/>
        <v>-8.4715928629779391E-3</v>
      </c>
      <c r="V15" s="51">
        <v>133655.6</v>
      </c>
      <c r="W15" s="51">
        <v>1544489</v>
      </c>
      <c r="X15" s="52">
        <f t="shared" si="17"/>
        <v>8.653710062033463</v>
      </c>
      <c r="Y15" s="85">
        <f t="shared" si="18"/>
        <v>-7.9387566516675001E-2</v>
      </c>
      <c r="Z15" s="70">
        <f t="shared" si="19"/>
        <v>2888216.3000000003</v>
      </c>
      <c r="AA15" s="70">
        <f t="shared" si="20"/>
        <v>51361786.559999995</v>
      </c>
      <c r="AB15" s="52">
        <f t="shared" si="21"/>
        <v>5.6232784983560364</v>
      </c>
      <c r="AC15" s="66">
        <f t="shared" si="22"/>
        <v>-2.8528187828168572E-2</v>
      </c>
    </row>
    <row r="16" spans="1:29" ht="25" customHeight="1" x14ac:dyDescent="0.35">
      <c r="A16" s="49">
        <v>43770</v>
      </c>
      <c r="B16" s="51">
        <v>108834.37</v>
      </c>
      <c r="C16" s="51">
        <v>2557787.7000000002</v>
      </c>
      <c r="D16" s="52">
        <f t="shared" si="7"/>
        <v>4.2550196797021105</v>
      </c>
      <c r="E16" s="86">
        <f t="shared" si="8"/>
        <v>3.5099974141240553E-2</v>
      </c>
      <c r="F16" s="83">
        <v>1504525.9</v>
      </c>
      <c r="G16" s="83">
        <v>23678838.550000001</v>
      </c>
      <c r="H16" s="89">
        <f t="shared" si="9"/>
        <v>6.3538838563515592</v>
      </c>
      <c r="I16" s="85">
        <f>H16/H15-1</f>
        <v>-7.5545125225967569E-3</v>
      </c>
      <c r="J16" s="83">
        <v>98773.33</v>
      </c>
      <c r="K16" s="83">
        <v>3660399</v>
      </c>
      <c r="L16" s="89">
        <f t="shared" si="11"/>
        <v>2.6984306902061768</v>
      </c>
      <c r="M16" s="85">
        <f t="shared" si="12"/>
        <v>4.061103033730773E-2</v>
      </c>
      <c r="N16" s="83">
        <v>229494.75</v>
      </c>
      <c r="O16" s="83">
        <v>3607476</v>
      </c>
      <c r="P16" s="89">
        <f t="shared" si="13"/>
        <v>6.3616431543827314</v>
      </c>
      <c r="Q16" s="85">
        <f t="shared" si="14"/>
        <v>-2.0124389379174934E-2</v>
      </c>
      <c r="R16" s="83">
        <v>232732.89</v>
      </c>
      <c r="S16" s="83">
        <v>6698555.3600000003</v>
      </c>
      <c r="T16" s="89">
        <f t="shared" si="15"/>
        <v>3.4743743612204767</v>
      </c>
      <c r="U16" s="87">
        <f t="shared" si="16"/>
        <v>-2.3662065616169015E-2</v>
      </c>
      <c r="V16" s="83">
        <v>105868.61</v>
      </c>
      <c r="W16" s="83">
        <v>1235941.8</v>
      </c>
      <c r="X16" s="89">
        <f t="shared" si="17"/>
        <v>8.5658248632743064</v>
      </c>
      <c r="Y16" s="85">
        <f t="shared" si="18"/>
        <v>-1.0155782679239111E-2</v>
      </c>
      <c r="Z16" s="83">
        <f t="shared" si="19"/>
        <v>2280229.85</v>
      </c>
      <c r="AA16" s="83">
        <f t="shared" si="20"/>
        <v>41438998.409999996</v>
      </c>
      <c r="AB16" s="89">
        <f t="shared" si="21"/>
        <v>5.5026181555820095</v>
      </c>
      <c r="AC16" s="66">
        <f t="shared" si="22"/>
        <v>-2.1457294496315948E-2</v>
      </c>
    </row>
    <row r="17" spans="1:29" ht="25" customHeight="1" x14ac:dyDescent="0.35">
      <c r="A17" s="49">
        <v>43800</v>
      </c>
      <c r="B17" s="51">
        <v>145468.54</v>
      </c>
      <c r="C17" s="51">
        <v>2627868.2799999998</v>
      </c>
      <c r="D17" s="52">
        <f t="shared" si="7"/>
        <v>5.5356100268465518</v>
      </c>
      <c r="E17" s="90">
        <f t="shared" si="8"/>
        <v>0.30095991171399095</v>
      </c>
      <c r="F17" s="51">
        <v>1430554.42</v>
      </c>
      <c r="G17" s="51">
        <v>22400208.32</v>
      </c>
      <c r="H17" s="52">
        <f t="shared" si="9"/>
        <v>6.3863442677125963</v>
      </c>
      <c r="I17" s="91">
        <f>H17/H16-1</f>
        <v>5.1087511347234216E-3</v>
      </c>
      <c r="J17" s="51">
        <v>104686.57</v>
      </c>
      <c r="K17" s="51">
        <v>3989476</v>
      </c>
      <c r="L17" s="52">
        <f t="shared" si="11"/>
        <v>2.6240681733641211</v>
      </c>
      <c r="M17" s="91">
        <f t="shared" si="12"/>
        <v>-2.7557690146332359E-2</v>
      </c>
      <c r="N17" s="51">
        <v>277369.94</v>
      </c>
      <c r="O17" s="51">
        <v>4062040</v>
      </c>
      <c r="P17" s="52">
        <f t="shared" si="13"/>
        <v>6.8283409321424706</v>
      </c>
      <c r="Q17" s="91">
        <f t="shared" si="14"/>
        <v>7.3361200311623298E-2</v>
      </c>
      <c r="R17" s="51">
        <v>215085.11</v>
      </c>
      <c r="S17" s="51">
        <v>6117055.79</v>
      </c>
      <c r="T17" s="52">
        <f t="shared" si="15"/>
        <v>3.5161541333596369</v>
      </c>
      <c r="U17" s="92">
        <f t="shared" si="16"/>
        <v>1.2025121013293338E-2</v>
      </c>
      <c r="V17" s="51">
        <v>115314.44</v>
      </c>
      <c r="W17" s="51">
        <v>1236426.68</v>
      </c>
      <c r="X17" s="52">
        <f t="shared" si="17"/>
        <v>9.3264276697749686</v>
      </c>
      <c r="Y17" s="91">
        <f t="shared" si="18"/>
        <v>8.8795045268987627E-2</v>
      </c>
      <c r="Z17" s="51">
        <f t="shared" si="19"/>
        <v>2288479.02</v>
      </c>
      <c r="AA17" s="51">
        <f t="shared" si="20"/>
        <v>40433075.07</v>
      </c>
      <c r="AB17" s="52">
        <f t="shared" si="21"/>
        <v>5.6599183120206842</v>
      </c>
      <c r="AC17" s="93">
        <f t="shared" si="22"/>
        <v>2.8586420498595722E-2</v>
      </c>
    </row>
    <row r="18" spans="1:29" ht="25" customHeight="1" x14ac:dyDescent="0.35">
      <c r="A18" s="77" t="s">
        <v>17</v>
      </c>
      <c r="B18" s="78">
        <f>SUM(B5:B17)</f>
        <v>1841402.0899999999</v>
      </c>
      <c r="C18" s="78">
        <f>SUM(C5:C17)</f>
        <v>38492844.340000004</v>
      </c>
      <c r="D18" s="78"/>
      <c r="E18" s="78"/>
      <c r="F18" s="78">
        <f>SUM(F5:F17)</f>
        <v>23195489.149999999</v>
      </c>
      <c r="G18" s="78">
        <f>SUM(G5:G17)</f>
        <v>339903386.61000001</v>
      </c>
      <c r="H18" s="78"/>
      <c r="I18" s="78"/>
      <c r="J18" s="78">
        <f>SUM(J5:J17)</f>
        <v>1599045.3299999998</v>
      </c>
      <c r="K18" s="78">
        <f>SUM(K5:K17)</f>
        <v>47770370</v>
      </c>
      <c r="L18" s="78"/>
      <c r="M18" s="78"/>
      <c r="N18" s="78">
        <f>SUM(N5:N17)</f>
        <v>3613668.1399999997</v>
      </c>
      <c r="O18" s="78">
        <f>SUM(O5:O17)</f>
        <v>55718327.200000003</v>
      </c>
      <c r="P18" s="78"/>
      <c r="Q18" s="78"/>
      <c r="R18" s="78">
        <f>SUM(R5:R17)</f>
        <v>3486285.6499999994</v>
      </c>
      <c r="S18" s="78">
        <f>SUM(S5:S17)</f>
        <v>95822491.359999999</v>
      </c>
      <c r="T18" s="78"/>
      <c r="U18" s="78"/>
      <c r="V18" s="78">
        <f>SUM(V5:V17)</f>
        <v>1127502.77</v>
      </c>
      <c r="W18" s="78">
        <f>SUM(W5:W17)</f>
        <v>12647851.59</v>
      </c>
      <c r="X18" s="78"/>
      <c r="Y18" s="78"/>
      <c r="Z18" s="78">
        <f>SUM(Z5:Z17)</f>
        <v>34863393.130000003</v>
      </c>
      <c r="AA18" s="78">
        <f>SUM(AA5:AA17)</f>
        <v>590355271.10000014</v>
      </c>
      <c r="AB18" s="79"/>
      <c r="AC18" s="80"/>
    </row>
    <row r="19" spans="1:29" ht="25" customHeight="1" thickBot="1" x14ac:dyDescent="0.4">
      <c r="A19" s="45" t="s">
        <v>23</v>
      </c>
      <c r="B19" s="72">
        <f>AVERAGE(B5:B17)</f>
        <v>141646.31461538462</v>
      </c>
      <c r="C19" s="72">
        <f>AVERAGE(C5:C17)</f>
        <v>2960988.0261538466</v>
      </c>
      <c r="D19" s="74">
        <f>AVERAGE(D6:D17)</f>
        <v>4.7879255076112743</v>
      </c>
      <c r="E19" s="73"/>
      <c r="F19" s="76">
        <f>AVERAGE(F5:F17)</f>
        <v>1784268.3961538461</v>
      </c>
      <c r="G19" s="76">
        <f>AVERAGE(G5:G17)</f>
        <v>26146414.354615387</v>
      </c>
      <c r="H19" s="74">
        <f>AVERAGE(H6:H17)</f>
        <v>6.8145825048456468</v>
      </c>
      <c r="I19" s="74"/>
      <c r="J19" s="76">
        <f>AVERAGE(J5:J17)</f>
        <v>123003.48692307691</v>
      </c>
      <c r="K19" s="76">
        <f>AVERAGE(K5:K17)</f>
        <v>3674643.846153846</v>
      </c>
      <c r="L19" s="74">
        <f>AVERAGE(L6:L17)</f>
        <v>3.334609738099013</v>
      </c>
      <c r="M19" s="74"/>
      <c r="N19" s="76">
        <f>AVERAGE(N5:N17)</f>
        <v>277974.47230769228</v>
      </c>
      <c r="O19" s="76">
        <f>AVERAGE(O5:O17)</f>
        <v>4286025.1692307694</v>
      </c>
      <c r="P19" s="74">
        <f>AVERAGE(P6:P17)</f>
        <v>6.4828313337050174</v>
      </c>
      <c r="Q19" s="74"/>
      <c r="R19" s="76">
        <f>AVERAGE(R5:R17)</f>
        <v>268175.81923076918</v>
      </c>
      <c r="S19" s="76">
        <f>AVERAGE(S5:S17)</f>
        <v>7370960.8738461537</v>
      </c>
      <c r="T19" s="74">
        <f>AVERAGE(T6:T17)</f>
        <v>3.6166944689203695</v>
      </c>
      <c r="U19" s="74"/>
      <c r="V19" s="76">
        <f>AVERAGE(V5:V17)</f>
        <v>86730.982307692306</v>
      </c>
      <c r="W19" s="76">
        <f>AVERAGE(W5:W17)</f>
        <v>972911.6607692308</v>
      </c>
      <c r="X19" s="74">
        <f>AVERAGE(X6:X17)</f>
        <v>9.0629008216364024</v>
      </c>
      <c r="Y19" s="74"/>
      <c r="Z19" s="76">
        <f>AVERAGE(Z5:Z17)</f>
        <v>2681799.4715384617</v>
      </c>
      <c r="AA19" s="76">
        <f>AVERAGE(AA5:AA17)</f>
        <v>45411943.930769242</v>
      </c>
      <c r="AB19" s="74">
        <f>AVERAGE(AB6:AB17)</f>
        <v>5.8958703887862258</v>
      </c>
      <c r="AC19" s="75"/>
    </row>
    <row r="20" spans="1:29" ht="25" customHeight="1" x14ac:dyDescent="0.35">
      <c r="A20" s="41" t="s">
        <v>14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71"/>
      <c r="Q20" s="71"/>
      <c r="R20" s="71"/>
      <c r="S20" s="71"/>
      <c r="T20" s="71"/>
      <c r="U20" s="71"/>
      <c r="V20" s="50"/>
      <c r="W20" s="50"/>
      <c r="X20" s="50"/>
      <c r="Y20" s="50"/>
      <c r="Z20" s="50"/>
      <c r="AA20" s="50"/>
      <c r="AB20" s="50"/>
      <c r="AC20" s="50"/>
    </row>
    <row r="21" spans="1:29" ht="25" customHeight="1" x14ac:dyDescent="0.35">
      <c r="A21" s="41" t="s">
        <v>24</v>
      </c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50"/>
      <c r="AA21" s="50"/>
      <c r="AB21" s="50"/>
      <c r="AC21" s="50"/>
    </row>
    <row r="22" spans="1:29" ht="25" customHeight="1" x14ac:dyDescent="0.35">
      <c r="A22" s="94" t="s">
        <v>25</v>
      </c>
      <c r="B22" s="94"/>
      <c r="C22" s="94"/>
      <c r="D22" s="94"/>
      <c r="E22" s="94"/>
      <c r="F22" s="94"/>
      <c r="G22" s="94"/>
      <c r="H22" s="94"/>
      <c r="I22" s="94"/>
      <c r="J22" s="94"/>
      <c r="K22" s="94"/>
      <c r="L22" s="94"/>
      <c r="M22" s="94"/>
      <c r="N22" s="94"/>
      <c r="O22" s="94"/>
      <c r="P22" s="94"/>
      <c r="Q22" s="96"/>
      <c r="R22" s="96"/>
      <c r="S22" s="71"/>
      <c r="T22" s="71"/>
      <c r="U22" s="71"/>
      <c r="V22" s="50"/>
      <c r="W22" s="50"/>
      <c r="X22" s="50"/>
      <c r="Y22" s="50"/>
      <c r="Z22" s="50"/>
      <c r="AA22" s="50"/>
      <c r="AB22" s="50"/>
      <c r="AC22" s="50"/>
    </row>
    <row r="23" spans="1:29" ht="25" customHeight="1" x14ac:dyDescent="0.35">
      <c r="A23" s="256" t="s">
        <v>27</v>
      </c>
      <c r="B23" s="256"/>
      <c r="C23" s="256"/>
      <c r="D23" s="256"/>
      <c r="E23" s="256"/>
      <c r="F23" s="256"/>
      <c r="G23" s="256"/>
      <c r="H23" s="256"/>
      <c r="I23" s="256"/>
      <c r="J23" s="256"/>
      <c r="K23" s="256"/>
      <c r="L23" s="256"/>
      <c r="M23" s="256"/>
      <c r="N23" s="256"/>
      <c r="O23" s="256"/>
      <c r="P23" s="256"/>
      <c r="Q23" s="256"/>
      <c r="R23" s="42"/>
      <c r="S23" s="42"/>
      <c r="T23" s="71"/>
      <c r="U23" s="71"/>
    </row>
    <row r="24" spans="1:29" ht="25" customHeight="1" x14ac:dyDescent="0.35">
      <c r="A24" s="256" t="s">
        <v>26</v>
      </c>
      <c r="B24" s="256"/>
      <c r="C24" s="256"/>
      <c r="D24" s="256"/>
      <c r="E24" s="256"/>
      <c r="F24" s="256"/>
      <c r="G24" s="256"/>
      <c r="H24" s="256"/>
      <c r="I24" s="256"/>
      <c r="J24" s="256"/>
      <c r="K24" s="256"/>
      <c r="L24" s="256"/>
      <c r="M24" s="256"/>
      <c r="N24" s="256"/>
      <c r="O24" s="256"/>
      <c r="P24" s="256"/>
      <c r="Q24" s="256"/>
      <c r="R24" s="42"/>
      <c r="S24" s="42"/>
      <c r="T24" s="71"/>
      <c r="U24" s="71"/>
    </row>
    <row r="25" spans="1:29" ht="25" customHeight="1" x14ac:dyDescent="0.35">
      <c r="A25" s="257" t="s">
        <v>28</v>
      </c>
      <c r="B25" s="257"/>
      <c r="C25" s="257"/>
      <c r="D25" s="257"/>
      <c r="E25" s="257"/>
      <c r="F25" s="257"/>
      <c r="G25" s="257"/>
      <c r="H25" s="257"/>
      <c r="I25" s="257"/>
      <c r="J25" s="257"/>
      <c r="K25" s="257"/>
      <c r="L25" s="257"/>
      <c r="M25" s="257"/>
      <c r="N25" s="257"/>
      <c r="O25" s="257"/>
      <c r="P25" s="257"/>
      <c r="Q25" s="257"/>
      <c r="R25" s="43"/>
      <c r="S25" s="43"/>
    </row>
    <row r="26" spans="1:29" ht="25" customHeight="1" x14ac:dyDescent="0.35">
      <c r="A26" s="257" t="s">
        <v>29</v>
      </c>
      <c r="B26" s="257"/>
      <c r="C26" s="257"/>
      <c r="D26" s="257"/>
      <c r="E26" s="257"/>
      <c r="F26" s="257"/>
      <c r="G26" s="257"/>
      <c r="H26" s="257"/>
      <c r="I26" s="257"/>
      <c r="J26" s="257"/>
      <c r="K26" s="257"/>
      <c r="L26" s="257"/>
      <c r="M26" s="257"/>
      <c r="N26" s="257"/>
      <c r="O26" s="257"/>
      <c r="P26" s="257"/>
      <c r="Q26" s="257"/>
      <c r="R26" s="43"/>
      <c r="S26" s="43"/>
    </row>
    <row r="27" spans="1:29" ht="25" customHeight="1" x14ac:dyDescent="0.35">
      <c r="A27" s="257" t="s">
        <v>30</v>
      </c>
      <c r="B27" s="257"/>
      <c r="C27" s="257"/>
      <c r="D27" s="257"/>
      <c r="E27" s="257"/>
      <c r="F27" s="257"/>
      <c r="G27" s="257"/>
      <c r="H27" s="257"/>
      <c r="I27" s="257"/>
      <c r="J27" s="257"/>
      <c r="K27" s="257"/>
      <c r="L27" s="257"/>
      <c r="M27" s="257"/>
      <c r="N27" s="257"/>
      <c r="O27" s="257"/>
      <c r="P27" s="257"/>
      <c r="Q27" s="257"/>
      <c r="R27" s="43"/>
      <c r="S27" s="43"/>
    </row>
    <row r="28" spans="1:29" x14ac:dyDescent="0.35">
      <c r="A28" s="43"/>
      <c r="B28" s="43"/>
      <c r="C28" s="43"/>
      <c r="D28" s="43"/>
      <c r="E28" s="43"/>
      <c r="F28" s="43"/>
      <c r="G28" s="43"/>
      <c r="H28" s="43"/>
      <c r="I28" s="43"/>
      <c r="J28" s="43"/>
      <c r="K28" s="43"/>
      <c r="L28" s="43"/>
      <c r="M28" s="43"/>
      <c r="N28" s="43"/>
      <c r="O28" s="43"/>
      <c r="P28" s="43"/>
      <c r="Q28" s="43"/>
      <c r="R28" s="43"/>
      <c r="S28" s="43"/>
    </row>
    <row r="29" spans="1:29" x14ac:dyDescent="0.35">
      <c r="A29" s="43"/>
      <c r="B29" s="43"/>
      <c r="C29" s="43"/>
      <c r="D29" s="43"/>
      <c r="E29" s="43"/>
      <c r="F29" s="43"/>
      <c r="G29" s="43"/>
      <c r="H29" s="43"/>
      <c r="I29" s="43"/>
      <c r="J29" s="43"/>
      <c r="K29" s="43"/>
      <c r="L29" s="43"/>
      <c r="M29" s="43"/>
      <c r="N29" s="43"/>
      <c r="O29" s="43"/>
      <c r="P29" s="43"/>
      <c r="Q29" s="43"/>
      <c r="R29" s="43"/>
      <c r="S29" s="43"/>
    </row>
  </sheetData>
  <mergeCells count="13">
    <mergeCell ref="A23:Q23"/>
    <mergeCell ref="A24:Q24"/>
    <mergeCell ref="A25:Q25"/>
    <mergeCell ref="A26:Q26"/>
    <mergeCell ref="A27:Q27"/>
    <mergeCell ref="A1:AB1"/>
    <mergeCell ref="B3:E3"/>
    <mergeCell ref="F3:I3"/>
    <mergeCell ref="J3:M3"/>
    <mergeCell ref="N3:Q3"/>
    <mergeCell ref="R3:U3"/>
    <mergeCell ref="V3:Y3"/>
    <mergeCell ref="Z3:AC3"/>
  </mergeCells>
  <pageMargins left="0.7" right="0.7" top="0.75" bottom="0.75" header="0.3" footer="0.3"/>
  <pageSetup scale="50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C27"/>
  <sheetViews>
    <sheetView topLeftCell="H7" zoomScale="90" zoomScaleNormal="90" workbookViewId="0">
      <selection activeCell="H12" sqref="A12:XFD12"/>
    </sheetView>
  </sheetViews>
  <sheetFormatPr defaultRowHeight="14.5" x14ac:dyDescent="0.35"/>
  <cols>
    <col min="1" max="1" width="7.7265625" customWidth="1"/>
    <col min="2" max="3" width="10.7265625" customWidth="1"/>
    <col min="4" max="5" width="5.7265625" customWidth="1"/>
    <col min="6" max="6" width="11.1796875" bestFit="1" customWidth="1"/>
    <col min="7" max="7" width="10.7265625" customWidth="1"/>
    <col min="8" max="9" width="5.7265625" customWidth="1"/>
    <col min="10" max="11" width="10.7265625" customWidth="1"/>
    <col min="12" max="13" width="5.7265625" customWidth="1"/>
    <col min="14" max="15" width="10.7265625" customWidth="1"/>
    <col min="16" max="17" width="5.7265625" customWidth="1"/>
    <col min="18" max="19" width="10.7265625" customWidth="1"/>
    <col min="20" max="21" width="5.7265625" customWidth="1"/>
    <col min="22" max="23" width="10.7265625" customWidth="1"/>
    <col min="24" max="25" width="5.7265625" customWidth="1"/>
    <col min="26" max="27" width="11.7265625" customWidth="1"/>
    <col min="28" max="29" width="5.7265625" customWidth="1"/>
  </cols>
  <sheetData>
    <row r="1" spans="1:29" ht="20.25" x14ac:dyDescent="0.3">
      <c r="A1" s="245" t="s">
        <v>31</v>
      </c>
      <c r="B1" s="245"/>
      <c r="C1" s="245"/>
      <c r="D1" s="245"/>
      <c r="E1" s="245"/>
      <c r="F1" s="245"/>
      <c r="G1" s="245"/>
      <c r="H1" s="245"/>
      <c r="I1" s="245"/>
      <c r="J1" s="245"/>
      <c r="K1" s="245"/>
      <c r="L1" s="245"/>
      <c r="M1" s="245"/>
      <c r="N1" s="245"/>
      <c r="O1" s="245"/>
      <c r="P1" s="245"/>
      <c r="Q1" s="245"/>
      <c r="R1" s="245"/>
      <c r="S1" s="245"/>
      <c r="T1" s="245"/>
      <c r="U1" s="245"/>
      <c r="V1" s="245"/>
      <c r="W1" s="245"/>
      <c r="X1" s="245"/>
      <c r="Y1" s="245"/>
      <c r="Z1" s="245"/>
      <c r="AA1" s="245"/>
      <c r="AB1" s="245"/>
    </row>
    <row r="2" spans="1:29" ht="15.75" thickBot="1" x14ac:dyDescent="0.3"/>
    <row r="3" spans="1:29" ht="25" customHeight="1" x14ac:dyDescent="0.25">
      <c r="A3" s="44" t="s">
        <v>9</v>
      </c>
      <c r="B3" s="246" t="s">
        <v>0</v>
      </c>
      <c r="C3" s="247"/>
      <c r="D3" s="247"/>
      <c r="E3" s="248"/>
      <c r="F3" s="246" t="s">
        <v>1</v>
      </c>
      <c r="G3" s="247"/>
      <c r="H3" s="247"/>
      <c r="I3" s="248"/>
      <c r="J3" s="246" t="s">
        <v>2</v>
      </c>
      <c r="K3" s="247"/>
      <c r="L3" s="247"/>
      <c r="M3" s="248"/>
      <c r="N3" s="246" t="s">
        <v>3</v>
      </c>
      <c r="O3" s="247"/>
      <c r="P3" s="247"/>
      <c r="Q3" s="248"/>
      <c r="R3" s="246" t="s">
        <v>5</v>
      </c>
      <c r="S3" s="247"/>
      <c r="T3" s="247"/>
      <c r="U3" s="248"/>
      <c r="V3" s="246" t="s">
        <v>4</v>
      </c>
      <c r="W3" s="247"/>
      <c r="X3" s="247"/>
      <c r="Y3" s="248"/>
      <c r="Z3" s="249" t="s">
        <v>12</v>
      </c>
      <c r="AA3" s="249"/>
      <c r="AB3" s="249"/>
      <c r="AC3" s="250"/>
    </row>
    <row r="4" spans="1:29" ht="25" customHeight="1" thickBot="1" x14ac:dyDescent="0.3">
      <c r="A4" s="45" t="s">
        <v>10</v>
      </c>
      <c r="B4" s="46" t="s">
        <v>34</v>
      </c>
      <c r="C4" s="46" t="s">
        <v>33</v>
      </c>
      <c r="D4" s="46" t="s">
        <v>37</v>
      </c>
      <c r="E4" s="46" t="s">
        <v>18</v>
      </c>
      <c r="F4" s="46" t="s">
        <v>34</v>
      </c>
      <c r="G4" s="46" t="s">
        <v>33</v>
      </c>
      <c r="H4" s="46" t="s">
        <v>37</v>
      </c>
      <c r="I4" s="46" t="s">
        <v>18</v>
      </c>
      <c r="J4" s="46" t="s">
        <v>34</v>
      </c>
      <c r="K4" s="46" t="s">
        <v>33</v>
      </c>
      <c r="L4" s="46" t="s">
        <v>37</v>
      </c>
      <c r="M4" s="46" t="s">
        <v>18</v>
      </c>
      <c r="N4" s="46" t="s">
        <v>34</v>
      </c>
      <c r="O4" s="46" t="s">
        <v>33</v>
      </c>
      <c r="P4" s="46" t="s">
        <v>37</v>
      </c>
      <c r="Q4" s="46" t="s">
        <v>18</v>
      </c>
      <c r="R4" s="46" t="s">
        <v>34</v>
      </c>
      <c r="S4" s="46" t="s">
        <v>33</v>
      </c>
      <c r="T4" s="46" t="s">
        <v>37</v>
      </c>
      <c r="U4" s="46" t="s">
        <v>18</v>
      </c>
      <c r="V4" s="46" t="s">
        <v>34</v>
      </c>
      <c r="W4" s="46" t="s">
        <v>33</v>
      </c>
      <c r="X4" s="46" t="s">
        <v>37</v>
      </c>
      <c r="Y4" s="46" t="s">
        <v>18</v>
      </c>
      <c r="Z4" s="46" t="s">
        <v>35</v>
      </c>
      <c r="AA4" s="46" t="s">
        <v>36</v>
      </c>
      <c r="AB4" s="46" t="s">
        <v>37</v>
      </c>
      <c r="AC4" s="47" t="s">
        <v>18</v>
      </c>
    </row>
    <row r="5" spans="1:29" ht="25" customHeight="1" x14ac:dyDescent="0.25">
      <c r="A5" s="49">
        <v>43800</v>
      </c>
      <c r="B5" s="105">
        <v>145468.54</v>
      </c>
      <c r="C5" s="51">
        <v>2627868.2799999998</v>
      </c>
      <c r="D5" s="52">
        <f t="shared" ref="D5" si="0">B5/C5*100</f>
        <v>5.5356100268465518</v>
      </c>
      <c r="E5" s="86"/>
      <c r="F5" s="105">
        <v>1430554.42</v>
      </c>
      <c r="G5" s="51">
        <v>22400208.32</v>
      </c>
      <c r="H5" s="52">
        <f t="shared" ref="H5" si="1">F5/G5*100</f>
        <v>6.3863442677125963</v>
      </c>
      <c r="I5" s="85"/>
      <c r="J5" s="105">
        <v>104686.57</v>
      </c>
      <c r="K5" s="51">
        <v>3989476</v>
      </c>
      <c r="L5" s="52">
        <f t="shared" ref="L5" si="2">J5/K5*100</f>
        <v>2.6240681733641211</v>
      </c>
      <c r="M5" s="85"/>
      <c r="N5" s="105">
        <v>277369.94</v>
      </c>
      <c r="O5" s="51">
        <v>4062040</v>
      </c>
      <c r="P5" s="52">
        <f t="shared" ref="P5" si="3">N5/O5*100</f>
        <v>6.8283409321424706</v>
      </c>
      <c r="Q5" s="85"/>
      <c r="R5" s="105">
        <v>215085.11</v>
      </c>
      <c r="S5" s="51">
        <v>6117055.79</v>
      </c>
      <c r="T5" s="52">
        <f t="shared" ref="T5" si="4">R5/S5*100</f>
        <v>3.5161541333596369</v>
      </c>
      <c r="U5" s="87"/>
      <c r="V5" s="105">
        <v>115314.44</v>
      </c>
      <c r="W5" s="51">
        <v>1236426.68</v>
      </c>
      <c r="X5" s="52">
        <f t="shared" ref="X5" si="5">V5/W5*100</f>
        <v>9.3264276697749686</v>
      </c>
      <c r="Y5" s="85"/>
      <c r="Z5" s="97">
        <f t="shared" ref="Z5:AA5" si="6">B5+F5+J5+N5+R5+V5</f>
        <v>2288479.02</v>
      </c>
      <c r="AA5" s="51">
        <f t="shared" si="6"/>
        <v>40433075.07</v>
      </c>
      <c r="AB5" s="52">
        <f t="shared" ref="AB5" si="7">Z5/AA5*100</f>
        <v>5.6599183120206842</v>
      </c>
      <c r="AC5" s="66"/>
    </row>
    <row r="6" spans="1:29" ht="25" customHeight="1" x14ac:dyDescent="0.25">
      <c r="A6" s="49">
        <v>43831</v>
      </c>
      <c r="B6" s="108">
        <v>148145.35999999999</v>
      </c>
      <c r="C6" s="57">
        <v>3526207.57</v>
      </c>
      <c r="D6" s="58">
        <f t="shared" ref="D6:D17" si="8">B6/C6*100</f>
        <v>4.2012660077183153</v>
      </c>
      <c r="E6" s="85">
        <f t="shared" ref="E6:E17" si="9">D6/D5-1</f>
        <v>-0.24104733040386639</v>
      </c>
      <c r="F6" s="106">
        <v>1962544.59</v>
      </c>
      <c r="G6" s="57">
        <v>30383955.510000002</v>
      </c>
      <c r="H6" s="61">
        <f t="shared" ref="H6:H17" si="10">F6/G6*100</f>
        <v>6.4591477872395027</v>
      </c>
      <c r="I6" s="85">
        <f t="shared" ref="I6:I17" si="11">H6/H5-1</f>
        <v>1.1399873930219906E-2</v>
      </c>
      <c r="J6" s="108">
        <v>117664.76</v>
      </c>
      <c r="K6" s="57">
        <v>4478184</v>
      </c>
      <c r="L6" s="61">
        <f t="shared" ref="L6:L17" si="12">J6/K6*100</f>
        <v>2.6275106159103778</v>
      </c>
      <c r="M6" s="85">
        <f t="shared" ref="M6:M17" si="13">L6/L5-1</f>
        <v>1.3118723748108962E-3</v>
      </c>
      <c r="N6" s="108">
        <v>282912.96000000002</v>
      </c>
      <c r="O6" s="57">
        <v>4525794.76</v>
      </c>
      <c r="P6" s="61">
        <f t="shared" ref="P6:P17" si="14">N6/O6*100</f>
        <v>6.2511221785938886</v>
      </c>
      <c r="Q6" s="85">
        <f t="shared" ref="Q6:Q17" si="15">P6/P5-1</f>
        <v>-8.4532796368073648E-2</v>
      </c>
      <c r="R6" s="108">
        <v>273880.52</v>
      </c>
      <c r="S6" s="57">
        <v>7868737.4100000001</v>
      </c>
      <c r="T6" s="61">
        <f t="shared" ref="T6:T17" si="16">R6/S6*100</f>
        <v>3.4806158310981181</v>
      </c>
      <c r="U6" s="87">
        <f t="shared" ref="U6:U17" si="17">T6/T5-1</f>
        <v>-1.0107151425572614E-2</v>
      </c>
      <c r="V6" s="106">
        <v>100093.74</v>
      </c>
      <c r="W6" s="57">
        <v>1044288</v>
      </c>
      <c r="X6" s="61">
        <f t="shared" ref="X6:X17" si="18">V6/W6*100</f>
        <v>9.5848788839860273</v>
      </c>
      <c r="Y6" s="85">
        <f t="shared" ref="Y6:Y17" si="19">X6/X5-1</f>
        <v>2.7711705206125758E-2</v>
      </c>
      <c r="Z6" s="101">
        <f t="shared" ref="Z6:AA17" si="20">B6+F6+J6+N6+R6+V6</f>
        <v>2885241.93</v>
      </c>
      <c r="AA6" s="64">
        <f t="shared" si="20"/>
        <v>51827167.25</v>
      </c>
      <c r="AB6" s="65">
        <f t="shared" ref="AB6:AB17" si="21">Z6/AA6*100</f>
        <v>5.5670453993412119</v>
      </c>
      <c r="AC6" s="66">
        <f t="shared" ref="AC6:AC17" si="22">AB6/AB5-1</f>
        <v>-1.6408878637387159E-2</v>
      </c>
    </row>
    <row r="7" spans="1:29" ht="25" customHeight="1" x14ac:dyDescent="0.25">
      <c r="A7" s="49">
        <v>43862</v>
      </c>
      <c r="B7" s="105">
        <v>143820.95000000001</v>
      </c>
      <c r="C7" s="51">
        <v>3274564.5</v>
      </c>
      <c r="D7" s="58">
        <f t="shared" si="8"/>
        <v>4.3920634331679835</v>
      </c>
      <c r="E7" s="85">
        <f t="shared" si="9"/>
        <v>4.5414269198652546E-2</v>
      </c>
      <c r="F7" s="109">
        <v>1673572.55</v>
      </c>
      <c r="G7" s="51">
        <v>27083029.609999999</v>
      </c>
      <c r="H7" s="61">
        <f t="shared" si="10"/>
        <v>6.1794140984214661</v>
      </c>
      <c r="I7" s="85">
        <f t="shared" si="11"/>
        <v>-4.330814188377452E-2</v>
      </c>
      <c r="J7" s="105">
        <v>106255.06</v>
      </c>
      <c r="K7" s="51">
        <v>4280332</v>
      </c>
      <c r="L7" s="61">
        <f t="shared" si="12"/>
        <v>2.4824022996347015</v>
      </c>
      <c r="M7" s="85">
        <f t="shared" si="13"/>
        <v>-5.5226538533089564E-2</v>
      </c>
      <c r="N7" s="105">
        <v>291323.51</v>
      </c>
      <c r="O7" s="51">
        <v>4892967</v>
      </c>
      <c r="P7" s="61">
        <f t="shared" si="14"/>
        <v>5.9539234578937483</v>
      </c>
      <c r="Q7" s="85">
        <f t="shared" si="15"/>
        <v>-4.7543258987619352E-2</v>
      </c>
      <c r="R7" s="105">
        <v>230087.29</v>
      </c>
      <c r="S7" s="51">
        <v>6644626.5599999996</v>
      </c>
      <c r="T7" s="61">
        <f t="shared" si="16"/>
        <v>3.46275728097502</v>
      </c>
      <c r="U7" s="87">
        <f t="shared" si="17"/>
        <v>-5.1308593047063589E-3</v>
      </c>
      <c r="V7" s="107">
        <v>65250.87</v>
      </c>
      <c r="W7" s="51">
        <v>677817</v>
      </c>
      <c r="X7" s="61">
        <f t="shared" si="18"/>
        <v>9.6266204595045561</v>
      </c>
      <c r="Y7" s="85">
        <f t="shared" si="19"/>
        <v>4.3549403204530268E-3</v>
      </c>
      <c r="Z7" s="101">
        <f t="shared" si="20"/>
        <v>2510310.2300000004</v>
      </c>
      <c r="AA7" s="64">
        <f t="shared" si="20"/>
        <v>46853336.670000002</v>
      </c>
      <c r="AB7" s="65">
        <f t="shared" si="21"/>
        <v>5.3578046056372797</v>
      </c>
      <c r="AC7" s="66">
        <f t="shared" si="22"/>
        <v>-3.7585609366270534E-2</v>
      </c>
    </row>
    <row r="8" spans="1:29" ht="25" customHeight="1" x14ac:dyDescent="0.25">
      <c r="A8" s="49">
        <v>43891</v>
      </c>
      <c r="B8" s="109">
        <v>176698.43</v>
      </c>
      <c r="C8" s="51">
        <v>3608734.04</v>
      </c>
      <c r="D8" s="84">
        <f t="shared" si="8"/>
        <v>4.8964104320638713</v>
      </c>
      <c r="E8" s="85">
        <f t="shared" si="9"/>
        <v>0.11483144689741054</v>
      </c>
      <c r="F8" s="107">
        <v>1857223.17</v>
      </c>
      <c r="G8" s="51">
        <v>28365103.559999999</v>
      </c>
      <c r="H8" s="65">
        <f t="shared" si="10"/>
        <v>6.5475635090542212</v>
      </c>
      <c r="I8" s="85">
        <f t="shared" si="11"/>
        <v>5.9576750282328339E-2</v>
      </c>
      <c r="J8" s="105">
        <v>134662.13</v>
      </c>
      <c r="K8" s="51">
        <v>5157557</v>
      </c>
      <c r="L8" s="65">
        <f t="shared" si="12"/>
        <v>2.6109673630364143</v>
      </c>
      <c r="M8" s="85">
        <f t="shared" si="13"/>
        <v>5.1790583428250825E-2</v>
      </c>
      <c r="N8" s="105">
        <v>325334.59000000003</v>
      </c>
      <c r="O8" s="51">
        <v>5311686.55</v>
      </c>
      <c r="P8" s="65">
        <f t="shared" si="14"/>
        <v>6.1248830656244211</v>
      </c>
      <c r="Q8" s="85">
        <f t="shared" si="15"/>
        <v>2.8713773184976699E-2</v>
      </c>
      <c r="R8" s="105">
        <v>257421.29</v>
      </c>
      <c r="S8" s="51">
        <v>7387833.04</v>
      </c>
      <c r="T8" s="65">
        <f t="shared" si="16"/>
        <v>3.4843950669464512</v>
      </c>
      <c r="U8" s="87">
        <f t="shared" si="17"/>
        <v>6.2487157532851167E-3</v>
      </c>
      <c r="V8" s="107">
        <v>118186.77</v>
      </c>
      <c r="W8" s="51">
        <v>1216752.03</v>
      </c>
      <c r="X8" s="65">
        <f t="shared" si="18"/>
        <v>9.7132995948237717</v>
      </c>
      <c r="Y8" s="85">
        <f t="shared" si="19"/>
        <v>9.0041085221799211E-3</v>
      </c>
      <c r="Z8" s="101">
        <f t="shared" si="20"/>
        <v>2869526.38</v>
      </c>
      <c r="AA8" s="64">
        <f t="shared" si="20"/>
        <v>51047666.219999991</v>
      </c>
      <c r="AB8" s="65">
        <f t="shared" si="21"/>
        <v>5.6212684976296661</v>
      </c>
      <c r="AC8" s="66">
        <f t="shared" si="22"/>
        <v>4.9173852237011317E-2</v>
      </c>
    </row>
    <row r="9" spans="1:29" ht="25" customHeight="1" x14ac:dyDescent="0.25">
      <c r="A9" s="49">
        <v>43922</v>
      </c>
      <c r="B9" s="105">
        <v>139387.38</v>
      </c>
      <c r="C9" s="67">
        <v>2598480.2000000002</v>
      </c>
      <c r="D9" s="84">
        <f t="shared" si="8"/>
        <v>5.3641886515048292</v>
      </c>
      <c r="E9" s="85">
        <f t="shared" si="9"/>
        <v>9.5534928276791886E-2</v>
      </c>
      <c r="F9" s="111">
        <v>1647687.44</v>
      </c>
      <c r="G9" s="83">
        <v>25927539.02</v>
      </c>
      <c r="H9" s="65">
        <f t="shared" si="10"/>
        <v>6.3549704379154761</v>
      </c>
      <c r="I9" s="85">
        <f t="shared" si="11"/>
        <v>-2.9414464002131435E-2</v>
      </c>
      <c r="J9" s="112">
        <v>172296.71</v>
      </c>
      <c r="K9" s="83">
        <v>6540261</v>
      </c>
      <c r="L9" s="65">
        <f t="shared" si="12"/>
        <v>2.6344011347559371</v>
      </c>
      <c r="M9" s="85">
        <f t="shared" si="13"/>
        <v>8.9751300806266698E-3</v>
      </c>
      <c r="N9" s="112">
        <v>256417.48</v>
      </c>
      <c r="O9" s="83">
        <v>4163688</v>
      </c>
      <c r="P9" s="65">
        <f t="shared" si="14"/>
        <v>6.158422052757075</v>
      </c>
      <c r="Q9" s="85">
        <f t="shared" si="15"/>
        <v>5.4758575426345768E-3</v>
      </c>
      <c r="R9" s="112">
        <v>258025.83</v>
      </c>
      <c r="S9" s="83">
        <v>7961477.4000000004</v>
      </c>
      <c r="T9" s="65">
        <f t="shared" si="16"/>
        <v>3.2409290014438779</v>
      </c>
      <c r="U9" s="87">
        <f t="shared" si="17"/>
        <v>-6.9873266614378093E-2</v>
      </c>
      <c r="V9" s="111">
        <v>78483.72</v>
      </c>
      <c r="W9" s="83">
        <v>705959</v>
      </c>
      <c r="X9" s="65">
        <f t="shared" si="18"/>
        <v>11.117319844353569</v>
      </c>
      <c r="Y9" s="85">
        <f t="shared" si="19"/>
        <v>0.14454616948889343</v>
      </c>
      <c r="Z9" s="101">
        <f t="shared" si="20"/>
        <v>2552298.56</v>
      </c>
      <c r="AA9" s="64">
        <f t="shared" si="20"/>
        <v>47897404.619999997</v>
      </c>
      <c r="AB9" s="65">
        <f t="shared" si="21"/>
        <v>5.3286782034412461</v>
      </c>
      <c r="AC9" s="66">
        <f t="shared" si="22"/>
        <v>-5.2050581521198902E-2</v>
      </c>
    </row>
    <row r="10" spans="1:29" ht="25" customHeight="1" x14ac:dyDescent="0.25">
      <c r="A10" s="49">
        <v>43952</v>
      </c>
      <c r="B10" s="110">
        <v>154402.57</v>
      </c>
      <c r="C10" s="83">
        <v>2527300.92</v>
      </c>
      <c r="D10" s="84">
        <f t="shared" si="8"/>
        <v>6.1093860560142561</v>
      </c>
      <c r="E10" s="85">
        <f t="shared" si="9"/>
        <v>0.13892080478943902</v>
      </c>
      <c r="F10" s="110">
        <v>1417587.14</v>
      </c>
      <c r="G10" s="83">
        <v>23799235.600000001</v>
      </c>
      <c r="H10" s="65">
        <f t="shared" si="10"/>
        <v>5.9564397942259957</v>
      </c>
      <c r="I10" s="85">
        <f t="shared" si="11"/>
        <v>-6.2711643993139332E-2</v>
      </c>
      <c r="J10" s="112">
        <v>139833.45000000001</v>
      </c>
      <c r="K10" s="83">
        <v>5304312</v>
      </c>
      <c r="L10" s="65">
        <f t="shared" si="12"/>
        <v>2.6362221905498773</v>
      </c>
      <c r="M10" s="85">
        <f t="shared" si="13"/>
        <v>6.9125987303708669E-4</v>
      </c>
      <c r="N10" s="112">
        <v>250603.66</v>
      </c>
      <c r="O10" s="83">
        <v>4462073.76</v>
      </c>
      <c r="P10" s="65">
        <f t="shared" si="14"/>
        <v>5.6163047380911078</v>
      </c>
      <c r="Q10" s="85">
        <f t="shared" si="15"/>
        <v>-8.8028607007092918E-2</v>
      </c>
      <c r="R10" s="112">
        <v>289441.61</v>
      </c>
      <c r="S10" s="83">
        <v>8534804.6300000008</v>
      </c>
      <c r="T10" s="65">
        <f t="shared" si="16"/>
        <v>3.3913091458778939</v>
      </c>
      <c r="U10" s="87">
        <f t="shared" si="17"/>
        <v>4.640032051520393E-2</v>
      </c>
      <c r="V10" s="110">
        <v>97672.1</v>
      </c>
      <c r="W10" s="83">
        <v>862841</v>
      </c>
      <c r="X10" s="65">
        <f t="shared" si="18"/>
        <v>11.319826016612563</v>
      </c>
      <c r="Y10" s="85">
        <f t="shared" si="19"/>
        <v>1.8215377005802891E-2</v>
      </c>
      <c r="Z10" s="101">
        <f t="shared" si="20"/>
        <v>2349540.5299999998</v>
      </c>
      <c r="AA10" s="64">
        <f t="shared" si="20"/>
        <v>45490567.910000004</v>
      </c>
      <c r="AB10" s="65">
        <f t="shared" si="21"/>
        <v>5.1648960167927696</v>
      </c>
      <c r="AC10" s="66">
        <f t="shared" si="22"/>
        <v>-3.0735987499246331E-2</v>
      </c>
    </row>
    <row r="11" spans="1:29" ht="25" customHeight="1" x14ac:dyDescent="0.25">
      <c r="A11" s="49">
        <v>43983</v>
      </c>
      <c r="B11" s="105">
        <v>210445.66</v>
      </c>
      <c r="C11" s="51">
        <v>3432668.18</v>
      </c>
      <c r="D11" s="84">
        <f t="shared" si="8"/>
        <v>6.1306729623951011</v>
      </c>
      <c r="E11" s="85">
        <f t="shared" si="9"/>
        <v>3.4842955062381886E-3</v>
      </c>
      <c r="F11" s="111">
        <v>1535137.98</v>
      </c>
      <c r="G11" s="83">
        <v>24974962.329999998</v>
      </c>
      <c r="H11" s="65">
        <f t="shared" si="10"/>
        <v>6.146707889749198</v>
      </c>
      <c r="I11" s="85">
        <f t="shared" si="11"/>
        <v>3.1943258405405572E-2</v>
      </c>
      <c r="J11" s="112">
        <v>134651.03</v>
      </c>
      <c r="K11" s="83">
        <v>4886661</v>
      </c>
      <c r="L11" s="65">
        <f t="shared" si="12"/>
        <v>2.7554812989892281</v>
      </c>
      <c r="M11" s="85">
        <f t="shared" si="13"/>
        <v>4.5238640683194831E-2</v>
      </c>
      <c r="N11" s="112">
        <v>292408.99</v>
      </c>
      <c r="O11" s="83">
        <v>5171945</v>
      </c>
      <c r="P11" s="65">
        <f t="shared" si="14"/>
        <v>5.6537528918037605</v>
      </c>
      <c r="Q11" s="85">
        <f t="shared" si="15"/>
        <v>6.6677567295574391E-3</v>
      </c>
      <c r="R11" s="112">
        <v>256737.96</v>
      </c>
      <c r="S11" s="83">
        <v>7783920</v>
      </c>
      <c r="T11" s="65">
        <f t="shared" si="16"/>
        <v>3.2983119045416704</v>
      </c>
      <c r="U11" s="87">
        <f t="shared" si="17"/>
        <v>-2.7422224673695927E-2</v>
      </c>
      <c r="V11" s="111">
        <v>91511.53</v>
      </c>
      <c r="W11" s="83">
        <v>797164</v>
      </c>
      <c r="X11" s="65">
        <f t="shared" si="18"/>
        <v>11.47963656161091</v>
      </c>
      <c r="Y11" s="85">
        <f t="shared" si="19"/>
        <v>1.4117756294470762E-2</v>
      </c>
      <c r="Z11" s="103">
        <f t="shared" si="20"/>
        <v>2520893.15</v>
      </c>
      <c r="AA11" s="64">
        <f t="shared" si="20"/>
        <v>47047320.509999998</v>
      </c>
      <c r="AB11" s="89">
        <f t="shared" si="21"/>
        <v>5.3582076995525796</v>
      </c>
      <c r="AC11" s="66">
        <f t="shared" si="22"/>
        <v>3.7427991218272449E-2</v>
      </c>
    </row>
    <row r="12" spans="1:29" ht="25" customHeight="1" x14ac:dyDescent="0.25">
      <c r="A12" s="49">
        <v>44013</v>
      </c>
      <c r="B12" s="105">
        <v>237766.2</v>
      </c>
      <c r="C12" s="51">
        <v>3769271.13</v>
      </c>
      <c r="D12" s="84">
        <f t="shared" si="8"/>
        <v>6.3080153111723751</v>
      </c>
      <c r="E12" s="85">
        <f t="shared" si="9"/>
        <v>2.8927060677526484E-2</v>
      </c>
      <c r="F12" s="111">
        <v>2027487.83</v>
      </c>
      <c r="G12" s="82">
        <v>29544585.010000002</v>
      </c>
      <c r="H12" s="89">
        <f t="shared" si="10"/>
        <v>6.862468466941583</v>
      </c>
      <c r="I12" s="85">
        <f t="shared" si="11"/>
        <v>0.11644616761210536</v>
      </c>
      <c r="J12" s="112">
        <v>150368.75</v>
      </c>
      <c r="K12" s="83">
        <v>6419676</v>
      </c>
      <c r="L12" s="52">
        <f t="shared" si="12"/>
        <v>2.3423105776677824</v>
      </c>
      <c r="M12" s="114">
        <f t="shared" si="13"/>
        <v>-0.1499450282870749</v>
      </c>
      <c r="N12" s="112">
        <v>334050.78000000003</v>
      </c>
      <c r="O12" s="83">
        <v>5343088</v>
      </c>
      <c r="P12" s="89">
        <f t="shared" si="14"/>
        <v>6.2520171855675972</v>
      </c>
      <c r="Q12" s="85">
        <f t="shared" si="15"/>
        <v>0.10581719880809426</v>
      </c>
      <c r="R12" s="112">
        <v>256133.03</v>
      </c>
      <c r="S12" s="83">
        <v>7351846.6900000004</v>
      </c>
      <c r="T12" s="89">
        <f t="shared" si="16"/>
        <v>3.4839277912091493</v>
      </c>
      <c r="U12" s="87">
        <f t="shared" si="17"/>
        <v>5.6276026051960581E-2</v>
      </c>
      <c r="V12" s="111">
        <v>69834.58</v>
      </c>
      <c r="W12" s="83">
        <v>619173.41</v>
      </c>
      <c r="X12" s="89">
        <f t="shared" si="18"/>
        <v>11.278678779180778</v>
      </c>
      <c r="Y12" s="85">
        <f t="shared" si="19"/>
        <v>-1.7505587511555509E-2</v>
      </c>
      <c r="Z12" s="102">
        <f t="shared" si="20"/>
        <v>3075641.1700000004</v>
      </c>
      <c r="AA12" s="70">
        <f t="shared" si="20"/>
        <v>53047640.239999995</v>
      </c>
      <c r="AB12" s="89">
        <f t="shared" si="21"/>
        <v>5.7978849880693595</v>
      </c>
      <c r="AC12" s="66">
        <f t="shared" si="22"/>
        <v>8.2056783381781573E-2</v>
      </c>
    </row>
    <row r="13" spans="1:29" ht="25" customHeight="1" x14ac:dyDescent="0.25">
      <c r="A13" s="49">
        <v>44044</v>
      </c>
      <c r="B13" s="105">
        <v>190900.58</v>
      </c>
      <c r="C13" s="51">
        <v>2767851.16</v>
      </c>
      <c r="D13" s="84">
        <f t="shared" si="8"/>
        <v>6.8970681212496983</v>
      </c>
      <c r="E13" s="85">
        <f t="shared" si="9"/>
        <v>9.338163923509013E-2</v>
      </c>
      <c r="F13" s="107">
        <v>2021712.57</v>
      </c>
      <c r="G13" s="51">
        <v>27269870.010000002</v>
      </c>
      <c r="H13" s="89">
        <f t="shared" si="10"/>
        <v>7.4137227983068046</v>
      </c>
      <c r="I13" s="85">
        <f t="shared" si="11"/>
        <v>8.0328869126432778E-2</v>
      </c>
      <c r="J13" s="109">
        <v>164004.64000000001</v>
      </c>
      <c r="K13" s="51">
        <v>6165377</v>
      </c>
      <c r="L13" s="89">
        <f t="shared" si="12"/>
        <v>2.6600910211978928</v>
      </c>
      <c r="M13" s="85">
        <f t="shared" si="13"/>
        <v>0.13566964456375441</v>
      </c>
      <c r="N13" s="105">
        <v>308579.12</v>
      </c>
      <c r="O13" s="51">
        <v>4754259</v>
      </c>
      <c r="P13" s="52">
        <f t="shared" si="14"/>
        <v>6.4905828647534758</v>
      </c>
      <c r="Q13" s="85">
        <f t="shared" si="15"/>
        <v>3.8158193124707473E-2</v>
      </c>
      <c r="R13" s="105">
        <v>203500.76</v>
      </c>
      <c r="S13" s="51">
        <v>5683729.9800000004</v>
      </c>
      <c r="T13" s="89">
        <f t="shared" si="16"/>
        <v>3.5804086526995778</v>
      </c>
      <c r="U13" s="87">
        <f t="shared" si="17"/>
        <v>2.7693128925884825E-2</v>
      </c>
      <c r="V13" s="107">
        <v>150956.16</v>
      </c>
      <c r="W13" s="51">
        <v>1010826</v>
      </c>
      <c r="X13" s="89">
        <f t="shared" si="18"/>
        <v>14.933941153076791</v>
      </c>
      <c r="Y13" s="85">
        <f t="shared" si="19"/>
        <v>0.32408604283005493</v>
      </c>
      <c r="Z13" s="102">
        <f t="shared" si="20"/>
        <v>3039653.83</v>
      </c>
      <c r="AA13" s="70">
        <f t="shared" si="20"/>
        <v>47651913.150000006</v>
      </c>
      <c r="AB13" s="89">
        <f t="shared" si="21"/>
        <v>6.3788704987178448</v>
      </c>
      <c r="AC13" s="66">
        <f t="shared" si="22"/>
        <v>0.10020645663789685</v>
      </c>
    </row>
    <row r="14" spans="1:29" ht="25" customHeight="1" x14ac:dyDescent="0.35">
      <c r="A14" s="49">
        <v>44075</v>
      </c>
      <c r="B14" s="105">
        <v>213977.60000000001</v>
      </c>
      <c r="C14" s="51">
        <v>3717846.95</v>
      </c>
      <c r="D14" s="84">
        <f t="shared" si="8"/>
        <v>5.7554171238813367</v>
      </c>
      <c r="E14" s="85">
        <f t="shared" si="9"/>
        <v>-0.16552700035700141</v>
      </c>
      <c r="F14" s="111">
        <v>2115784.9</v>
      </c>
      <c r="G14" s="83">
        <v>28761063.559999999</v>
      </c>
      <c r="H14" s="89">
        <f t="shared" si="10"/>
        <v>7.3564209320220284</v>
      </c>
      <c r="I14" s="85">
        <f t="shared" si="11"/>
        <v>-7.729162236530196E-3</v>
      </c>
      <c r="J14" s="112">
        <v>161111.69</v>
      </c>
      <c r="K14" s="83">
        <v>5100449</v>
      </c>
      <c r="L14" s="89">
        <f t="shared" si="12"/>
        <v>3.1587746490554069</v>
      </c>
      <c r="M14" s="85">
        <f t="shared" si="13"/>
        <v>0.18746863317216378</v>
      </c>
      <c r="N14" s="112">
        <v>332855.82</v>
      </c>
      <c r="O14" s="83">
        <v>5006115.32</v>
      </c>
      <c r="P14" s="89">
        <f t="shared" si="14"/>
        <v>6.6489842667068242</v>
      </c>
      <c r="Q14" s="85">
        <f t="shared" si="15"/>
        <v>2.4404803891116211E-2</v>
      </c>
      <c r="R14" s="112">
        <v>229649.12</v>
      </c>
      <c r="S14" s="83">
        <v>6101047.4400000004</v>
      </c>
      <c r="T14" s="89">
        <f t="shared" si="16"/>
        <v>3.7640933341111666</v>
      </c>
      <c r="U14" s="87">
        <f t="shared" si="17"/>
        <v>5.1302714083514722E-2</v>
      </c>
      <c r="V14" s="112">
        <v>142193.12</v>
      </c>
      <c r="W14" s="83">
        <v>1153095.8400000001</v>
      </c>
      <c r="X14" s="89">
        <f t="shared" si="18"/>
        <v>12.331422512113129</v>
      </c>
      <c r="Y14" s="85">
        <f t="shared" si="19"/>
        <v>-0.1742687087278012</v>
      </c>
      <c r="Z14" s="103">
        <f t="shared" si="20"/>
        <v>3195572.25</v>
      </c>
      <c r="AA14" s="95">
        <f t="shared" si="20"/>
        <v>49839618.109999999</v>
      </c>
      <c r="AB14" s="89">
        <f t="shared" si="21"/>
        <v>6.4117109463943276</v>
      </c>
      <c r="AC14" s="66">
        <f t="shared" si="22"/>
        <v>5.1483170387427446E-3</v>
      </c>
    </row>
    <row r="15" spans="1:29" ht="25" customHeight="1" x14ac:dyDescent="0.35">
      <c r="A15" s="49">
        <v>44105</v>
      </c>
      <c r="B15" s="105">
        <v>240823.29</v>
      </c>
      <c r="C15" s="51">
        <v>3592404.6</v>
      </c>
      <c r="D15" s="84">
        <f t="shared" si="8"/>
        <v>6.7036794797557047</v>
      </c>
      <c r="E15" s="85">
        <f t="shared" si="9"/>
        <v>0.16475997055707392</v>
      </c>
      <c r="F15" s="107">
        <v>2087196.8</v>
      </c>
      <c r="G15" s="51">
        <v>28149557.859999999</v>
      </c>
      <c r="H15" s="115">
        <f t="shared" si="10"/>
        <v>7.4146699226344444</v>
      </c>
      <c r="I15" s="116">
        <f t="shared" si="11"/>
        <v>7.9181155008221094E-3</v>
      </c>
      <c r="J15" s="105">
        <v>121428.31</v>
      </c>
      <c r="K15" s="51">
        <v>3844052</v>
      </c>
      <c r="L15" s="89">
        <f t="shared" si="12"/>
        <v>3.1588623150779442</v>
      </c>
      <c r="M15" s="85">
        <f t="shared" si="13"/>
        <v>2.7753174023814609E-5</v>
      </c>
      <c r="N15" s="105">
        <v>279891.38</v>
      </c>
      <c r="O15" s="51">
        <v>4145732</v>
      </c>
      <c r="P15" s="89">
        <f t="shared" si="14"/>
        <v>6.7513138813603959</v>
      </c>
      <c r="Q15" s="85">
        <f t="shared" si="15"/>
        <v>1.5390262715158309E-2</v>
      </c>
      <c r="R15" s="105">
        <v>262348.93</v>
      </c>
      <c r="S15" s="51">
        <v>7142185.5800000001</v>
      </c>
      <c r="T15" s="89">
        <f t="shared" si="16"/>
        <v>3.6732303727117657</v>
      </c>
      <c r="U15" s="87">
        <f t="shared" si="17"/>
        <v>-2.4139401798562665E-2</v>
      </c>
      <c r="V15" s="105">
        <v>179071.71</v>
      </c>
      <c r="W15" s="51">
        <v>1228270</v>
      </c>
      <c r="X15" s="89">
        <f t="shared" si="18"/>
        <v>14.579181287501934</v>
      </c>
      <c r="Y15" s="85">
        <f t="shared" si="19"/>
        <v>0.18227895226044177</v>
      </c>
      <c r="Z15" s="102">
        <f t="shared" si="20"/>
        <v>3170760.42</v>
      </c>
      <c r="AA15" s="70">
        <f t="shared" si="20"/>
        <v>48102202.039999999</v>
      </c>
      <c r="AB15" s="89">
        <f t="shared" si="21"/>
        <v>6.591715733436307</v>
      </c>
      <c r="AC15" s="66">
        <f t="shared" si="22"/>
        <v>2.8074376488105068E-2</v>
      </c>
    </row>
    <row r="16" spans="1:29" ht="25" customHeight="1" x14ac:dyDescent="0.35">
      <c r="A16" s="49">
        <v>44136</v>
      </c>
      <c r="B16" s="105">
        <v>189908.67</v>
      </c>
      <c r="C16" s="51">
        <v>3028813</v>
      </c>
      <c r="D16" s="58">
        <f t="shared" si="8"/>
        <v>6.2700691657094714</v>
      </c>
      <c r="E16" s="85">
        <f t="shared" si="9"/>
        <v>-6.4682435273894501E-2</v>
      </c>
      <c r="F16" s="112">
        <v>1791977.23</v>
      </c>
      <c r="G16" s="83">
        <v>23227112.309999999</v>
      </c>
      <c r="H16" s="89">
        <f t="shared" si="10"/>
        <v>7.715023745024463</v>
      </c>
      <c r="I16" s="116">
        <f t="shared" si="11"/>
        <v>4.0508050327788814E-2</v>
      </c>
      <c r="J16" s="112">
        <v>110537.58</v>
      </c>
      <c r="K16" s="83">
        <v>3634423</v>
      </c>
      <c r="L16" s="89">
        <f t="shared" si="12"/>
        <v>3.0414065726526602</v>
      </c>
      <c r="M16" s="85">
        <f t="shared" si="13"/>
        <v>-3.7182925594649086E-2</v>
      </c>
      <c r="N16" s="112">
        <v>245028.62</v>
      </c>
      <c r="O16" s="83">
        <v>3851034</v>
      </c>
      <c r="P16" s="89">
        <f t="shared" si="14"/>
        <v>6.3626709086442759</v>
      </c>
      <c r="Q16" s="85">
        <f t="shared" si="15"/>
        <v>-5.7565531620314525E-2</v>
      </c>
      <c r="R16" s="112">
        <v>215012.24</v>
      </c>
      <c r="S16" s="83">
        <v>5944356.5599999996</v>
      </c>
      <c r="T16" s="89">
        <f t="shared" si="16"/>
        <v>3.6170818124678581</v>
      </c>
      <c r="U16" s="87">
        <f t="shared" si="17"/>
        <v>-1.5285880423137166E-2</v>
      </c>
      <c r="V16" s="105">
        <v>142739.62</v>
      </c>
      <c r="W16" s="83">
        <v>1021007.58</v>
      </c>
      <c r="X16" s="89">
        <f t="shared" si="18"/>
        <v>13.980270352155467</v>
      </c>
      <c r="Y16" s="85">
        <f t="shared" si="19"/>
        <v>-4.1079874345199774E-2</v>
      </c>
      <c r="Z16" s="102">
        <f t="shared" si="20"/>
        <v>2695203.96</v>
      </c>
      <c r="AA16" s="83">
        <f t="shared" si="20"/>
        <v>40706746.450000003</v>
      </c>
      <c r="AB16" s="89">
        <f t="shared" si="21"/>
        <v>6.6210252477694631</v>
      </c>
      <c r="AC16" s="66">
        <f t="shared" si="22"/>
        <v>4.4464166111539694E-3</v>
      </c>
    </row>
    <row r="17" spans="1:29" ht="25" customHeight="1" x14ac:dyDescent="0.35">
      <c r="A17" s="49">
        <v>44166</v>
      </c>
      <c r="B17" s="105">
        <v>208086.92</v>
      </c>
      <c r="C17" s="51">
        <v>3124423.48</v>
      </c>
      <c r="D17" s="120">
        <f t="shared" si="8"/>
        <v>6.6600101212912408</v>
      </c>
      <c r="E17" s="91">
        <f t="shared" si="9"/>
        <v>6.2190853924598999E-2</v>
      </c>
      <c r="F17" s="105">
        <v>1691410.25</v>
      </c>
      <c r="G17" s="51">
        <v>23123388.760000002</v>
      </c>
      <c r="H17" s="118">
        <f t="shared" si="10"/>
        <v>7.3147161411128732</v>
      </c>
      <c r="I17" s="119">
        <f t="shared" si="11"/>
        <v>-5.1886762392630903E-2</v>
      </c>
      <c r="J17" s="97">
        <v>123231.36</v>
      </c>
      <c r="K17" s="51">
        <v>3758938</v>
      </c>
      <c r="L17" s="118">
        <f t="shared" si="12"/>
        <v>3.2783557483523276</v>
      </c>
      <c r="M17" s="91">
        <f t="shared" si="13"/>
        <v>7.7907760780895785E-2</v>
      </c>
      <c r="N17" s="105">
        <v>305985.13</v>
      </c>
      <c r="O17" s="51">
        <v>4680181</v>
      </c>
      <c r="P17" s="118">
        <f t="shared" si="14"/>
        <v>6.5378909490893617</v>
      </c>
      <c r="Q17" s="91">
        <f t="shared" si="15"/>
        <v>2.7538755808827586E-2</v>
      </c>
      <c r="R17" s="105">
        <v>203077.36</v>
      </c>
      <c r="S17" s="51">
        <v>5331906.4400000004</v>
      </c>
      <c r="T17" s="118">
        <f t="shared" si="16"/>
        <v>3.8087194943353131</v>
      </c>
      <c r="U17" s="92">
        <f t="shared" si="17"/>
        <v>5.2981295918409055E-2</v>
      </c>
      <c r="V17" s="105">
        <v>156264.49</v>
      </c>
      <c r="W17" s="51">
        <v>933802</v>
      </c>
      <c r="X17" s="118">
        <f t="shared" si="18"/>
        <v>16.73422095904699</v>
      </c>
      <c r="Y17" s="91">
        <f t="shared" si="19"/>
        <v>0.19698836556954857</v>
      </c>
      <c r="Z17" s="97">
        <f t="shared" si="20"/>
        <v>2688055.51</v>
      </c>
      <c r="AA17" s="51">
        <f t="shared" si="20"/>
        <v>40952639.68</v>
      </c>
      <c r="AB17" s="52">
        <f t="shared" si="21"/>
        <v>6.5638150092502165</v>
      </c>
      <c r="AC17" s="66">
        <f t="shared" si="22"/>
        <v>-8.64069179293947E-3</v>
      </c>
    </row>
    <row r="18" spans="1:29" ht="25" customHeight="1" x14ac:dyDescent="0.35">
      <c r="A18" s="77" t="s">
        <v>17</v>
      </c>
      <c r="B18" s="98">
        <f>SUM(B6:B17)</f>
        <v>2254363.6100000003</v>
      </c>
      <c r="C18" s="78">
        <f>SUM(C6:C17)</f>
        <v>38968565.729999997</v>
      </c>
      <c r="D18" s="78"/>
      <c r="E18" s="78"/>
      <c r="F18" s="98">
        <f>SUM(F6:F17)</f>
        <v>21829322.450000003</v>
      </c>
      <c r="G18" s="78">
        <f>SUM(G6:G17)</f>
        <v>320609403.13999999</v>
      </c>
      <c r="H18" s="78"/>
      <c r="I18" s="78"/>
      <c r="J18" s="98">
        <f>SUM(J6:J17)</f>
        <v>1636045.4700000004</v>
      </c>
      <c r="K18" s="78">
        <f>SUM(K6:K17)</f>
        <v>59570222</v>
      </c>
      <c r="L18" s="78"/>
      <c r="M18" s="78"/>
      <c r="N18" s="98">
        <f>SUM(N6:N17)</f>
        <v>3505392.0399999996</v>
      </c>
      <c r="O18" s="78">
        <f>SUM(O6:O17)</f>
        <v>56308564.390000001</v>
      </c>
      <c r="P18" s="78"/>
      <c r="Q18" s="78"/>
      <c r="R18" s="98">
        <f>SUM(R6:R17)</f>
        <v>2935315.94</v>
      </c>
      <c r="S18" s="78">
        <f>SUM(S6:S17)</f>
        <v>83736471.729999989</v>
      </c>
      <c r="T18" s="78"/>
      <c r="U18" s="78"/>
      <c r="V18" s="98">
        <f>SUM(V6:V17)</f>
        <v>1392258.41</v>
      </c>
      <c r="W18" s="78">
        <f>SUM(W6:W17)</f>
        <v>11270995.860000001</v>
      </c>
      <c r="X18" s="78"/>
      <c r="Y18" s="78"/>
      <c r="Z18" s="98">
        <f>SUM(Z6:Z17)</f>
        <v>33552697.920000002</v>
      </c>
      <c r="AA18" s="78">
        <f>SUM(AA6:AA17)</f>
        <v>570464222.85000002</v>
      </c>
      <c r="AB18" s="79"/>
      <c r="AC18" s="80"/>
    </row>
    <row r="19" spans="1:29" ht="25" customHeight="1" thickBot="1" x14ac:dyDescent="0.4">
      <c r="A19" s="45" t="s">
        <v>32</v>
      </c>
      <c r="B19" s="99">
        <f>AVERAGE(B6:B17)</f>
        <v>187863.63416666668</v>
      </c>
      <c r="C19" s="72">
        <f>AVERAGE(C6:C17)</f>
        <v>3247380.4774999996</v>
      </c>
      <c r="D19" s="74">
        <f>AVERAGE(D6:D17)</f>
        <v>5.8073539054936818</v>
      </c>
      <c r="E19" s="73"/>
      <c r="F19" s="76">
        <f>AVERAGE(F6:F17)</f>
        <v>1819110.2041666668</v>
      </c>
      <c r="G19" s="76">
        <f>AVERAGE(G6:G17)</f>
        <v>26717450.261666667</v>
      </c>
      <c r="H19" s="74">
        <f>AVERAGE(H6:H17)</f>
        <v>6.8101054602206714</v>
      </c>
      <c r="I19" s="74"/>
      <c r="J19" s="100">
        <f>AVERAGE(J6:J17)</f>
        <v>136337.12250000003</v>
      </c>
      <c r="K19" s="76">
        <f>AVERAGE(K6:K17)</f>
        <v>4964185.166666667</v>
      </c>
      <c r="L19" s="74">
        <f>AVERAGE(L6:L17)</f>
        <v>2.7822321489067119</v>
      </c>
      <c r="M19" s="74"/>
      <c r="N19" s="100">
        <f>AVERAGE(N6:N17)</f>
        <v>292116.0033333333</v>
      </c>
      <c r="O19" s="76">
        <f>AVERAGE(O6:O17)</f>
        <v>4692380.3658333337</v>
      </c>
      <c r="P19" s="74">
        <f>AVERAGE(P6:P17)</f>
        <v>6.2334890367404938</v>
      </c>
      <c r="Q19" s="74"/>
      <c r="R19" s="100">
        <f>AVERAGE(R6:R17)</f>
        <v>244609.66166666665</v>
      </c>
      <c r="S19" s="76">
        <f>AVERAGE(S6:S17)</f>
        <v>6978039.3108333321</v>
      </c>
      <c r="T19" s="74">
        <f>AVERAGE(T6:T17)</f>
        <v>3.5238149740348219</v>
      </c>
      <c r="U19" s="74"/>
      <c r="V19" s="100">
        <f>AVERAGE(V6:V17)</f>
        <v>116021.53416666666</v>
      </c>
      <c r="W19" s="76">
        <f>AVERAGE(W6:W17)</f>
        <v>939249.65500000014</v>
      </c>
      <c r="X19" s="74">
        <f>AVERAGE(X6:X17)</f>
        <v>12.223274700330537</v>
      </c>
      <c r="Y19" s="74"/>
      <c r="Z19" s="100">
        <f>AVERAGE(Z6:Z17)</f>
        <v>2796058.16</v>
      </c>
      <c r="AA19" s="76">
        <f>AVERAGE(AA6:AA17)</f>
        <v>47538685.237500004</v>
      </c>
      <c r="AB19" s="74">
        <f>AVERAGE(AB6:AB17)</f>
        <v>5.8969102371693571</v>
      </c>
      <c r="AC19" s="75"/>
    </row>
    <row r="20" spans="1:29" ht="15" customHeight="1" x14ac:dyDescent="0.35">
      <c r="A20" s="41" t="s">
        <v>14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71"/>
      <c r="Q20" s="71"/>
      <c r="R20" s="71"/>
      <c r="S20" s="71"/>
      <c r="T20" s="71"/>
      <c r="U20" s="71"/>
      <c r="V20" s="50"/>
      <c r="W20" s="50"/>
      <c r="X20" s="50"/>
      <c r="Y20" s="50"/>
      <c r="Z20" s="50"/>
      <c r="AA20" s="50"/>
      <c r="AB20" s="50"/>
      <c r="AC20" s="50"/>
    </row>
    <row r="21" spans="1:29" ht="15" customHeight="1" x14ac:dyDescent="0.35">
      <c r="A21" s="256" t="s">
        <v>38</v>
      </c>
      <c r="B21" s="256"/>
      <c r="C21" s="256"/>
      <c r="D21" s="256"/>
      <c r="E21" s="256"/>
      <c r="F21" s="256"/>
      <c r="G21" s="256"/>
      <c r="H21" s="256"/>
      <c r="I21" s="256"/>
      <c r="J21" s="256"/>
      <c r="K21" s="256"/>
      <c r="L21" s="256"/>
      <c r="M21" s="256"/>
      <c r="N21" s="256"/>
      <c r="O21" s="256"/>
      <c r="P21" s="256"/>
      <c r="Q21" s="256"/>
      <c r="R21" s="256"/>
      <c r="S21" s="256"/>
      <c r="T21" s="256"/>
      <c r="U21" s="256"/>
      <c r="V21" s="256"/>
      <c r="W21" s="256"/>
      <c r="X21" s="256"/>
      <c r="Y21" s="256"/>
      <c r="Z21" s="256"/>
      <c r="AA21" s="256"/>
      <c r="AB21" s="256"/>
      <c r="AC21" s="256"/>
    </row>
    <row r="22" spans="1:29" ht="15" customHeight="1" x14ac:dyDescent="0.35">
      <c r="A22" s="94" t="s">
        <v>39</v>
      </c>
      <c r="B22" s="94"/>
      <c r="C22" s="94"/>
      <c r="D22" s="94"/>
      <c r="E22" s="94"/>
      <c r="F22" s="94"/>
      <c r="G22" s="94"/>
      <c r="H22" s="94"/>
      <c r="I22" s="94"/>
      <c r="J22" s="94"/>
      <c r="K22" s="94"/>
      <c r="L22" s="94"/>
      <c r="M22" s="94"/>
      <c r="N22" s="94"/>
      <c r="O22" s="94"/>
      <c r="P22" s="94"/>
      <c r="Q22" s="96"/>
      <c r="R22" s="96"/>
      <c r="S22" s="71"/>
      <c r="T22" s="71"/>
      <c r="U22" s="71"/>
      <c r="V22" s="50"/>
      <c r="W22" s="50"/>
      <c r="X22" s="50"/>
      <c r="Y22" s="50"/>
      <c r="Z22" s="50"/>
      <c r="AA22" s="50"/>
      <c r="AB22" s="50"/>
      <c r="AC22" s="50"/>
    </row>
    <row r="23" spans="1:29" ht="15" customHeight="1" x14ac:dyDescent="0.35">
      <c r="A23" s="94" t="s">
        <v>40</v>
      </c>
      <c r="B23" s="94"/>
      <c r="C23" s="94"/>
      <c r="D23" s="94"/>
      <c r="E23" s="94"/>
      <c r="F23" s="94"/>
      <c r="G23" s="94"/>
      <c r="H23" s="94"/>
      <c r="I23" s="94"/>
      <c r="J23" s="94"/>
      <c r="K23" s="94"/>
      <c r="L23" s="94"/>
      <c r="M23" s="94"/>
      <c r="N23" s="94"/>
      <c r="O23" s="94"/>
      <c r="P23" s="94"/>
      <c r="Q23" s="94"/>
      <c r="R23" s="113"/>
      <c r="S23" s="113"/>
      <c r="T23" s="96"/>
      <c r="U23" s="71"/>
      <c r="AA23" s="104"/>
    </row>
    <row r="24" spans="1:29" ht="15" customHeight="1" x14ac:dyDescent="0.35">
      <c r="A24" s="94" t="s">
        <v>43</v>
      </c>
      <c r="B24" s="94"/>
      <c r="C24" s="94"/>
      <c r="D24" s="94"/>
      <c r="E24" s="94"/>
      <c r="F24" s="94"/>
      <c r="G24" s="94"/>
      <c r="H24" s="94"/>
      <c r="I24" s="94"/>
      <c r="J24" s="94"/>
      <c r="K24" s="94"/>
      <c r="L24" s="94"/>
      <c r="M24" s="94"/>
      <c r="N24" s="94"/>
      <c r="O24" s="94"/>
      <c r="P24" s="94"/>
      <c r="Q24" s="94"/>
      <c r="R24" s="113"/>
      <c r="S24" s="113"/>
      <c r="T24" s="71"/>
      <c r="U24" s="71"/>
      <c r="AA24" s="104"/>
    </row>
    <row r="25" spans="1:29" ht="15" customHeight="1" x14ac:dyDescent="0.35">
      <c r="A25" s="41" t="s">
        <v>44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3"/>
      <c r="S25" s="43"/>
      <c r="AA25" s="117"/>
    </row>
    <row r="26" spans="1:29" ht="15" customHeight="1" x14ac:dyDescent="0.35">
      <c r="A26" s="256" t="s">
        <v>41</v>
      </c>
      <c r="B26" s="256"/>
      <c r="C26" s="256"/>
      <c r="D26" s="256"/>
      <c r="E26" s="256"/>
      <c r="F26" s="256"/>
      <c r="G26" s="256"/>
      <c r="H26" s="256"/>
      <c r="I26" s="256"/>
      <c r="J26" s="256"/>
      <c r="K26" s="256"/>
      <c r="L26" s="256"/>
      <c r="M26" s="256"/>
      <c r="N26" s="256"/>
      <c r="O26" s="256"/>
      <c r="P26" s="256"/>
      <c r="Q26" s="256"/>
      <c r="R26" s="43"/>
      <c r="S26" s="43"/>
      <c r="AA26" s="104"/>
    </row>
    <row r="27" spans="1:29" ht="15" customHeight="1" x14ac:dyDescent="0.35">
      <c r="A27" s="41" t="s">
        <v>42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3"/>
      <c r="S27" s="43"/>
      <c r="AA27" s="104"/>
    </row>
  </sheetData>
  <mergeCells count="10">
    <mergeCell ref="A26:Q26"/>
    <mergeCell ref="A21:AC21"/>
    <mergeCell ref="A1:AB1"/>
    <mergeCell ref="B3:E3"/>
    <mergeCell ref="F3:I3"/>
    <mergeCell ref="J3:M3"/>
    <mergeCell ref="N3:Q3"/>
    <mergeCell ref="R3:U3"/>
    <mergeCell ref="V3:Y3"/>
    <mergeCell ref="Z3:AC3"/>
  </mergeCells>
  <pageMargins left="0.7" right="0.7" top="0.75" bottom="0.75" header="0.3" footer="0.3"/>
  <pageSetup orientation="portrait" horizontalDpi="30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G28"/>
  <sheetViews>
    <sheetView zoomScale="80" zoomScaleNormal="80" workbookViewId="0">
      <selection activeCell="F17" sqref="F17:G17"/>
    </sheetView>
  </sheetViews>
  <sheetFormatPr defaultRowHeight="14.5" x14ac:dyDescent="0.35"/>
  <cols>
    <col min="2" max="3" width="9.6328125" customWidth="1"/>
    <col min="4" max="5" width="5.6328125" customWidth="1"/>
    <col min="6" max="7" width="9.6328125" customWidth="1"/>
    <col min="8" max="9" width="5.6328125" customWidth="1"/>
    <col min="10" max="10" width="9.6328125" customWidth="1"/>
    <col min="11" max="11" width="10.1796875" bestFit="1" customWidth="1"/>
    <col min="12" max="13" width="5.6328125" customWidth="1"/>
    <col min="14" max="15" width="9.6328125" customWidth="1"/>
    <col min="16" max="17" width="5.6328125" customWidth="1"/>
    <col min="18" max="19" width="9.6328125" customWidth="1"/>
    <col min="20" max="21" width="5.6328125" customWidth="1"/>
    <col min="22" max="23" width="9.6328125" customWidth="1"/>
    <col min="24" max="24" width="6.36328125" bestFit="1" customWidth="1"/>
    <col min="25" max="25" width="5.6328125" customWidth="1"/>
    <col min="26" max="27" width="9.6328125" customWidth="1"/>
    <col min="28" max="29" width="5.6328125" customWidth="1"/>
    <col min="30" max="30" width="9.6328125" customWidth="1"/>
    <col min="31" max="31" width="10.1796875" bestFit="1" customWidth="1"/>
    <col min="32" max="33" width="5.6328125" customWidth="1"/>
  </cols>
  <sheetData>
    <row r="1" spans="1:33" ht="20" x14ac:dyDescent="0.4">
      <c r="A1" s="245" t="s">
        <v>45</v>
      </c>
      <c r="B1" s="245"/>
      <c r="C1" s="245"/>
      <c r="D1" s="245"/>
      <c r="E1" s="245"/>
      <c r="F1" s="245"/>
      <c r="G1" s="245"/>
      <c r="H1" s="245"/>
      <c r="I1" s="245"/>
      <c r="J1" s="245"/>
      <c r="K1" s="245"/>
      <c r="L1" s="245"/>
      <c r="M1" s="245"/>
      <c r="N1" s="245"/>
      <c r="O1" s="245"/>
      <c r="P1" s="245"/>
      <c r="Q1" s="245"/>
      <c r="R1" s="245"/>
      <c r="S1" s="245"/>
      <c r="T1" s="245"/>
      <c r="U1" s="245"/>
      <c r="V1" s="245"/>
      <c r="W1" s="245"/>
      <c r="X1" s="245"/>
      <c r="Y1" s="245"/>
      <c r="Z1" s="245"/>
      <c r="AA1" s="245"/>
      <c r="AB1" s="245"/>
      <c r="AC1" s="245"/>
      <c r="AD1" s="245"/>
      <c r="AE1" s="245"/>
      <c r="AF1" s="245"/>
    </row>
    <row r="2" spans="1:33" ht="15" thickBot="1" x14ac:dyDescent="0.4"/>
    <row r="3" spans="1:33" ht="22" customHeight="1" x14ac:dyDescent="0.35">
      <c r="A3" s="44" t="s">
        <v>9</v>
      </c>
      <c r="B3" s="246" t="s">
        <v>0</v>
      </c>
      <c r="C3" s="247"/>
      <c r="D3" s="247"/>
      <c r="E3" s="248"/>
      <c r="F3" s="246" t="s">
        <v>46</v>
      </c>
      <c r="G3" s="247"/>
      <c r="H3" s="247"/>
      <c r="I3" s="248"/>
      <c r="J3" s="246" t="s">
        <v>1</v>
      </c>
      <c r="K3" s="247"/>
      <c r="L3" s="247"/>
      <c r="M3" s="248"/>
      <c r="N3" s="246" t="s">
        <v>2</v>
      </c>
      <c r="O3" s="247"/>
      <c r="P3" s="247"/>
      <c r="Q3" s="248"/>
      <c r="R3" s="246" t="s">
        <v>3</v>
      </c>
      <c r="S3" s="247"/>
      <c r="T3" s="247"/>
      <c r="U3" s="248"/>
      <c r="V3" s="246" t="s">
        <v>5</v>
      </c>
      <c r="W3" s="247"/>
      <c r="X3" s="247"/>
      <c r="Y3" s="248"/>
      <c r="Z3" s="246" t="s">
        <v>4</v>
      </c>
      <c r="AA3" s="247"/>
      <c r="AB3" s="247"/>
      <c r="AC3" s="248"/>
      <c r="AD3" s="249" t="s">
        <v>12</v>
      </c>
      <c r="AE3" s="249"/>
      <c r="AF3" s="249"/>
      <c r="AG3" s="250"/>
    </row>
    <row r="4" spans="1:33" ht="22" customHeight="1" thickBot="1" x14ac:dyDescent="0.4">
      <c r="A4" s="45" t="s">
        <v>10</v>
      </c>
      <c r="B4" s="46" t="s">
        <v>34</v>
      </c>
      <c r="C4" s="46" t="s">
        <v>47</v>
      </c>
      <c r="D4" s="46" t="s">
        <v>48</v>
      </c>
      <c r="E4" s="46" t="s">
        <v>18</v>
      </c>
      <c r="F4" s="46" t="s">
        <v>34</v>
      </c>
      <c r="G4" s="46" t="s">
        <v>47</v>
      </c>
      <c r="H4" s="46" t="s">
        <v>48</v>
      </c>
      <c r="I4" s="46" t="s">
        <v>18</v>
      </c>
      <c r="J4" s="46" t="s">
        <v>34</v>
      </c>
      <c r="K4" s="46" t="s">
        <v>47</v>
      </c>
      <c r="L4" s="46" t="s">
        <v>37</v>
      </c>
      <c r="M4" s="46" t="s">
        <v>18</v>
      </c>
      <c r="N4" s="46" t="s">
        <v>34</v>
      </c>
      <c r="O4" s="46" t="s">
        <v>47</v>
      </c>
      <c r="P4" s="46" t="s">
        <v>48</v>
      </c>
      <c r="Q4" s="46" t="s">
        <v>18</v>
      </c>
      <c r="R4" s="46" t="s">
        <v>34</v>
      </c>
      <c r="S4" s="46" t="s">
        <v>47</v>
      </c>
      <c r="T4" s="46" t="s">
        <v>48</v>
      </c>
      <c r="U4" s="46" t="s">
        <v>18</v>
      </c>
      <c r="V4" s="46" t="s">
        <v>34</v>
      </c>
      <c r="W4" s="46" t="s">
        <v>47</v>
      </c>
      <c r="X4" s="46" t="s">
        <v>48</v>
      </c>
      <c r="Y4" s="46" t="s">
        <v>18</v>
      </c>
      <c r="Z4" s="46" t="s">
        <v>34</v>
      </c>
      <c r="AA4" s="46" t="s">
        <v>47</v>
      </c>
      <c r="AB4" s="46" t="s">
        <v>48</v>
      </c>
      <c r="AC4" s="46" t="s">
        <v>18</v>
      </c>
      <c r="AD4" s="46" t="s">
        <v>35</v>
      </c>
      <c r="AE4" s="46" t="s">
        <v>36</v>
      </c>
      <c r="AF4" s="46" t="s">
        <v>48</v>
      </c>
      <c r="AG4" s="47" t="s">
        <v>18</v>
      </c>
    </row>
    <row r="5" spans="1:33" ht="22" customHeight="1" x14ac:dyDescent="0.35">
      <c r="A5" s="121">
        <v>44166</v>
      </c>
      <c r="B5" s="122">
        <v>208086.92</v>
      </c>
      <c r="C5" s="123">
        <v>3124423.48</v>
      </c>
      <c r="D5" s="124">
        <v>6.6600101212912408</v>
      </c>
      <c r="E5" s="125"/>
      <c r="F5" s="125"/>
      <c r="G5" s="125"/>
      <c r="H5" s="125"/>
      <c r="I5" s="125"/>
      <c r="J5" s="122">
        <v>1691410.25</v>
      </c>
      <c r="K5" s="126">
        <v>23123388.760000002</v>
      </c>
      <c r="L5" s="124">
        <v>7.3147161411128732</v>
      </c>
      <c r="M5" s="127"/>
      <c r="N5" s="122">
        <v>123231.36</v>
      </c>
      <c r="O5" s="126">
        <v>3758938</v>
      </c>
      <c r="P5" s="124">
        <v>3.2783557483523276</v>
      </c>
      <c r="Q5" s="127"/>
      <c r="R5" s="122">
        <v>305985.13</v>
      </c>
      <c r="S5" s="126">
        <v>4680181</v>
      </c>
      <c r="T5" s="124">
        <v>6.5378909490893617</v>
      </c>
      <c r="U5" s="127"/>
      <c r="V5" s="122">
        <v>203077.36</v>
      </c>
      <c r="W5" s="126">
        <v>5331906.4400000004</v>
      </c>
      <c r="X5" s="124">
        <v>3.8087194943353131</v>
      </c>
      <c r="Y5" s="128"/>
      <c r="Z5" s="122">
        <v>156264.49</v>
      </c>
      <c r="AA5" s="126">
        <v>933802</v>
      </c>
      <c r="AB5" s="124">
        <v>16.73422095904699</v>
      </c>
      <c r="AC5" s="127"/>
      <c r="AD5" s="122">
        <v>2688055.51</v>
      </c>
      <c r="AE5" s="126">
        <v>40952639.68</v>
      </c>
      <c r="AF5" s="124">
        <v>6.5638150092502165</v>
      </c>
      <c r="AG5" s="129"/>
    </row>
    <row r="6" spans="1:33" ht="22" customHeight="1" x14ac:dyDescent="0.35">
      <c r="A6" s="121">
        <v>44197</v>
      </c>
      <c r="B6" s="130">
        <v>227659.5</v>
      </c>
      <c r="C6" s="131">
        <v>3559833</v>
      </c>
      <c r="D6" s="132">
        <f t="shared" ref="D6:D17" si="0">B6/C6*100</f>
        <v>6.395229776228267</v>
      </c>
      <c r="E6" s="127">
        <f t="shared" ref="E6:E17" si="1">D6/D5-1</f>
        <v>-3.97567481491512E-2</v>
      </c>
      <c r="F6" s="133">
        <v>26208.639999999999</v>
      </c>
      <c r="G6" s="134">
        <v>321705</v>
      </c>
      <c r="H6" s="135">
        <f t="shared" ref="H6:H17" si="2">F6/G6*100</f>
        <v>8.1467928692435621</v>
      </c>
      <c r="I6" s="128"/>
      <c r="J6" s="136">
        <v>2061895.23</v>
      </c>
      <c r="K6" s="137">
        <v>28254443.52</v>
      </c>
      <c r="L6" s="138">
        <f t="shared" ref="L6:L17" si="3">J6/K6*100</f>
        <v>7.2975963180463301</v>
      </c>
      <c r="M6" s="127">
        <f t="shared" ref="M6:M17" si="4">L6/L5-1</f>
        <v>-2.3404630796702852E-3</v>
      </c>
      <c r="N6" s="130">
        <v>154553.53</v>
      </c>
      <c r="O6" s="137">
        <v>4654878</v>
      </c>
      <c r="P6" s="138">
        <f t="shared" ref="P6:P17" si="5">N6/O6*100</f>
        <v>3.3202487798820934</v>
      </c>
      <c r="Q6" s="127">
        <f t="shared" ref="Q6:Q17" si="6">P6/P5-1</f>
        <v>1.2778671610248704E-2</v>
      </c>
      <c r="R6" s="130">
        <v>364769.68</v>
      </c>
      <c r="S6" s="137">
        <v>5193662</v>
      </c>
      <c r="T6" s="138">
        <f t="shared" ref="T6:T17" si="7">R6/S6*100</f>
        <v>7.023361936144477</v>
      </c>
      <c r="U6" s="127">
        <f>T6/T5-1</f>
        <v>7.4254983883256021E-2</v>
      </c>
      <c r="V6" s="130">
        <v>235831.92</v>
      </c>
      <c r="W6" s="137">
        <v>5863614.2999999998</v>
      </c>
      <c r="X6" s="138">
        <f t="shared" ref="X6:X17" si="8">V6/W6*100</f>
        <v>4.0219548547045463</v>
      </c>
      <c r="Y6" s="128">
        <f>X6/X5-1</f>
        <v>5.5986102595997567E-2</v>
      </c>
      <c r="Z6" s="136">
        <v>138733.34</v>
      </c>
      <c r="AA6" s="137">
        <v>1039231</v>
      </c>
      <c r="AB6" s="138">
        <f t="shared" ref="AB6:AB17" si="9">Z6/AA6*100</f>
        <v>13.349615244348948</v>
      </c>
      <c r="AC6" s="127">
        <f t="shared" ref="AC6:AC17" si="10">AB6/AB5-1</f>
        <v>-0.20225654501521495</v>
      </c>
      <c r="AD6" s="139">
        <f>+B6+F6+J6+N6+R6+V6+Z6</f>
        <v>3209651.84</v>
      </c>
      <c r="AE6" s="140">
        <f>+C6+G6+K6+O6+S6+W6+AA6</f>
        <v>48887366.819999993</v>
      </c>
      <c r="AF6" s="141">
        <f t="shared" ref="AF6:AF17" si="11">AD6/AE6*100</f>
        <v>6.5654013475868371</v>
      </c>
      <c r="AG6" s="129">
        <f t="shared" ref="AG6:AG17" si="12">AF6/AF5-1</f>
        <v>2.4167931826002409E-4</v>
      </c>
    </row>
    <row r="7" spans="1:33" ht="22" customHeight="1" x14ac:dyDescent="0.35">
      <c r="A7" s="142">
        <v>44228</v>
      </c>
      <c r="B7" s="143">
        <v>215840.63</v>
      </c>
      <c r="C7" s="144">
        <v>3349131.2</v>
      </c>
      <c r="D7" s="145">
        <f t="shared" si="0"/>
        <v>6.4446752638415594</v>
      </c>
      <c r="E7" s="127">
        <f t="shared" si="1"/>
        <v>7.7316201830754938E-3</v>
      </c>
      <c r="F7" s="146">
        <v>29407.17</v>
      </c>
      <c r="G7" s="147">
        <v>230285.97</v>
      </c>
      <c r="H7" s="148">
        <f t="shared" si="2"/>
        <v>12.769848723306938</v>
      </c>
      <c r="I7" s="149">
        <f t="shared" ref="I7:I17" si="13">H7/H6-1</f>
        <v>0.56746942364482034</v>
      </c>
      <c r="J7" s="150">
        <v>1731660.24</v>
      </c>
      <c r="K7" s="147">
        <v>22371842.969999999</v>
      </c>
      <c r="L7" s="141">
        <f t="shared" si="3"/>
        <v>7.7403557781185333</v>
      </c>
      <c r="M7" s="127">
        <f t="shared" si="4"/>
        <v>6.0671958378582413E-2</v>
      </c>
      <c r="N7" s="143">
        <v>136307.6</v>
      </c>
      <c r="O7" s="147">
        <v>3803383</v>
      </c>
      <c r="P7" s="141">
        <f t="shared" si="5"/>
        <v>3.5838515342788249</v>
      </c>
      <c r="Q7" s="127">
        <f t="shared" si="6"/>
        <v>7.9392470827469808E-2</v>
      </c>
      <c r="R7" s="143">
        <v>291880.69</v>
      </c>
      <c r="S7" s="147">
        <v>4283148</v>
      </c>
      <c r="T7" s="141">
        <f t="shared" si="7"/>
        <v>6.8146300337975712</v>
      </c>
      <c r="U7" s="127">
        <f t="shared" ref="U7:U17" si="14">T7/T6-1</f>
        <v>-2.9719656233677005E-2</v>
      </c>
      <c r="V7" s="143">
        <v>212482.1</v>
      </c>
      <c r="W7" s="147">
        <v>5753912.1699999999</v>
      </c>
      <c r="X7" s="141">
        <f t="shared" si="8"/>
        <v>3.6928283526441104</v>
      </c>
      <c r="Y7" s="128">
        <f t="shared" ref="Y7:Y17" si="15">X7/X6-1</f>
        <v>-8.1832470515041056E-2</v>
      </c>
      <c r="Z7" s="151">
        <v>122887.33</v>
      </c>
      <c r="AA7" s="147">
        <v>927136</v>
      </c>
      <c r="AB7" s="141">
        <f t="shared" si="9"/>
        <v>13.254509586511579</v>
      </c>
      <c r="AC7" s="127">
        <f t="shared" si="10"/>
        <v>-7.1242246384313201E-3</v>
      </c>
      <c r="AD7" s="139">
        <f t="shared" ref="AD7:AD17" si="16">+B7+F7+J7+N7+R7+V7+Z7</f>
        <v>2740465.7600000002</v>
      </c>
      <c r="AE7" s="140">
        <f t="shared" ref="AE7:AE17" si="17">+C7+G7+K7+O7+S7+W7+AA7</f>
        <v>40718839.310000002</v>
      </c>
      <c r="AF7" s="141">
        <f t="shared" si="11"/>
        <v>6.7302158078139982</v>
      </c>
      <c r="AG7" s="129">
        <f t="shared" si="12"/>
        <v>2.510348591068845E-2</v>
      </c>
    </row>
    <row r="8" spans="1:33" ht="22" customHeight="1" x14ac:dyDescent="0.35">
      <c r="A8" s="142">
        <v>44256</v>
      </c>
      <c r="B8" s="150">
        <v>237411.69</v>
      </c>
      <c r="C8" s="144">
        <v>3616565</v>
      </c>
      <c r="D8" s="145">
        <f t="shared" si="0"/>
        <v>6.5645630591459021</v>
      </c>
      <c r="E8" s="127">
        <f t="shared" si="1"/>
        <v>1.8602612295608445E-2</v>
      </c>
      <c r="F8" s="164">
        <v>43398.69</v>
      </c>
      <c r="G8" s="134">
        <v>394861.76</v>
      </c>
      <c r="H8" s="148">
        <f t="shared" si="2"/>
        <v>10.9908566481596</v>
      </c>
      <c r="I8" s="128">
        <f t="shared" si="13"/>
        <v>-0.13931191462749315</v>
      </c>
      <c r="J8" s="151">
        <v>2209429.56</v>
      </c>
      <c r="K8" s="147">
        <v>27432094.039999999</v>
      </c>
      <c r="L8" s="141">
        <f t="shared" si="3"/>
        <v>8.0541775512227733</v>
      </c>
      <c r="M8" s="127">
        <f t="shared" si="4"/>
        <v>4.0543585088348655E-2</v>
      </c>
      <c r="N8" s="143">
        <v>119135.78</v>
      </c>
      <c r="O8" s="147">
        <v>2837273</v>
      </c>
      <c r="P8" s="141">
        <f t="shared" si="5"/>
        <v>4.1989537136539203</v>
      </c>
      <c r="Q8" s="127">
        <f t="shared" si="6"/>
        <v>0.17163160178142589</v>
      </c>
      <c r="R8" s="143">
        <v>443488.9</v>
      </c>
      <c r="S8" s="147">
        <v>5802709.8399999999</v>
      </c>
      <c r="T8" s="141">
        <f t="shared" si="7"/>
        <v>7.6427895281422522</v>
      </c>
      <c r="U8" s="127">
        <f t="shared" si="14"/>
        <v>0.12152669920998993</v>
      </c>
      <c r="V8" s="143">
        <v>231899.93</v>
      </c>
      <c r="W8" s="147">
        <v>5692829.7199999997</v>
      </c>
      <c r="X8" s="141">
        <f t="shared" si="8"/>
        <v>4.0735441143670812</v>
      </c>
      <c r="Y8" s="128">
        <f t="shared" si="15"/>
        <v>0.10309598101151218</v>
      </c>
      <c r="Z8" s="151">
        <v>178937.54</v>
      </c>
      <c r="AA8" s="147">
        <v>1357189.59</v>
      </c>
      <c r="AB8" s="141">
        <f t="shared" si="9"/>
        <v>13.184417366478622</v>
      </c>
      <c r="AC8" s="127">
        <f t="shared" si="10"/>
        <v>-5.2881790590190159E-3</v>
      </c>
      <c r="AD8" s="139">
        <f t="shared" si="16"/>
        <v>3463702.09</v>
      </c>
      <c r="AE8" s="140">
        <f t="shared" si="17"/>
        <v>47133522.950000003</v>
      </c>
      <c r="AF8" s="141">
        <f t="shared" si="11"/>
        <v>7.3487018860744842</v>
      </c>
      <c r="AG8" s="129">
        <f t="shared" si="12"/>
        <v>9.1896916224053937E-2</v>
      </c>
    </row>
    <row r="9" spans="1:33" ht="22" customHeight="1" x14ac:dyDescent="0.35">
      <c r="A9" s="142">
        <v>44287</v>
      </c>
      <c r="B9" s="143">
        <v>232465.3</v>
      </c>
      <c r="C9" s="154">
        <v>3260942</v>
      </c>
      <c r="D9" s="145">
        <f t="shared" si="0"/>
        <v>7.1287775127555157</v>
      </c>
      <c r="E9" s="127">
        <f t="shared" si="1"/>
        <v>8.5948516074278114E-2</v>
      </c>
      <c r="F9" s="133">
        <v>50076.71</v>
      </c>
      <c r="G9" s="134">
        <v>330257</v>
      </c>
      <c r="H9" s="148">
        <f t="shared" si="2"/>
        <v>15.162951882927539</v>
      </c>
      <c r="I9" s="128">
        <f t="shared" si="13"/>
        <v>0.37959691117130068</v>
      </c>
      <c r="J9" s="151">
        <v>2471600.3199999998</v>
      </c>
      <c r="K9" s="147">
        <v>29149582.260000002</v>
      </c>
      <c r="L9" s="141">
        <f t="shared" si="3"/>
        <v>8.4790248380046584</v>
      </c>
      <c r="M9" s="127">
        <f t="shared" si="4"/>
        <v>5.274868651453879E-2</v>
      </c>
      <c r="N9" s="143">
        <v>171402.08</v>
      </c>
      <c r="O9" s="147">
        <v>4096730</v>
      </c>
      <c r="P9" s="141">
        <f t="shared" si="5"/>
        <v>4.1838754323570262</v>
      </c>
      <c r="Q9" s="127">
        <f t="shared" si="6"/>
        <v>-3.5909615406960471E-3</v>
      </c>
      <c r="R9" s="143">
        <v>325186.96999999997</v>
      </c>
      <c r="S9" s="147">
        <v>4601070</v>
      </c>
      <c r="T9" s="141">
        <f t="shared" si="7"/>
        <v>7.0676379624739454</v>
      </c>
      <c r="U9" s="127">
        <f t="shared" si="14"/>
        <v>-7.5254141639055416E-2</v>
      </c>
      <c r="V9" s="143">
        <v>262203.59000000003</v>
      </c>
      <c r="W9" s="147">
        <v>6636146.6200000001</v>
      </c>
      <c r="X9" s="141">
        <f t="shared" si="8"/>
        <v>3.9511422066801778</v>
      </c>
      <c r="Y9" s="128">
        <f t="shared" si="15"/>
        <v>-3.0048013290245534E-2</v>
      </c>
      <c r="Z9" s="151">
        <v>162291.46</v>
      </c>
      <c r="AA9" s="147">
        <v>1096753</v>
      </c>
      <c r="AB9" s="141">
        <f t="shared" si="9"/>
        <v>14.797448468342461</v>
      </c>
      <c r="AC9" s="127">
        <f t="shared" si="10"/>
        <v>0.12234375300989564</v>
      </c>
      <c r="AD9" s="139">
        <f t="shared" si="16"/>
        <v>3675226.4299999997</v>
      </c>
      <c r="AE9" s="140">
        <f t="shared" si="17"/>
        <v>49171480.880000003</v>
      </c>
      <c r="AF9" s="141">
        <f t="shared" si="11"/>
        <v>7.4743049512158581</v>
      </c>
      <c r="AG9" s="129">
        <f t="shared" si="12"/>
        <v>1.7091871066288178E-2</v>
      </c>
    </row>
    <row r="10" spans="1:33" ht="22" customHeight="1" x14ac:dyDescent="0.35">
      <c r="A10" s="142">
        <v>44317</v>
      </c>
      <c r="B10" s="150">
        <v>135679.38</v>
      </c>
      <c r="C10" s="147">
        <v>1973302</v>
      </c>
      <c r="D10" s="145">
        <f t="shared" si="0"/>
        <v>6.8757534325713969</v>
      </c>
      <c r="E10" s="127">
        <f t="shared" si="1"/>
        <v>-3.5493333847406938E-2</v>
      </c>
      <c r="F10" s="146">
        <v>30385.86</v>
      </c>
      <c r="G10" s="147">
        <v>169740.57</v>
      </c>
      <c r="H10" s="148">
        <f t="shared" si="2"/>
        <v>17.901353813057185</v>
      </c>
      <c r="I10" s="128">
        <f t="shared" si="13"/>
        <v>0.18059820747785271</v>
      </c>
      <c r="J10" s="150">
        <v>2364646.37</v>
      </c>
      <c r="K10" s="147">
        <v>27095403.670000002</v>
      </c>
      <c r="L10" s="141">
        <f t="shared" si="3"/>
        <v>8.7271125346552179</v>
      </c>
      <c r="M10" s="127">
        <f t="shared" si="4"/>
        <v>2.9258989257654022E-2</v>
      </c>
      <c r="N10" s="143">
        <v>170535.91</v>
      </c>
      <c r="O10" s="147">
        <v>4378458</v>
      </c>
      <c r="P10" s="141">
        <f t="shared" si="5"/>
        <v>3.8948851399282578</v>
      </c>
      <c r="Q10" s="127">
        <f t="shared" si="6"/>
        <v>-6.9072394028223516E-2</v>
      </c>
      <c r="R10" s="143">
        <v>369574.49</v>
      </c>
      <c r="S10" s="147">
        <v>5002922</v>
      </c>
      <c r="T10" s="141">
        <f t="shared" si="7"/>
        <v>7.3871727362529338</v>
      </c>
      <c r="U10" s="127">
        <f t="shared" si="14"/>
        <v>4.521097083291159E-2</v>
      </c>
      <c r="V10" s="143">
        <v>283540.17</v>
      </c>
      <c r="W10" s="147">
        <v>5820822.0899999999</v>
      </c>
      <c r="X10" s="141">
        <f t="shared" si="8"/>
        <v>4.8711361662661634</v>
      </c>
      <c r="Y10" s="128">
        <f t="shared" si="15"/>
        <v>0.23284253298465352</v>
      </c>
      <c r="Z10" s="150">
        <v>132411.57999999999</v>
      </c>
      <c r="AA10" s="147">
        <v>820261.8</v>
      </c>
      <c r="AB10" s="141">
        <f t="shared" si="9"/>
        <v>16.142599838246763</v>
      </c>
      <c r="AC10" s="127">
        <f t="shared" si="10"/>
        <v>9.0904278043752562E-2</v>
      </c>
      <c r="AD10" s="139">
        <f t="shared" si="16"/>
        <v>3486773.7600000007</v>
      </c>
      <c r="AE10" s="140">
        <f t="shared" si="17"/>
        <v>45260910.129999995</v>
      </c>
      <c r="AF10" s="141">
        <f t="shared" si="11"/>
        <v>7.7037199428495029</v>
      </c>
      <c r="AG10" s="129">
        <f t="shared" si="12"/>
        <v>3.0693822787672742E-2</v>
      </c>
    </row>
    <row r="11" spans="1:33" ht="22" customHeight="1" x14ac:dyDescent="0.35">
      <c r="A11" s="142">
        <v>44348</v>
      </c>
      <c r="B11" s="143">
        <v>254510.21</v>
      </c>
      <c r="C11" s="147">
        <v>3366913</v>
      </c>
      <c r="D11" s="145">
        <f t="shared" si="0"/>
        <v>7.5591561171910291</v>
      </c>
      <c r="E11" s="127">
        <f t="shared" si="1"/>
        <v>9.9393134341068556E-2</v>
      </c>
      <c r="F11" s="133">
        <v>41939.14</v>
      </c>
      <c r="G11" s="134">
        <v>266815</v>
      </c>
      <c r="H11" s="148">
        <f t="shared" si="2"/>
        <v>15.718434121020183</v>
      </c>
      <c r="I11" s="128">
        <f t="shared" si="13"/>
        <v>-0.12194159809549088</v>
      </c>
      <c r="J11" s="151">
        <v>2547608.23</v>
      </c>
      <c r="K11" s="147">
        <v>28648747.129999999</v>
      </c>
      <c r="L11" s="141">
        <f t="shared" si="3"/>
        <v>8.8925641964015618</v>
      </c>
      <c r="M11" s="127">
        <f t="shared" si="4"/>
        <v>1.8958350896626897E-2</v>
      </c>
      <c r="N11" s="143">
        <v>120103.66</v>
      </c>
      <c r="O11" s="147">
        <v>3382152</v>
      </c>
      <c r="P11" s="141">
        <f t="shared" si="5"/>
        <v>3.5511017837164029</v>
      </c>
      <c r="Q11" s="127">
        <f t="shared" si="6"/>
        <v>-8.8265338735556975E-2</v>
      </c>
      <c r="R11" s="143">
        <v>441793.62</v>
      </c>
      <c r="S11" s="147">
        <v>5439671</v>
      </c>
      <c r="T11" s="141">
        <f t="shared" si="7"/>
        <v>8.121697433539639</v>
      </c>
      <c r="U11" s="127">
        <f t="shared" si="14"/>
        <v>9.9432451833972646E-2</v>
      </c>
      <c r="V11" s="143">
        <v>227514.28</v>
      </c>
      <c r="W11" s="147">
        <v>5394024.71</v>
      </c>
      <c r="X11" s="141">
        <f t="shared" si="8"/>
        <v>4.2178946562519544</v>
      </c>
      <c r="Y11" s="128">
        <f t="shared" si="15"/>
        <v>-0.13410454721797138</v>
      </c>
      <c r="Z11" s="151">
        <v>215341.71</v>
      </c>
      <c r="AA11" s="147">
        <v>1209656</v>
      </c>
      <c r="AB11" s="141">
        <f t="shared" si="9"/>
        <v>17.801896572248637</v>
      </c>
      <c r="AC11" s="127">
        <f t="shared" si="10"/>
        <v>0.10278993164846284</v>
      </c>
      <c r="AD11" s="152">
        <f t="shared" si="16"/>
        <v>3848810.85</v>
      </c>
      <c r="AE11" s="140">
        <f t="shared" si="17"/>
        <v>47707978.839999996</v>
      </c>
      <c r="AF11" s="153">
        <f t="shared" si="11"/>
        <v>8.0674363986533546</v>
      </c>
      <c r="AG11" s="129">
        <f t="shared" si="12"/>
        <v>4.7213094258631294E-2</v>
      </c>
    </row>
    <row r="12" spans="1:33" ht="22" customHeight="1" x14ac:dyDescent="0.35">
      <c r="A12" s="142">
        <v>44378</v>
      </c>
      <c r="B12" s="143">
        <v>246693.7</v>
      </c>
      <c r="C12" s="147">
        <v>3105351</v>
      </c>
      <c r="D12" s="145">
        <f t="shared" si="0"/>
        <v>7.9441486646759092</v>
      </c>
      <c r="E12" s="127">
        <f t="shared" si="1"/>
        <v>5.0930625259786533E-2</v>
      </c>
      <c r="F12" s="133">
        <v>38748.33</v>
      </c>
      <c r="G12" s="134">
        <v>259941</v>
      </c>
      <c r="H12" s="148">
        <f t="shared" si="2"/>
        <v>14.906586494627627</v>
      </c>
      <c r="I12" s="128">
        <f t="shared" si="13"/>
        <v>-5.1649395871238624E-2</v>
      </c>
      <c r="J12" s="151">
        <v>2732380.72</v>
      </c>
      <c r="K12" s="154">
        <v>28416414.48</v>
      </c>
      <c r="L12" s="153">
        <f t="shared" si="3"/>
        <v>9.6155013572282328</v>
      </c>
      <c r="M12" s="127">
        <f t="shared" si="4"/>
        <v>8.1296816627898227E-2</v>
      </c>
      <c r="N12" s="143">
        <v>166233.72</v>
      </c>
      <c r="O12" s="147">
        <v>3834215</v>
      </c>
      <c r="P12" s="153">
        <f t="shared" si="5"/>
        <v>4.3355346531167394</v>
      </c>
      <c r="Q12" s="127">
        <f t="shared" si="6"/>
        <v>0.22089844706714912</v>
      </c>
      <c r="R12" s="143">
        <v>372300.45</v>
      </c>
      <c r="S12" s="147">
        <v>4682963</v>
      </c>
      <c r="T12" s="153">
        <f t="shared" si="7"/>
        <v>7.9501044530994589</v>
      </c>
      <c r="U12" s="127">
        <f t="shared" si="14"/>
        <v>-2.1127723834129086E-2</v>
      </c>
      <c r="V12" s="143">
        <v>203205.77</v>
      </c>
      <c r="W12" s="147">
        <v>5107381.1500000004</v>
      </c>
      <c r="X12" s="141">
        <f t="shared" si="8"/>
        <v>3.9786685980935648</v>
      </c>
      <c r="Y12" s="128">
        <f t="shared" si="15"/>
        <v>-5.6716935261481249E-2</v>
      </c>
      <c r="Z12" s="151">
        <v>173479.46</v>
      </c>
      <c r="AA12" s="147">
        <v>978966</v>
      </c>
      <c r="AB12" s="153">
        <f t="shared" si="9"/>
        <v>17.720682842917935</v>
      </c>
      <c r="AC12" s="127">
        <f t="shared" si="10"/>
        <v>-4.5620829781308769E-3</v>
      </c>
      <c r="AD12" s="152">
        <f t="shared" si="16"/>
        <v>3933042.1500000004</v>
      </c>
      <c r="AE12" s="140">
        <f t="shared" si="17"/>
        <v>46385231.630000003</v>
      </c>
      <c r="AF12" s="153">
        <f t="shared" si="11"/>
        <v>8.4790826989344499</v>
      </c>
      <c r="AG12" s="129">
        <f t="shared" si="12"/>
        <v>5.1025664156436168E-2</v>
      </c>
    </row>
    <row r="13" spans="1:33" ht="22" customHeight="1" x14ac:dyDescent="0.35">
      <c r="A13" s="142">
        <v>44409</v>
      </c>
      <c r="B13" s="143">
        <v>269169.78000000003</v>
      </c>
      <c r="C13" s="147">
        <v>3221956</v>
      </c>
      <c r="D13" s="145">
        <f t="shared" si="0"/>
        <v>8.3542351292196422</v>
      </c>
      <c r="E13" s="127">
        <f t="shared" si="1"/>
        <v>5.1621197167067701E-2</v>
      </c>
      <c r="F13" s="133">
        <v>49916.05</v>
      </c>
      <c r="G13" s="134">
        <v>275089.76</v>
      </c>
      <c r="H13" s="148">
        <f t="shared" si="2"/>
        <v>18.145368260890553</v>
      </c>
      <c r="I13" s="128">
        <f t="shared" si="13"/>
        <v>0.21727185948507999</v>
      </c>
      <c r="J13" s="151">
        <v>2475528.59</v>
      </c>
      <c r="K13" s="147">
        <v>27119955.98</v>
      </c>
      <c r="L13" s="153">
        <f t="shared" si="3"/>
        <v>9.1280700891462132</v>
      </c>
      <c r="M13" s="127">
        <f t="shared" si="4"/>
        <v>-5.069223641839582E-2</v>
      </c>
      <c r="N13" s="150">
        <v>158177</v>
      </c>
      <c r="O13" s="147">
        <v>3794860</v>
      </c>
      <c r="P13" s="153">
        <f t="shared" si="5"/>
        <v>4.1681906578898831</v>
      </c>
      <c r="Q13" s="127">
        <f t="shared" si="6"/>
        <v>-3.8598237268512081E-2</v>
      </c>
      <c r="R13" s="143">
        <v>391125.31</v>
      </c>
      <c r="S13" s="147">
        <v>4932604</v>
      </c>
      <c r="T13" s="153">
        <f t="shared" si="7"/>
        <v>7.929388006821549</v>
      </c>
      <c r="U13" s="127">
        <f t="shared" si="14"/>
        <v>-2.6058080620353641E-3</v>
      </c>
      <c r="V13" s="143">
        <v>284593.71999999997</v>
      </c>
      <c r="W13" s="147">
        <v>6401533.9299999997</v>
      </c>
      <c r="X13" s="141">
        <f t="shared" si="8"/>
        <v>4.4457113421876366</v>
      </c>
      <c r="Y13" s="128">
        <f t="shared" si="15"/>
        <v>0.11738669169828864</v>
      </c>
      <c r="Z13" s="151">
        <v>143172.16</v>
      </c>
      <c r="AA13" s="147">
        <v>1056661</v>
      </c>
      <c r="AB13" s="153">
        <f t="shared" si="9"/>
        <v>13.549488435742399</v>
      </c>
      <c r="AC13" s="127">
        <f t="shared" si="10"/>
        <v>-0.23538564761586223</v>
      </c>
      <c r="AD13" s="152">
        <f t="shared" si="16"/>
        <v>3771682.6100000003</v>
      </c>
      <c r="AE13" s="140">
        <f t="shared" si="17"/>
        <v>46802660.670000002</v>
      </c>
      <c r="AF13" s="153">
        <f t="shared" si="11"/>
        <v>8.0586927238895374</v>
      </c>
      <c r="AG13" s="129">
        <f t="shared" si="12"/>
        <v>-4.9579652654849315E-2</v>
      </c>
    </row>
    <row r="14" spans="1:33" ht="22" customHeight="1" x14ac:dyDescent="0.35">
      <c r="A14" s="142">
        <v>44440</v>
      </c>
      <c r="B14" s="143">
        <v>243266.76</v>
      </c>
      <c r="C14" s="147">
        <v>3475813.16</v>
      </c>
      <c r="D14" s="145">
        <f t="shared" si="0"/>
        <v>6.9988445523924536</v>
      </c>
      <c r="E14" s="127">
        <f t="shared" si="1"/>
        <v>-0.16223993649479596</v>
      </c>
      <c r="F14" s="133">
        <v>48975.65</v>
      </c>
      <c r="G14" s="134">
        <v>336032</v>
      </c>
      <c r="H14" s="148">
        <f t="shared" si="2"/>
        <v>14.574698243024475</v>
      </c>
      <c r="I14" s="128">
        <f t="shared" si="13"/>
        <v>-0.19678134753330345</v>
      </c>
      <c r="J14" s="151">
        <v>2604976.86</v>
      </c>
      <c r="K14" s="147">
        <v>28555628.23</v>
      </c>
      <c r="L14" s="153">
        <f t="shared" si="3"/>
        <v>9.122463841517801</v>
      </c>
      <c r="M14" s="127">
        <f t="shared" si="4"/>
        <v>-6.1417666315666253E-4</v>
      </c>
      <c r="N14" s="143">
        <v>106869.34</v>
      </c>
      <c r="O14" s="147">
        <v>3209965</v>
      </c>
      <c r="P14" s="153">
        <f t="shared" si="5"/>
        <v>3.3292992291193202</v>
      </c>
      <c r="Q14" s="127">
        <f t="shared" si="6"/>
        <v>-0.20126033035044655</v>
      </c>
      <c r="R14" s="143">
        <v>345049.05</v>
      </c>
      <c r="S14" s="147">
        <v>4782446</v>
      </c>
      <c r="T14" s="153">
        <f t="shared" si="7"/>
        <v>7.2149073925769356</v>
      </c>
      <c r="U14" s="127">
        <f t="shared" si="14"/>
        <v>-9.0105391945753621E-2</v>
      </c>
      <c r="V14" s="143">
        <v>210439.79</v>
      </c>
      <c r="W14" s="147">
        <v>4733897.4800000004</v>
      </c>
      <c r="X14" s="153">
        <f t="shared" si="8"/>
        <v>4.4453812295064736</v>
      </c>
      <c r="Y14" s="128">
        <f t="shared" si="15"/>
        <v>-7.4254186957722901E-5</v>
      </c>
      <c r="Z14" s="143">
        <v>143247.64000000001</v>
      </c>
      <c r="AA14" s="147">
        <v>1168587</v>
      </c>
      <c r="AB14" s="153">
        <f t="shared" si="9"/>
        <v>12.258192158564148</v>
      </c>
      <c r="AC14" s="127">
        <f t="shared" si="10"/>
        <v>-9.5302216264631867E-2</v>
      </c>
      <c r="AD14" s="152">
        <f t="shared" si="16"/>
        <v>3702825.09</v>
      </c>
      <c r="AE14" s="140">
        <f t="shared" si="17"/>
        <v>46262368.870000005</v>
      </c>
      <c r="AF14" s="153">
        <f t="shared" si="11"/>
        <v>8.0039677613681164</v>
      </c>
      <c r="AG14" s="129">
        <f t="shared" si="12"/>
        <v>-6.7907990038126309E-3</v>
      </c>
    </row>
    <row r="15" spans="1:33" ht="22" customHeight="1" x14ac:dyDescent="0.35">
      <c r="A15" s="142">
        <v>44470</v>
      </c>
      <c r="B15" s="143">
        <v>263370.94</v>
      </c>
      <c r="C15" s="147">
        <v>3303637</v>
      </c>
      <c r="D15" s="145">
        <f t="shared" si="0"/>
        <v>7.9721512987050343</v>
      </c>
      <c r="E15" s="127">
        <f t="shared" si="1"/>
        <v>0.13906677581228322</v>
      </c>
      <c r="F15" s="133">
        <v>33647.21</v>
      </c>
      <c r="G15" s="134">
        <v>254410.72</v>
      </c>
      <c r="H15" s="148">
        <f t="shared" si="2"/>
        <v>13.225547256813705</v>
      </c>
      <c r="I15" s="128">
        <f t="shared" si="13"/>
        <v>-9.2568021904431586E-2</v>
      </c>
      <c r="J15" s="151">
        <v>2472822.94</v>
      </c>
      <c r="K15" s="147">
        <v>26939190.16</v>
      </c>
      <c r="L15" s="175">
        <f t="shared" si="3"/>
        <v>9.1792771991776902</v>
      </c>
      <c r="M15" s="127">
        <f t="shared" si="4"/>
        <v>6.2278523266183772E-3</v>
      </c>
      <c r="N15" s="143">
        <v>157721.18</v>
      </c>
      <c r="O15" s="147">
        <v>3588257</v>
      </c>
      <c r="P15" s="153">
        <f t="shared" si="5"/>
        <v>4.3954817060204991</v>
      </c>
      <c r="Q15" s="127">
        <f t="shared" si="6"/>
        <v>0.32024231032643158</v>
      </c>
      <c r="R15" s="143">
        <v>371257.45</v>
      </c>
      <c r="S15" s="147">
        <v>4841403</v>
      </c>
      <c r="T15" s="153">
        <f t="shared" si="7"/>
        <v>7.6683855898796285</v>
      </c>
      <c r="U15" s="127">
        <f t="shared" si="14"/>
        <v>6.2852947741124821E-2</v>
      </c>
      <c r="V15" s="143">
        <v>257458.94</v>
      </c>
      <c r="W15" s="147">
        <v>6247061.2599999998</v>
      </c>
      <c r="X15" s="153">
        <f t="shared" si="8"/>
        <v>4.1212808596661663</v>
      </c>
      <c r="Y15" s="128">
        <f t="shared" si="15"/>
        <v>-7.2907216076108949E-2</v>
      </c>
      <c r="Z15" s="143">
        <v>170542.5</v>
      </c>
      <c r="AA15" s="147">
        <v>1036207.64</v>
      </c>
      <c r="AB15" s="153">
        <f t="shared" si="9"/>
        <v>16.458332617582322</v>
      </c>
      <c r="AC15" s="127">
        <f t="shared" si="10"/>
        <v>0.34263946956352442</v>
      </c>
      <c r="AD15" s="152">
        <f t="shared" si="16"/>
        <v>3726821.16</v>
      </c>
      <c r="AE15" s="140">
        <f t="shared" si="17"/>
        <v>46210166.779999994</v>
      </c>
      <c r="AF15" s="153">
        <f t="shared" si="11"/>
        <v>8.0649376959465719</v>
      </c>
      <c r="AG15" s="129">
        <f t="shared" si="12"/>
        <v>7.617463787489509E-3</v>
      </c>
    </row>
    <row r="16" spans="1:33" ht="22" customHeight="1" x14ac:dyDescent="0.35">
      <c r="A16" s="142">
        <v>44501</v>
      </c>
      <c r="B16" s="143">
        <v>208703.44</v>
      </c>
      <c r="C16" s="147">
        <v>2915064</v>
      </c>
      <c r="D16" s="145">
        <f t="shared" si="0"/>
        <v>7.1594805465677602</v>
      </c>
      <c r="E16" s="127">
        <f t="shared" si="1"/>
        <v>-0.10193870157347384</v>
      </c>
      <c r="F16" s="155">
        <v>34521.949999999997</v>
      </c>
      <c r="G16" s="134">
        <v>235712.56</v>
      </c>
      <c r="H16" s="148">
        <f t="shared" si="2"/>
        <v>14.645782982459652</v>
      </c>
      <c r="I16" s="128">
        <f t="shared" si="13"/>
        <v>0.10738578132668586</v>
      </c>
      <c r="J16" s="143">
        <v>2419118.9300000002</v>
      </c>
      <c r="K16" s="147">
        <v>25836556.670000002</v>
      </c>
      <c r="L16" s="153">
        <f t="shared" si="3"/>
        <v>9.3631630596075084</v>
      </c>
      <c r="M16" s="127">
        <f t="shared" si="4"/>
        <v>2.0032716785836957E-2</v>
      </c>
      <c r="N16" s="143">
        <v>184203.04</v>
      </c>
      <c r="O16" s="147">
        <v>4219068</v>
      </c>
      <c r="P16" s="153">
        <f t="shared" si="5"/>
        <v>4.3659651847280019</v>
      </c>
      <c r="Q16" s="127">
        <f t="shared" si="6"/>
        <v>-6.7151960277911371E-3</v>
      </c>
      <c r="R16" s="143">
        <v>345177.43</v>
      </c>
      <c r="S16" s="147">
        <v>4678636</v>
      </c>
      <c r="T16" s="153">
        <f t="shared" si="7"/>
        <v>7.3777363744475952</v>
      </c>
      <c r="U16" s="127">
        <f t="shared" si="14"/>
        <v>-3.790226926194451E-2</v>
      </c>
      <c r="V16" s="143">
        <v>293313.43</v>
      </c>
      <c r="W16" s="147">
        <v>6301151.1399999997</v>
      </c>
      <c r="X16" s="153">
        <f t="shared" si="8"/>
        <v>4.6549181805532758</v>
      </c>
      <c r="Y16" s="128">
        <f t="shared" si="15"/>
        <v>0.12948336671486538</v>
      </c>
      <c r="Z16" s="143">
        <v>155809.78</v>
      </c>
      <c r="AA16" s="147">
        <v>961648</v>
      </c>
      <c r="AB16" s="153">
        <f t="shared" si="9"/>
        <v>16.202371345856282</v>
      </c>
      <c r="AC16" s="127">
        <f t="shared" si="10"/>
        <v>-1.5552077945769405E-2</v>
      </c>
      <c r="AD16" s="152">
        <f t="shared" si="16"/>
        <v>3640848.0000000005</v>
      </c>
      <c r="AE16" s="140">
        <f t="shared" si="17"/>
        <v>45147836.370000005</v>
      </c>
      <c r="AF16" s="153">
        <f t="shared" si="11"/>
        <v>8.0642801355133908</v>
      </c>
      <c r="AG16" s="129">
        <f t="shared" si="12"/>
        <v>-8.1533231622077373E-5</v>
      </c>
    </row>
    <row r="17" spans="1:33" ht="22" customHeight="1" x14ac:dyDescent="0.35">
      <c r="A17" s="156">
        <v>44531</v>
      </c>
      <c r="B17" s="162">
        <v>203236.89</v>
      </c>
      <c r="C17" s="161">
        <v>2464477.4</v>
      </c>
      <c r="D17" s="157">
        <f t="shared" si="0"/>
        <v>8.2466526168996328</v>
      </c>
      <c r="E17" s="158">
        <f t="shared" si="1"/>
        <v>0.15185069129813633</v>
      </c>
      <c r="F17" s="176">
        <v>25368.03</v>
      </c>
      <c r="G17" s="174">
        <v>235125</v>
      </c>
      <c r="H17" s="159">
        <f t="shared" si="2"/>
        <v>10.789167464114833</v>
      </c>
      <c r="I17" s="160">
        <f t="shared" si="13"/>
        <v>-0.26332600469115575</v>
      </c>
      <c r="J17" s="162">
        <v>2312946.84</v>
      </c>
      <c r="K17" s="161">
        <v>24590944.07</v>
      </c>
      <c r="L17" s="165">
        <f t="shared" si="3"/>
        <v>9.4056854158019316</v>
      </c>
      <c r="M17" s="158">
        <f t="shared" si="4"/>
        <v>4.5414520631241739E-3</v>
      </c>
      <c r="N17" s="162">
        <v>213394.15</v>
      </c>
      <c r="O17" s="161">
        <v>4823291</v>
      </c>
      <c r="P17" s="165">
        <f t="shared" si="5"/>
        <v>4.4242437373154555</v>
      </c>
      <c r="Q17" s="158">
        <f t="shared" si="6"/>
        <v>1.3348377763366059E-2</v>
      </c>
      <c r="R17" s="162">
        <v>319608.51</v>
      </c>
      <c r="S17" s="161">
        <v>4168676</v>
      </c>
      <c r="T17" s="165">
        <f t="shared" si="7"/>
        <v>7.6669069507920504</v>
      </c>
      <c r="U17" s="158">
        <f t="shared" si="14"/>
        <v>3.9195026993100734E-2</v>
      </c>
      <c r="V17" s="162">
        <v>212784.76</v>
      </c>
      <c r="W17" s="161">
        <v>5220813.29</v>
      </c>
      <c r="X17" s="165">
        <f t="shared" si="8"/>
        <v>4.0757013932593633</v>
      </c>
      <c r="Y17" s="160">
        <f t="shared" si="15"/>
        <v>-0.12443114246641129</v>
      </c>
      <c r="Z17" s="162">
        <v>143063.20000000001</v>
      </c>
      <c r="AA17" s="161">
        <v>864692</v>
      </c>
      <c r="AB17" s="165">
        <f t="shared" si="9"/>
        <v>16.544989429762275</v>
      </c>
      <c r="AC17" s="158">
        <f t="shared" si="10"/>
        <v>2.1146169075653143E-2</v>
      </c>
      <c r="AD17" s="162">
        <f t="shared" si="16"/>
        <v>3430402.38</v>
      </c>
      <c r="AE17" s="174">
        <f t="shared" si="17"/>
        <v>42368018.759999998</v>
      </c>
      <c r="AF17" s="165">
        <f t="shared" si="11"/>
        <v>8.0966787695030753</v>
      </c>
      <c r="AG17" s="163">
        <f t="shared" si="12"/>
        <v>4.0175481810220681E-3</v>
      </c>
    </row>
    <row r="18" spans="1:33" ht="22" customHeight="1" x14ac:dyDescent="0.35">
      <c r="A18" s="177" t="s">
        <v>17</v>
      </c>
      <c r="B18" s="152">
        <f>SUM(B6:B17)</f>
        <v>2738008.22</v>
      </c>
      <c r="C18" s="178">
        <f>SUM(C6:C17)</f>
        <v>37612984.759999998</v>
      </c>
      <c r="D18" s="178"/>
      <c r="E18" s="178"/>
      <c r="F18" s="152">
        <f>SUM(F6:F17)</f>
        <v>452593.43000000005</v>
      </c>
      <c r="G18" s="178">
        <f>SUM(G6:G17)</f>
        <v>3309976.3400000003</v>
      </c>
      <c r="H18" s="178"/>
      <c r="I18" s="178"/>
      <c r="J18" s="152">
        <f>SUM(J6:J17)</f>
        <v>28404614.829999998</v>
      </c>
      <c r="K18" s="178">
        <f>SUM(K6:K17)</f>
        <v>324410803.18000001</v>
      </c>
      <c r="L18" s="178"/>
      <c r="M18" s="178"/>
      <c r="N18" s="152">
        <f>SUM(N6:N17)</f>
        <v>1858636.99</v>
      </c>
      <c r="O18" s="178">
        <f>SUM(O6:O17)</f>
        <v>46622530</v>
      </c>
      <c r="P18" s="178"/>
      <c r="Q18" s="178"/>
      <c r="R18" s="152">
        <f>SUM(R6:R17)</f>
        <v>4381212.5500000007</v>
      </c>
      <c r="S18" s="178">
        <f>SUM(S6:S17)</f>
        <v>58409910.840000004</v>
      </c>
      <c r="T18" s="178"/>
      <c r="U18" s="178"/>
      <c r="V18" s="152">
        <f>SUM(V6:V17)</f>
        <v>2915268.4000000004</v>
      </c>
      <c r="W18" s="178">
        <f>SUM(W6:W17)</f>
        <v>69173187.859999999</v>
      </c>
      <c r="X18" s="178"/>
      <c r="Y18" s="178"/>
      <c r="Z18" s="152">
        <f>SUM(Z6:Z17)</f>
        <v>1879917.6999999997</v>
      </c>
      <c r="AA18" s="178">
        <f>SUM(AA6:AA17)</f>
        <v>12516989.030000001</v>
      </c>
      <c r="AB18" s="178"/>
      <c r="AC18" s="178"/>
      <c r="AD18" s="152">
        <f>SUM(AD6:AD17)</f>
        <v>42630252.120000005</v>
      </c>
      <c r="AE18" s="147">
        <f>SUM(AE6:AE17)</f>
        <v>552056382.00999999</v>
      </c>
      <c r="AF18" s="179"/>
      <c r="AG18" s="180"/>
    </row>
    <row r="19" spans="1:33" ht="22" customHeight="1" thickBot="1" x14ac:dyDescent="0.4">
      <c r="A19" s="166" t="s">
        <v>49</v>
      </c>
      <c r="B19" s="167">
        <f>AVERAGE(B6:B17)</f>
        <v>228167.35166666668</v>
      </c>
      <c r="C19" s="168">
        <f>AVERAGE(C6:C17)</f>
        <v>3134415.3966666665</v>
      </c>
      <c r="D19" s="169">
        <f>AVERAGE(D6:D17)</f>
        <v>7.3036389975161748</v>
      </c>
      <c r="E19" s="170"/>
      <c r="F19" s="171">
        <f>AVERAGE(F6:F17)</f>
        <v>37716.119166666671</v>
      </c>
      <c r="G19" s="172">
        <f>AVERAGE(G6:G17)</f>
        <v>275831.36166666669</v>
      </c>
      <c r="H19" s="169">
        <f>AVERAGE(H6:H17)</f>
        <v>13.914782396637152</v>
      </c>
      <c r="I19" s="170"/>
      <c r="J19" s="168">
        <f>AVERAGE(J6:J17)</f>
        <v>2367051.2358333333</v>
      </c>
      <c r="K19" s="168">
        <f>AVERAGE(K6:K17)</f>
        <v>27034233.598333333</v>
      </c>
      <c r="L19" s="169">
        <f>AVERAGE(L6:L17)</f>
        <v>8.7504160149107033</v>
      </c>
      <c r="M19" s="169"/>
      <c r="N19" s="167">
        <f>AVERAGE(N6:N17)</f>
        <v>154886.41583333333</v>
      </c>
      <c r="O19" s="168">
        <f>AVERAGE(O6:O17)</f>
        <v>3885210.8333333335</v>
      </c>
      <c r="P19" s="169">
        <f>AVERAGE(P6:P17)</f>
        <v>3.9793026293338691</v>
      </c>
      <c r="Q19" s="169"/>
      <c r="R19" s="167">
        <f>AVERAGE(R6:R17)</f>
        <v>365101.0458333334</v>
      </c>
      <c r="S19" s="168">
        <f>AVERAGE(S6:S17)</f>
        <v>4867492.57</v>
      </c>
      <c r="T19" s="169">
        <f>AVERAGE(T6:T17)</f>
        <v>7.4887265331640025</v>
      </c>
      <c r="U19" s="169"/>
      <c r="V19" s="167">
        <f>AVERAGE(V6:V17)</f>
        <v>242939.03333333335</v>
      </c>
      <c r="W19" s="168">
        <f>AVERAGE(W6:W17)</f>
        <v>5764432.3216666663</v>
      </c>
      <c r="X19" s="169">
        <f>AVERAGE(X6:X7)</f>
        <v>3.8573916036743281</v>
      </c>
      <c r="Y19" s="169"/>
      <c r="Z19" s="167">
        <f>AVERAGE(Z6:Z17)</f>
        <v>156659.80833333332</v>
      </c>
      <c r="AA19" s="168">
        <f>AVERAGE(AA6:AA17)</f>
        <v>1043082.4191666668</v>
      </c>
      <c r="AB19" s="169">
        <f>AVERAGE(AB6:AB17)</f>
        <v>15.105378658883531</v>
      </c>
      <c r="AC19" s="169"/>
      <c r="AD19" s="167">
        <f>AVERAGE(AD6:AD17)</f>
        <v>3552521.0100000002</v>
      </c>
      <c r="AE19" s="167">
        <f>AVERAGE(AE6:AE17)</f>
        <v>46004698.500833333</v>
      </c>
      <c r="AF19" s="169">
        <f>AVERAGE(AF6:AF17)</f>
        <v>7.721451676612431</v>
      </c>
      <c r="AG19" s="173"/>
    </row>
    <row r="20" spans="1:33" ht="15.5" x14ac:dyDescent="0.35">
      <c r="A20" s="41" t="s">
        <v>14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71"/>
      <c r="U20" s="71"/>
      <c r="V20" s="71"/>
      <c r="W20" s="71"/>
      <c r="X20" s="71"/>
      <c r="Y20" s="71"/>
      <c r="Z20" s="50"/>
      <c r="AA20" s="50"/>
      <c r="AB20" s="50"/>
      <c r="AC20" s="50"/>
      <c r="AD20" s="50"/>
      <c r="AE20" s="50"/>
      <c r="AF20" s="50"/>
      <c r="AG20" s="50"/>
    </row>
    <row r="21" spans="1:33" ht="15.5" x14ac:dyDescent="0.35">
      <c r="A21" s="256" t="s">
        <v>50</v>
      </c>
      <c r="B21" s="256"/>
      <c r="C21" s="256"/>
      <c r="D21" s="256"/>
      <c r="E21" s="256"/>
      <c r="F21" s="256"/>
      <c r="G21" s="256"/>
      <c r="H21" s="256"/>
      <c r="I21" s="256"/>
      <c r="J21" s="256"/>
      <c r="K21" s="256"/>
      <c r="L21" s="256"/>
      <c r="M21" s="256"/>
      <c r="N21" s="256"/>
      <c r="O21" s="256"/>
      <c r="P21" s="256"/>
      <c r="Q21" s="256"/>
      <c r="R21" s="256"/>
      <c r="S21" s="256"/>
      <c r="T21" s="256"/>
      <c r="U21" s="256"/>
      <c r="V21" s="256"/>
      <c r="W21" s="256"/>
      <c r="X21" s="256"/>
      <c r="Y21" s="256"/>
      <c r="Z21" s="256"/>
      <c r="AA21" s="256"/>
      <c r="AB21" s="256"/>
      <c r="AC21" s="256"/>
      <c r="AD21" s="256"/>
      <c r="AE21" s="256"/>
      <c r="AF21" s="256"/>
      <c r="AG21" s="256"/>
    </row>
    <row r="22" spans="1:33" ht="15.5" x14ac:dyDescent="0.35">
      <c r="A22" s="94" t="s">
        <v>55</v>
      </c>
      <c r="B22" s="94"/>
      <c r="C22" s="94"/>
      <c r="D22" s="94"/>
      <c r="E22" s="94"/>
      <c r="F22" s="94"/>
      <c r="G22" s="94"/>
      <c r="H22" s="94"/>
      <c r="I22" s="94"/>
      <c r="J22" s="94"/>
      <c r="K22" s="94"/>
      <c r="L22" s="94"/>
      <c r="M22" s="94"/>
      <c r="N22" s="94"/>
      <c r="O22" s="94"/>
      <c r="P22" s="94"/>
      <c r="Q22" s="94"/>
      <c r="R22" s="94"/>
      <c r="S22" s="94"/>
      <c r="T22" s="94"/>
      <c r="U22" s="96"/>
      <c r="V22" s="96"/>
      <c r="W22" s="71"/>
      <c r="X22" s="71"/>
      <c r="Y22" s="71"/>
      <c r="Z22" s="50"/>
      <c r="AA22" s="50"/>
      <c r="AB22" s="50"/>
      <c r="AC22" s="50"/>
      <c r="AD22" s="50"/>
      <c r="AE22" s="50"/>
      <c r="AF22" s="50"/>
      <c r="AG22" s="50"/>
    </row>
    <row r="23" spans="1:33" ht="15.5" x14ac:dyDescent="0.35">
      <c r="A23" s="256" t="s">
        <v>51</v>
      </c>
      <c r="B23" s="256"/>
      <c r="C23" s="256"/>
      <c r="D23" s="256"/>
      <c r="E23" s="256"/>
      <c r="F23" s="256"/>
      <c r="G23" s="256"/>
      <c r="H23" s="256"/>
      <c r="I23" s="256"/>
      <c r="J23" s="256"/>
      <c r="K23" s="256"/>
      <c r="L23" s="256"/>
      <c r="M23" s="256"/>
      <c r="N23" s="256"/>
      <c r="O23" s="256"/>
      <c r="P23" s="256"/>
      <c r="Q23" s="256"/>
      <c r="R23" s="256"/>
      <c r="S23" s="256"/>
      <c r="T23" s="256"/>
      <c r="U23" s="96"/>
      <c r="V23" s="96"/>
      <c r="W23" s="71"/>
      <c r="X23" s="71"/>
      <c r="Y23" s="71"/>
      <c r="Z23" s="50"/>
      <c r="AA23" s="50"/>
      <c r="AB23" s="50"/>
      <c r="AC23" s="50"/>
      <c r="AD23" s="50"/>
      <c r="AE23" s="50"/>
      <c r="AF23" s="50"/>
      <c r="AG23" s="50"/>
    </row>
    <row r="24" spans="1:33" ht="15.5" x14ac:dyDescent="0.35">
      <c r="A24" s="94" t="s">
        <v>56</v>
      </c>
      <c r="B24" s="94"/>
      <c r="C24" s="94"/>
      <c r="D24" s="94"/>
      <c r="E24" s="94"/>
      <c r="F24" s="94"/>
      <c r="G24" s="94"/>
      <c r="H24" s="94"/>
      <c r="I24" s="94"/>
      <c r="J24" s="94"/>
      <c r="K24" s="94"/>
      <c r="L24" s="94"/>
      <c r="M24" s="94"/>
      <c r="N24" s="94"/>
      <c r="O24" s="94"/>
      <c r="P24" s="94"/>
      <c r="Q24" s="94"/>
      <c r="R24" s="94"/>
      <c r="S24" s="94"/>
      <c r="T24" s="94"/>
      <c r="U24" s="94"/>
      <c r="V24" s="113"/>
      <c r="W24" s="113"/>
      <c r="X24" s="96"/>
      <c r="Y24" s="71"/>
      <c r="AE24" s="104"/>
    </row>
    <row r="25" spans="1:33" ht="15.5" x14ac:dyDescent="0.35">
      <c r="A25" s="94" t="s">
        <v>52</v>
      </c>
      <c r="B25" s="94"/>
      <c r="C25" s="94"/>
      <c r="D25" s="94"/>
      <c r="E25" s="94"/>
      <c r="F25" s="94"/>
      <c r="G25" s="94"/>
      <c r="H25" s="94"/>
      <c r="I25" s="94"/>
      <c r="J25" s="94"/>
      <c r="K25" s="94"/>
      <c r="L25" s="94"/>
      <c r="M25" s="94"/>
      <c r="N25" s="94"/>
      <c r="O25" s="94"/>
      <c r="P25" s="94"/>
      <c r="Q25" s="94"/>
      <c r="R25" s="94"/>
      <c r="S25" s="94"/>
      <c r="T25" s="94"/>
      <c r="U25" s="94"/>
      <c r="V25" s="113"/>
      <c r="W25" s="113"/>
      <c r="X25" s="71"/>
      <c r="Y25" s="71"/>
      <c r="AE25" s="104"/>
    </row>
    <row r="26" spans="1:33" ht="15.5" x14ac:dyDescent="0.35">
      <c r="A26" s="41" t="s">
        <v>57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3"/>
      <c r="W26" s="43"/>
      <c r="AE26" s="117"/>
    </row>
    <row r="27" spans="1:33" ht="15.5" x14ac:dyDescent="0.35">
      <c r="A27" s="256" t="s">
        <v>53</v>
      </c>
      <c r="B27" s="256"/>
      <c r="C27" s="256"/>
      <c r="D27" s="256"/>
      <c r="E27" s="256"/>
      <c r="F27" s="256"/>
      <c r="G27" s="256"/>
      <c r="H27" s="256"/>
      <c r="I27" s="256"/>
      <c r="J27" s="256"/>
      <c r="K27" s="256"/>
      <c r="L27" s="256"/>
      <c r="M27" s="256"/>
      <c r="N27" s="256"/>
      <c r="O27" s="256"/>
      <c r="P27" s="256"/>
      <c r="Q27" s="256"/>
      <c r="R27" s="256"/>
      <c r="S27" s="256"/>
      <c r="T27" s="256"/>
      <c r="U27" s="256"/>
      <c r="V27" s="43"/>
      <c r="W27" s="43"/>
      <c r="AE27" s="104"/>
    </row>
    <row r="28" spans="1:33" ht="15.5" x14ac:dyDescent="0.35">
      <c r="A28" s="256" t="s">
        <v>54</v>
      </c>
      <c r="B28" s="256"/>
      <c r="C28" s="256"/>
      <c r="D28" s="256"/>
      <c r="E28" s="256"/>
      <c r="F28" s="256"/>
      <c r="G28" s="256"/>
      <c r="H28" s="256"/>
      <c r="I28" s="256"/>
      <c r="J28" s="256"/>
      <c r="K28" s="256"/>
      <c r="L28" s="256"/>
      <c r="M28" s="256"/>
      <c r="N28" s="256"/>
      <c r="O28" s="256"/>
      <c r="P28" s="256"/>
      <c r="Q28" s="256"/>
      <c r="R28" s="256"/>
      <c r="S28" s="256"/>
      <c r="T28" s="41"/>
      <c r="U28" s="41"/>
      <c r="V28" s="43"/>
      <c r="W28" s="43"/>
      <c r="AE28" s="104"/>
    </row>
  </sheetData>
  <mergeCells count="13">
    <mergeCell ref="A28:S28"/>
    <mergeCell ref="A21:AG21"/>
    <mergeCell ref="A27:U27"/>
    <mergeCell ref="A1:AF1"/>
    <mergeCell ref="B3:E3"/>
    <mergeCell ref="J3:M3"/>
    <mergeCell ref="N3:Q3"/>
    <mergeCell ref="R3:U3"/>
    <mergeCell ref="V3:Y3"/>
    <mergeCell ref="Z3:AC3"/>
    <mergeCell ref="AD3:AG3"/>
    <mergeCell ref="F3:I3"/>
    <mergeCell ref="A23:T23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G29"/>
  <sheetViews>
    <sheetView zoomScale="90" zoomScaleNormal="90" workbookViewId="0">
      <selection activeCell="M27" sqref="M27"/>
    </sheetView>
  </sheetViews>
  <sheetFormatPr defaultRowHeight="12" x14ac:dyDescent="0.3"/>
  <cols>
    <col min="1" max="1" width="8.7265625" style="50"/>
    <col min="2" max="2" width="8.6328125" style="50" customWidth="1"/>
    <col min="3" max="3" width="9.6328125" style="50" customWidth="1"/>
    <col min="4" max="5" width="5.6328125" style="50" customWidth="1"/>
    <col min="6" max="7" width="8.6328125" style="50" customWidth="1"/>
    <col min="8" max="9" width="5.6328125" style="50" customWidth="1"/>
    <col min="10" max="10" width="9.08984375" style="50" bestFit="1" customWidth="1"/>
    <col min="11" max="11" width="9.6328125" style="50" customWidth="1"/>
    <col min="12" max="13" width="5.6328125" style="50" customWidth="1"/>
    <col min="14" max="14" width="8.6328125" style="50" customWidth="1"/>
    <col min="15" max="15" width="9.6328125" style="50" bestFit="1" customWidth="1"/>
    <col min="16" max="17" width="5.6328125" style="50" customWidth="1"/>
    <col min="18" max="18" width="8.6328125" style="50" customWidth="1"/>
    <col min="19" max="19" width="9.453125" style="50" bestFit="1" customWidth="1"/>
    <col min="20" max="21" width="5.6328125" style="50" customWidth="1"/>
    <col min="22" max="22" width="8.6328125" style="50" customWidth="1"/>
    <col min="23" max="23" width="9.6328125" style="50" bestFit="1" customWidth="1"/>
    <col min="24" max="25" width="5.6328125" style="50" customWidth="1"/>
    <col min="26" max="26" width="8.6328125" style="50" customWidth="1"/>
    <col min="27" max="27" width="9.453125" style="50" bestFit="1" customWidth="1"/>
    <col min="28" max="29" width="5.6328125" style="50" customWidth="1"/>
    <col min="30" max="30" width="8.6328125" style="50" customWidth="1"/>
    <col min="31" max="31" width="12.6328125" style="50" bestFit="1" customWidth="1"/>
    <col min="32" max="33" width="5.6328125" style="50" customWidth="1"/>
    <col min="34" max="16384" width="8.7265625" style="50"/>
  </cols>
  <sheetData>
    <row r="1" spans="1:33" ht="22" customHeight="1" x14ac:dyDescent="0.4">
      <c r="A1" s="245" t="s">
        <v>58</v>
      </c>
      <c r="B1" s="245"/>
      <c r="C1" s="245"/>
      <c r="D1" s="245"/>
      <c r="E1" s="245"/>
      <c r="F1" s="245"/>
      <c r="G1" s="245"/>
      <c r="H1" s="245"/>
      <c r="I1" s="245"/>
      <c r="J1" s="245"/>
      <c r="K1" s="245"/>
      <c r="L1" s="245"/>
      <c r="M1" s="245"/>
      <c r="N1" s="245"/>
      <c r="O1" s="245"/>
      <c r="P1" s="245"/>
      <c r="Q1" s="245"/>
      <c r="R1" s="245"/>
      <c r="S1" s="245"/>
      <c r="T1" s="245"/>
      <c r="U1" s="245"/>
      <c r="V1" s="245"/>
      <c r="W1" s="245"/>
      <c r="X1" s="245"/>
      <c r="Y1" s="245"/>
      <c r="Z1" s="245"/>
      <c r="AA1" s="245"/>
      <c r="AB1" s="245"/>
      <c r="AC1" s="245"/>
      <c r="AD1" s="245"/>
      <c r="AE1" s="245"/>
      <c r="AF1" s="245"/>
    </row>
    <row r="2" spans="1:33" ht="22" customHeight="1" thickBot="1" x14ac:dyDescent="0.35"/>
    <row r="3" spans="1:33" ht="22" customHeight="1" x14ac:dyDescent="0.3">
      <c r="A3" s="44" t="s">
        <v>9</v>
      </c>
      <c r="B3" s="246" t="s">
        <v>0</v>
      </c>
      <c r="C3" s="247"/>
      <c r="D3" s="247"/>
      <c r="E3" s="248"/>
      <c r="F3" s="246" t="s">
        <v>46</v>
      </c>
      <c r="G3" s="247"/>
      <c r="H3" s="247"/>
      <c r="I3" s="248"/>
      <c r="J3" s="246" t="s">
        <v>1</v>
      </c>
      <c r="K3" s="247"/>
      <c r="L3" s="247"/>
      <c r="M3" s="248"/>
      <c r="N3" s="246" t="s">
        <v>2</v>
      </c>
      <c r="O3" s="247"/>
      <c r="P3" s="247"/>
      <c r="Q3" s="248"/>
      <c r="R3" s="246" t="s">
        <v>3</v>
      </c>
      <c r="S3" s="247"/>
      <c r="T3" s="247"/>
      <c r="U3" s="248"/>
      <c r="V3" s="246" t="s">
        <v>5</v>
      </c>
      <c r="W3" s="247"/>
      <c r="X3" s="247"/>
      <c r="Y3" s="248"/>
      <c r="Z3" s="246" t="s">
        <v>4</v>
      </c>
      <c r="AA3" s="247"/>
      <c r="AB3" s="247"/>
      <c r="AC3" s="248"/>
      <c r="AD3" s="249" t="s">
        <v>12</v>
      </c>
      <c r="AE3" s="249"/>
      <c r="AF3" s="249"/>
      <c r="AG3" s="250"/>
    </row>
    <row r="4" spans="1:33" ht="22" customHeight="1" thickBot="1" x14ac:dyDescent="0.35">
      <c r="A4" s="45" t="s">
        <v>10</v>
      </c>
      <c r="B4" s="46" t="s">
        <v>34</v>
      </c>
      <c r="C4" s="46" t="s">
        <v>47</v>
      </c>
      <c r="D4" s="46" t="s">
        <v>48</v>
      </c>
      <c r="E4" s="46" t="s">
        <v>18</v>
      </c>
      <c r="F4" s="46" t="s">
        <v>34</v>
      </c>
      <c r="G4" s="46" t="s">
        <v>47</v>
      </c>
      <c r="H4" s="46" t="s">
        <v>48</v>
      </c>
      <c r="I4" s="46" t="s">
        <v>18</v>
      </c>
      <c r="J4" s="46" t="s">
        <v>34</v>
      </c>
      <c r="K4" s="46" t="s">
        <v>47</v>
      </c>
      <c r="L4" s="46" t="s">
        <v>48</v>
      </c>
      <c r="M4" s="46" t="s">
        <v>18</v>
      </c>
      <c r="N4" s="46" t="s">
        <v>34</v>
      </c>
      <c r="O4" s="46" t="s">
        <v>47</v>
      </c>
      <c r="P4" s="46" t="s">
        <v>48</v>
      </c>
      <c r="Q4" s="46" t="s">
        <v>18</v>
      </c>
      <c r="R4" s="46" t="s">
        <v>34</v>
      </c>
      <c r="S4" s="46" t="s">
        <v>47</v>
      </c>
      <c r="T4" s="46" t="s">
        <v>48</v>
      </c>
      <c r="U4" s="46" t="s">
        <v>18</v>
      </c>
      <c r="V4" s="46" t="s">
        <v>34</v>
      </c>
      <c r="W4" s="46" t="s">
        <v>47</v>
      </c>
      <c r="X4" s="46" t="s">
        <v>48</v>
      </c>
      <c r="Y4" s="46" t="s">
        <v>18</v>
      </c>
      <c r="Z4" s="46" t="s">
        <v>34</v>
      </c>
      <c r="AA4" s="46" t="s">
        <v>47</v>
      </c>
      <c r="AB4" s="46" t="s">
        <v>48</v>
      </c>
      <c r="AC4" s="46" t="s">
        <v>18</v>
      </c>
      <c r="AD4" s="46" t="s">
        <v>35</v>
      </c>
      <c r="AE4" s="46" t="s">
        <v>36</v>
      </c>
      <c r="AF4" s="46" t="s">
        <v>48</v>
      </c>
      <c r="AG4" s="47" t="s">
        <v>18</v>
      </c>
    </row>
    <row r="5" spans="1:33" ht="22" hidden="1" customHeight="1" x14ac:dyDescent="0.3">
      <c r="A5" s="186">
        <v>44531</v>
      </c>
      <c r="B5" s="187">
        <v>203236.89</v>
      </c>
      <c r="C5" s="188">
        <v>2464477.4</v>
      </c>
      <c r="D5" s="189">
        <v>8.2466526168996328</v>
      </c>
      <c r="E5" s="190"/>
      <c r="F5" s="191">
        <v>25368.03</v>
      </c>
      <c r="G5" s="192">
        <v>235125</v>
      </c>
      <c r="H5" s="193">
        <v>10.789167464114833</v>
      </c>
      <c r="I5" s="190"/>
      <c r="J5" s="187">
        <v>2312946.84</v>
      </c>
      <c r="K5" s="194">
        <v>24590944.07</v>
      </c>
      <c r="L5" s="189">
        <v>9.4056854158019316</v>
      </c>
      <c r="M5" s="195"/>
      <c r="N5" s="187">
        <v>213394.15</v>
      </c>
      <c r="O5" s="194">
        <v>4823291</v>
      </c>
      <c r="P5" s="189">
        <v>4.4242437373154555</v>
      </c>
      <c r="Q5" s="195"/>
      <c r="R5" s="187">
        <v>319608.51</v>
      </c>
      <c r="S5" s="194">
        <v>4168676</v>
      </c>
      <c r="T5" s="189">
        <v>7.6669069507920504</v>
      </c>
      <c r="U5" s="195"/>
      <c r="V5" s="187">
        <v>212784.76</v>
      </c>
      <c r="W5" s="194">
        <v>5220813.29</v>
      </c>
      <c r="X5" s="189">
        <v>4.0757013932593633</v>
      </c>
      <c r="Y5" s="196"/>
      <c r="Z5" s="187">
        <v>143063.20000000001</v>
      </c>
      <c r="AA5" s="194">
        <v>864692</v>
      </c>
      <c r="AB5" s="189">
        <v>16.544989429762275</v>
      </c>
      <c r="AC5" s="195"/>
      <c r="AD5" s="187">
        <f t="shared" ref="AD5:AE17" si="0">+B5+F5+J5+N5+R5+V5+Z5</f>
        <v>3430402.38</v>
      </c>
      <c r="AE5" s="194">
        <f t="shared" si="0"/>
        <v>42368018.759999998</v>
      </c>
      <c r="AF5" s="189">
        <v>8.0966787695030753</v>
      </c>
      <c r="AG5" s="197"/>
    </row>
    <row r="6" spans="1:33" ht="22" customHeight="1" x14ac:dyDescent="0.3">
      <c r="A6" s="198">
        <v>44562</v>
      </c>
      <c r="B6" s="199">
        <v>277452.61</v>
      </c>
      <c r="C6" s="200">
        <v>3629438</v>
      </c>
      <c r="D6" s="201">
        <f t="shared" ref="D6:D17" si="1">B6/C6*100</f>
        <v>7.6445061191291863</v>
      </c>
      <c r="E6" s="202">
        <f t="shared" ref="E6:E17" si="2">D6/D5-1</f>
        <v>-7.3017080474141016E-2</v>
      </c>
      <c r="F6" s="203">
        <v>52683.95</v>
      </c>
      <c r="G6" s="204">
        <v>386083</v>
      </c>
      <c r="H6" s="205">
        <f t="shared" ref="H6:H17" si="3">F6/G6*100</f>
        <v>13.645757518461055</v>
      </c>
      <c r="I6" s="206">
        <f t="shared" ref="I6:I17" si="4">H6/H5-1</f>
        <v>0.26476464137268652</v>
      </c>
      <c r="J6" s="207">
        <v>2569406.25</v>
      </c>
      <c r="K6" s="208">
        <v>27577935.57</v>
      </c>
      <c r="L6" s="209">
        <f t="shared" ref="L6:L17" si="5">J6/K6*100</f>
        <v>9.3168911917941646</v>
      </c>
      <c r="M6" s="202">
        <f t="shared" ref="M6:M17" si="6">L6/L5-1</f>
        <v>-9.4404841414947871E-3</v>
      </c>
      <c r="N6" s="199">
        <v>180241.71</v>
      </c>
      <c r="O6" s="208">
        <v>3484440</v>
      </c>
      <c r="P6" s="209">
        <f t="shared" ref="P6:P17" si="7">N6/O6*100</f>
        <v>5.1727597547956057</v>
      </c>
      <c r="Q6" s="202">
        <f t="shared" ref="Q6:Q17" si="8">P6/P5-1</f>
        <v>0.16918507702614383</v>
      </c>
      <c r="R6" s="199">
        <v>344262.3</v>
      </c>
      <c r="S6" s="208">
        <v>4271925</v>
      </c>
      <c r="T6" s="209">
        <f t="shared" ref="T6:T17" si="9">R6/S6*100</f>
        <v>8.0587159184676693</v>
      </c>
      <c r="U6" s="202">
        <f t="shared" ref="U6:U17" si="10">T6/T5-1</f>
        <v>5.1103915854247006E-2</v>
      </c>
      <c r="V6" s="199">
        <v>244815.54</v>
      </c>
      <c r="W6" s="208">
        <v>5625101.9000000004</v>
      </c>
      <c r="X6" s="209">
        <f t="shared" ref="X6:X17" si="11">V6/W6*100</f>
        <v>4.3521974241924397</v>
      </c>
      <c r="Y6" s="206">
        <f t="shared" ref="Y6:Y17" si="12">X6/X5-1</f>
        <v>6.7840110021397004E-2</v>
      </c>
      <c r="Z6" s="207">
        <v>154654.70000000001</v>
      </c>
      <c r="AA6" s="208">
        <v>1053324</v>
      </c>
      <c r="AB6" s="209">
        <f t="shared" ref="AB6:AB17" si="13">Z6/AA6*100</f>
        <v>14.682538326288968</v>
      </c>
      <c r="AC6" s="202">
        <f t="shared" ref="AC6:AC17" si="14">AB6/AB5-1</f>
        <v>-0.11256889050185792</v>
      </c>
      <c r="AD6" s="199">
        <f t="shared" si="0"/>
        <v>3823517.06</v>
      </c>
      <c r="AE6" s="208">
        <f t="shared" si="0"/>
        <v>46028247.469999999</v>
      </c>
      <c r="AF6" s="209">
        <f t="shared" ref="AF6:AF17" si="15">AD6/AE6*100</f>
        <v>8.3068925500412938</v>
      </c>
      <c r="AG6" s="210">
        <f t="shared" ref="AG6:AG17" si="16">AF6/AF5-1</f>
        <v>2.5962964139075062E-2</v>
      </c>
    </row>
    <row r="7" spans="1:33" ht="22" customHeight="1" x14ac:dyDescent="0.3">
      <c r="A7" s="142">
        <v>44593</v>
      </c>
      <c r="B7" s="143">
        <v>234809.21</v>
      </c>
      <c r="C7" s="144">
        <v>2851660</v>
      </c>
      <c r="D7" s="145">
        <f t="shared" si="1"/>
        <v>8.2341236332522101</v>
      </c>
      <c r="E7" s="127">
        <f t="shared" si="2"/>
        <v>7.7129575793993821E-2</v>
      </c>
      <c r="F7" s="146">
        <v>83557.149999999994</v>
      </c>
      <c r="G7" s="147">
        <v>459000.34</v>
      </c>
      <c r="H7" s="135">
        <f t="shared" si="3"/>
        <v>18.204158628727811</v>
      </c>
      <c r="I7" s="128">
        <f t="shared" si="4"/>
        <v>0.3340526243486146</v>
      </c>
      <c r="J7" s="150">
        <v>2307522.66</v>
      </c>
      <c r="K7" s="147">
        <v>23622539.850000001</v>
      </c>
      <c r="L7" s="141">
        <f t="shared" si="5"/>
        <v>9.7683088891053345</v>
      </c>
      <c r="M7" s="127">
        <f t="shared" si="6"/>
        <v>4.8451536893417302E-2</v>
      </c>
      <c r="N7" s="143">
        <v>203800.97</v>
      </c>
      <c r="O7" s="147">
        <v>4143520</v>
      </c>
      <c r="P7" s="141">
        <f t="shared" si="7"/>
        <v>4.9185467911341085</v>
      </c>
      <c r="Q7" s="127">
        <f t="shared" si="8"/>
        <v>-4.9144552562260246E-2</v>
      </c>
      <c r="R7" s="143">
        <v>335516.23</v>
      </c>
      <c r="S7" s="147">
        <v>4367022</v>
      </c>
      <c r="T7" s="141">
        <f t="shared" si="9"/>
        <v>7.6829525933233205</v>
      </c>
      <c r="U7" s="127">
        <f t="shared" si="10"/>
        <v>-4.662818852855144E-2</v>
      </c>
      <c r="V7" s="143">
        <v>295465.57</v>
      </c>
      <c r="W7" s="147">
        <v>7110889</v>
      </c>
      <c r="X7" s="141">
        <f t="shared" si="11"/>
        <v>4.1551143605251051</v>
      </c>
      <c r="Y7" s="128">
        <f t="shared" si="12"/>
        <v>-4.5283576193445252E-2</v>
      </c>
      <c r="Z7" s="151">
        <v>144762.67000000001</v>
      </c>
      <c r="AA7" s="147">
        <v>884236</v>
      </c>
      <c r="AB7" s="141">
        <f t="shared" si="13"/>
        <v>16.371496975920458</v>
      </c>
      <c r="AC7" s="127">
        <f t="shared" si="14"/>
        <v>0.11503178892490418</v>
      </c>
      <c r="AD7" s="143">
        <f t="shared" si="0"/>
        <v>3605434.46</v>
      </c>
      <c r="AE7" s="147">
        <f t="shared" si="0"/>
        <v>43438867.189999998</v>
      </c>
      <c r="AF7" s="141">
        <f t="shared" si="15"/>
        <v>8.3000195291234533</v>
      </c>
      <c r="AG7" s="183">
        <f t="shared" si="16"/>
        <v>-8.2738772368085023E-4</v>
      </c>
    </row>
    <row r="8" spans="1:33" ht="22" customHeight="1" x14ac:dyDescent="0.3">
      <c r="A8" s="121">
        <v>44621</v>
      </c>
      <c r="B8" s="150">
        <v>283148.96000000002</v>
      </c>
      <c r="C8" s="144">
        <v>4232021</v>
      </c>
      <c r="D8" s="145">
        <f t="shared" si="1"/>
        <v>6.6906322062201502</v>
      </c>
      <c r="E8" s="127">
        <f t="shared" si="2"/>
        <v>-0.18745060139720437</v>
      </c>
      <c r="F8" s="164">
        <v>87642.13</v>
      </c>
      <c r="G8" s="134">
        <v>668863.36</v>
      </c>
      <c r="H8" s="135">
        <f t="shared" si="3"/>
        <v>13.103144116011977</v>
      </c>
      <c r="I8" s="128">
        <f t="shared" si="4"/>
        <v>-0.28021149544730783</v>
      </c>
      <c r="J8" s="151">
        <v>3224216.48</v>
      </c>
      <c r="K8" s="147">
        <v>31483245.68</v>
      </c>
      <c r="L8" s="141">
        <f t="shared" si="5"/>
        <v>10.241054917816847</v>
      </c>
      <c r="M8" s="127">
        <f t="shared" si="6"/>
        <v>4.8395892685044961E-2</v>
      </c>
      <c r="N8" s="143">
        <v>222167.19</v>
      </c>
      <c r="O8" s="147">
        <v>4706125</v>
      </c>
      <c r="P8" s="141">
        <f t="shared" si="7"/>
        <v>4.7208093707668199</v>
      </c>
      <c r="Q8" s="127">
        <f t="shared" si="8"/>
        <v>-4.0202407085710545E-2</v>
      </c>
      <c r="R8" s="143">
        <v>445519.29</v>
      </c>
      <c r="S8" s="147">
        <v>5538560</v>
      </c>
      <c r="T8" s="141">
        <f t="shared" si="9"/>
        <v>8.0439552880171021</v>
      </c>
      <c r="U8" s="127">
        <f t="shared" si="10"/>
        <v>4.6987494756573378E-2</v>
      </c>
      <c r="V8" s="143">
        <v>348923.9</v>
      </c>
      <c r="W8" s="147">
        <v>7563133.3799999999</v>
      </c>
      <c r="X8" s="141">
        <f t="shared" si="11"/>
        <v>4.6134833602524674</v>
      </c>
      <c r="Y8" s="128">
        <f t="shared" si="12"/>
        <v>0.11031441254229057</v>
      </c>
      <c r="Z8" s="151">
        <v>150855.01999999999</v>
      </c>
      <c r="AA8" s="147">
        <v>901137.7</v>
      </c>
      <c r="AB8" s="141">
        <f t="shared" si="13"/>
        <v>16.740507027949224</v>
      </c>
      <c r="AC8" s="127">
        <f t="shared" si="14"/>
        <v>2.2539786836323739E-2</v>
      </c>
      <c r="AD8" s="143">
        <f t="shared" si="0"/>
        <v>4762472.97</v>
      </c>
      <c r="AE8" s="147">
        <f t="shared" si="0"/>
        <v>55093086.120000005</v>
      </c>
      <c r="AF8" s="141">
        <f t="shared" si="15"/>
        <v>8.6444113143829071</v>
      </c>
      <c r="AG8" s="183">
        <f t="shared" si="16"/>
        <v>4.149288854695321E-2</v>
      </c>
    </row>
    <row r="9" spans="1:33" ht="22" customHeight="1" x14ac:dyDescent="0.3">
      <c r="A9" s="142">
        <v>44652</v>
      </c>
      <c r="B9" s="143">
        <v>217571.29</v>
      </c>
      <c r="C9" s="154">
        <v>3100330</v>
      </c>
      <c r="D9" s="145">
        <f t="shared" si="1"/>
        <v>7.0176816661452177</v>
      </c>
      <c r="E9" s="127">
        <f t="shared" si="2"/>
        <v>4.8881697550347436E-2</v>
      </c>
      <c r="F9" s="133">
        <v>73279.98</v>
      </c>
      <c r="G9" s="134">
        <v>498396.52</v>
      </c>
      <c r="H9" s="135">
        <f t="shared" si="3"/>
        <v>14.703148408821152</v>
      </c>
      <c r="I9" s="128">
        <f t="shared" si="4"/>
        <v>0.1221084251720912</v>
      </c>
      <c r="J9" s="151">
        <v>3252026.36</v>
      </c>
      <c r="K9" s="147">
        <v>29815306.329999998</v>
      </c>
      <c r="L9" s="141">
        <f t="shared" si="5"/>
        <v>10.907237792582492</v>
      </c>
      <c r="M9" s="127">
        <f t="shared" si="6"/>
        <v>6.5050219934535747E-2</v>
      </c>
      <c r="N9" s="143">
        <v>182381.57</v>
      </c>
      <c r="O9" s="147">
        <v>3970187</v>
      </c>
      <c r="P9" s="141">
        <f t="shared" si="7"/>
        <v>4.5937778245709842</v>
      </c>
      <c r="Q9" s="127">
        <f t="shared" si="8"/>
        <v>-2.6908848932233331E-2</v>
      </c>
      <c r="R9" s="143">
        <v>373841.2</v>
      </c>
      <c r="S9" s="147">
        <v>4651313.45</v>
      </c>
      <c r="T9" s="141">
        <f t="shared" si="9"/>
        <v>8.0373254569631296</v>
      </c>
      <c r="U9" s="127">
        <f t="shared" si="10"/>
        <v>-8.2420038607733392E-4</v>
      </c>
      <c r="V9" s="143">
        <v>344481.95</v>
      </c>
      <c r="W9" s="147">
        <v>7160564.7699999996</v>
      </c>
      <c r="X9" s="141">
        <f t="shared" si="11"/>
        <v>4.8108209486945261</v>
      </c>
      <c r="Y9" s="128">
        <f t="shared" si="12"/>
        <v>4.2774097798254473E-2</v>
      </c>
      <c r="Z9" s="151">
        <v>139208.59</v>
      </c>
      <c r="AA9" s="147">
        <v>853110</v>
      </c>
      <c r="AB9" s="141">
        <f t="shared" si="13"/>
        <v>16.317777308905065</v>
      </c>
      <c r="AC9" s="127">
        <f t="shared" si="14"/>
        <v>-2.5251906548492742E-2</v>
      </c>
      <c r="AD9" s="139">
        <f t="shared" si="0"/>
        <v>4582790.9399999995</v>
      </c>
      <c r="AE9" s="140">
        <f t="shared" si="0"/>
        <v>50049208.069999993</v>
      </c>
      <c r="AF9" s="141">
        <f t="shared" si="15"/>
        <v>9.1565703369180209</v>
      </c>
      <c r="AG9" s="183">
        <f t="shared" si="16"/>
        <v>5.9247414764145301E-2</v>
      </c>
    </row>
    <row r="10" spans="1:33" ht="22" customHeight="1" x14ac:dyDescent="0.3">
      <c r="A10" s="142">
        <v>44682</v>
      </c>
      <c r="B10" s="150">
        <v>225140.22</v>
      </c>
      <c r="C10" s="147">
        <v>3480078</v>
      </c>
      <c r="D10" s="145">
        <f t="shared" si="1"/>
        <v>6.4694015478963403</v>
      </c>
      <c r="E10" s="127">
        <f t="shared" si="2"/>
        <v>-7.8128382610156977E-2</v>
      </c>
      <c r="F10" s="146">
        <v>79056.210000000006</v>
      </c>
      <c r="G10" s="147">
        <v>611893</v>
      </c>
      <c r="H10" s="148">
        <f t="shared" si="3"/>
        <v>12.919940250991596</v>
      </c>
      <c r="I10" s="128">
        <f t="shared" si="4"/>
        <v>-0.12128070180939754</v>
      </c>
      <c r="J10" s="150">
        <v>3003554.12</v>
      </c>
      <c r="K10" s="147">
        <v>28487791.379999999</v>
      </c>
      <c r="L10" s="141">
        <f t="shared" si="5"/>
        <v>10.543302848351594</v>
      </c>
      <c r="M10" s="127">
        <f t="shared" si="6"/>
        <v>-3.3366371133706663E-2</v>
      </c>
      <c r="N10" s="143">
        <v>202315.01</v>
      </c>
      <c r="O10" s="147">
        <v>3764256</v>
      </c>
      <c r="P10" s="141">
        <f t="shared" si="7"/>
        <v>5.3746347219742763</v>
      </c>
      <c r="Q10" s="127">
        <f t="shared" si="8"/>
        <v>0.16998142427060392</v>
      </c>
      <c r="R10" s="143">
        <v>375671.87</v>
      </c>
      <c r="S10" s="147">
        <v>4579815</v>
      </c>
      <c r="T10" s="141">
        <f t="shared" si="9"/>
        <v>8.2027739111732689</v>
      </c>
      <c r="U10" s="127">
        <f t="shared" si="10"/>
        <v>2.0585013646150507E-2</v>
      </c>
      <c r="V10" s="143">
        <v>313234.27</v>
      </c>
      <c r="W10" s="147">
        <v>7243940.7599999998</v>
      </c>
      <c r="X10" s="141">
        <f t="shared" si="11"/>
        <v>4.3240865763236869</v>
      </c>
      <c r="Y10" s="128">
        <f t="shared" si="12"/>
        <v>-0.10117490913955562</v>
      </c>
      <c r="Z10" s="150">
        <v>131329.28</v>
      </c>
      <c r="AA10" s="147">
        <v>875365</v>
      </c>
      <c r="AB10" s="141">
        <f t="shared" si="13"/>
        <v>15.002802259628838</v>
      </c>
      <c r="AC10" s="127">
        <f t="shared" si="14"/>
        <v>-8.0585426825172335E-2</v>
      </c>
      <c r="AD10" s="139">
        <f t="shared" si="0"/>
        <v>4330300.9800000014</v>
      </c>
      <c r="AE10" s="140">
        <f t="shared" si="0"/>
        <v>49043139.139999993</v>
      </c>
      <c r="AF10" s="141">
        <f t="shared" si="15"/>
        <v>8.8295754634274051</v>
      </c>
      <c r="AG10" s="183">
        <f t="shared" si="16"/>
        <v>-3.5711501300024762E-2</v>
      </c>
    </row>
    <row r="11" spans="1:33" ht="22" customHeight="1" x14ac:dyDescent="0.3">
      <c r="A11" s="142">
        <v>44713</v>
      </c>
      <c r="B11" s="143">
        <v>245723.17</v>
      </c>
      <c r="C11" s="147">
        <v>3540287</v>
      </c>
      <c r="D11" s="145">
        <f t="shared" si="1"/>
        <v>6.9407697737499818</v>
      </c>
      <c r="E11" s="127">
        <f t="shared" si="2"/>
        <v>7.2861179254967823E-2</v>
      </c>
      <c r="F11" s="133">
        <v>95840.35</v>
      </c>
      <c r="G11" s="134">
        <v>602173.80000000005</v>
      </c>
      <c r="H11" s="148">
        <f t="shared" si="3"/>
        <v>15.91572898057006</v>
      </c>
      <c r="I11" s="128">
        <f t="shared" si="4"/>
        <v>0.23187326499815186</v>
      </c>
      <c r="J11" s="151">
        <v>3148016.09</v>
      </c>
      <c r="K11" s="147">
        <v>30191261.859999999</v>
      </c>
      <c r="L11" s="141">
        <f t="shared" si="5"/>
        <v>10.426911285118441</v>
      </c>
      <c r="M11" s="127">
        <f t="shared" si="6"/>
        <v>-1.1039383474728659E-2</v>
      </c>
      <c r="N11" s="143">
        <v>225239.57</v>
      </c>
      <c r="O11" s="147">
        <v>5104813</v>
      </c>
      <c r="P11" s="141">
        <f t="shared" si="7"/>
        <v>4.4122981586201098</v>
      </c>
      <c r="Q11" s="127">
        <f t="shared" si="8"/>
        <v>-0.1790515287335972</v>
      </c>
      <c r="R11" s="143">
        <v>352989.84</v>
      </c>
      <c r="S11" s="147">
        <v>4363036.38</v>
      </c>
      <c r="T11" s="141">
        <f t="shared" si="9"/>
        <v>8.0904629083106592</v>
      </c>
      <c r="U11" s="127">
        <f t="shared" si="10"/>
        <v>-1.3691832065446441E-2</v>
      </c>
      <c r="V11" s="143">
        <v>383495.43</v>
      </c>
      <c r="W11" s="147">
        <v>7687496.1100000003</v>
      </c>
      <c r="X11" s="141">
        <f t="shared" si="11"/>
        <v>4.9885609633173527</v>
      </c>
      <c r="Y11" s="128">
        <f t="shared" si="12"/>
        <v>0.1536681505481321</v>
      </c>
      <c r="Z11" s="151">
        <v>117169.26</v>
      </c>
      <c r="AA11" s="147">
        <v>834460</v>
      </c>
      <c r="AB11" s="141">
        <f t="shared" si="13"/>
        <v>14.041327325455983</v>
      </c>
      <c r="AC11" s="127">
        <f t="shared" si="14"/>
        <v>-6.4086356504217568E-2</v>
      </c>
      <c r="AD11" s="152">
        <f t="shared" si="0"/>
        <v>4568473.709999999</v>
      </c>
      <c r="AE11" s="140">
        <f t="shared" si="0"/>
        <v>52323528.149999999</v>
      </c>
      <c r="AF11" s="153">
        <f t="shared" si="15"/>
        <v>8.7312034786782604</v>
      </c>
      <c r="AG11" s="183">
        <f t="shared" si="16"/>
        <v>-1.1141190780531551E-2</v>
      </c>
    </row>
    <row r="12" spans="1:33" ht="22" customHeight="1" x14ac:dyDescent="0.3">
      <c r="A12" s="142">
        <v>44743</v>
      </c>
      <c r="B12" s="143">
        <v>217090.37</v>
      </c>
      <c r="C12" s="147">
        <v>2748429</v>
      </c>
      <c r="D12" s="145">
        <f t="shared" si="1"/>
        <v>7.8987075889535436</v>
      </c>
      <c r="E12" s="127">
        <f t="shared" si="2"/>
        <v>0.13801607695251406</v>
      </c>
      <c r="F12" s="133">
        <v>70822.97</v>
      </c>
      <c r="G12" s="134">
        <v>529723</v>
      </c>
      <c r="H12" s="148">
        <f t="shared" si="3"/>
        <v>13.369812147103296</v>
      </c>
      <c r="I12" s="128">
        <f t="shared" si="4"/>
        <v>-0.15996231379504022</v>
      </c>
      <c r="J12" s="151">
        <v>2555655.34</v>
      </c>
      <c r="K12" s="154">
        <v>25031557.16</v>
      </c>
      <c r="L12" s="153">
        <f t="shared" si="5"/>
        <v>10.209733751937309</v>
      </c>
      <c r="M12" s="127">
        <f t="shared" si="6"/>
        <v>-2.0828558644312434E-2</v>
      </c>
      <c r="N12" s="143">
        <v>172227.73</v>
      </c>
      <c r="O12" s="147">
        <v>4251970</v>
      </c>
      <c r="P12" s="153">
        <f t="shared" si="7"/>
        <v>4.0505396322175367</v>
      </c>
      <c r="Q12" s="127">
        <f t="shared" si="8"/>
        <v>-8.1988685577791598E-2</v>
      </c>
      <c r="R12" s="143">
        <v>318285.76</v>
      </c>
      <c r="S12" s="147">
        <v>3922986</v>
      </c>
      <c r="T12" s="153">
        <f t="shared" si="9"/>
        <v>8.1133544702938014</v>
      </c>
      <c r="U12" s="127">
        <f t="shared" si="10"/>
        <v>2.8294502110166597E-3</v>
      </c>
      <c r="V12" s="143">
        <v>322481.18</v>
      </c>
      <c r="W12" s="147">
        <v>7063594.0599999996</v>
      </c>
      <c r="X12" s="141">
        <f t="shared" si="11"/>
        <v>4.565397972487677</v>
      </c>
      <c r="Y12" s="128">
        <f t="shared" si="12"/>
        <v>-8.4826665232988541E-2</v>
      </c>
      <c r="Z12" s="151">
        <v>122878.42</v>
      </c>
      <c r="AA12" s="147">
        <v>615200</v>
      </c>
      <c r="AB12" s="153">
        <f t="shared" si="13"/>
        <v>19.973735370611184</v>
      </c>
      <c r="AC12" s="127">
        <f t="shared" si="14"/>
        <v>0.42249624324333945</v>
      </c>
      <c r="AD12" s="152">
        <f t="shared" si="0"/>
        <v>3779441.77</v>
      </c>
      <c r="AE12" s="140">
        <f t="shared" si="0"/>
        <v>44163459.219999999</v>
      </c>
      <c r="AF12" s="153">
        <f t="shared" si="15"/>
        <v>8.5578481322596005</v>
      </c>
      <c r="AG12" s="183">
        <f t="shared" si="16"/>
        <v>-1.985469091884029E-2</v>
      </c>
    </row>
    <row r="13" spans="1:33" ht="22" customHeight="1" x14ac:dyDescent="0.3">
      <c r="A13" s="142">
        <v>44774</v>
      </c>
      <c r="B13" s="143">
        <v>250940.11</v>
      </c>
      <c r="C13" s="147">
        <v>3076522</v>
      </c>
      <c r="D13" s="145">
        <f t="shared" si="1"/>
        <v>8.1566167899985764</v>
      </c>
      <c r="E13" s="127">
        <f t="shared" si="2"/>
        <v>3.2652076069472846E-2</v>
      </c>
      <c r="F13" s="143">
        <v>87945.75</v>
      </c>
      <c r="G13" s="147">
        <v>699679</v>
      </c>
      <c r="H13" s="148">
        <f t="shared" si="3"/>
        <v>12.569442558659041</v>
      </c>
      <c r="I13" s="128">
        <f t="shared" si="4"/>
        <v>-5.9863936728360323E-2</v>
      </c>
      <c r="J13" s="143">
        <v>2552065.69</v>
      </c>
      <c r="K13" s="147">
        <v>26644022.57</v>
      </c>
      <c r="L13" s="153">
        <f t="shared" si="5"/>
        <v>9.5783798534742051</v>
      </c>
      <c r="M13" s="127">
        <f t="shared" si="6"/>
        <v>-6.1838429267884076E-2</v>
      </c>
      <c r="N13" s="143">
        <v>207189.41</v>
      </c>
      <c r="O13" s="147">
        <v>4844174</v>
      </c>
      <c r="P13" s="153">
        <f t="shared" si="7"/>
        <v>4.2770843904450997</v>
      </c>
      <c r="Q13" s="127">
        <f t="shared" si="8"/>
        <v>5.592952514910654E-2</v>
      </c>
      <c r="R13" s="143">
        <v>307675.59000000003</v>
      </c>
      <c r="S13" s="147">
        <v>3669166</v>
      </c>
      <c r="T13" s="153">
        <f t="shared" si="9"/>
        <v>8.3854366360093824</v>
      </c>
      <c r="U13" s="127">
        <f t="shared" si="10"/>
        <v>3.3535101506014797E-2</v>
      </c>
      <c r="V13" s="143">
        <v>358216.56</v>
      </c>
      <c r="W13" s="147">
        <v>7894377.5300000003</v>
      </c>
      <c r="X13" s="141">
        <f t="shared" si="11"/>
        <v>4.5376162799247322</v>
      </c>
      <c r="Y13" s="128">
        <f t="shared" si="12"/>
        <v>-6.0852729007120354E-3</v>
      </c>
      <c r="Z13" s="143">
        <v>115513.88</v>
      </c>
      <c r="AA13" s="147">
        <v>741203</v>
      </c>
      <c r="AB13" s="153">
        <f t="shared" si="13"/>
        <v>15.58464820029061</v>
      </c>
      <c r="AC13" s="127">
        <f t="shared" si="14"/>
        <v>-0.21974293184932037</v>
      </c>
      <c r="AD13" s="143">
        <f t="shared" si="0"/>
        <v>3879546.9899999998</v>
      </c>
      <c r="AE13" s="147">
        <f t="shared" si="0"/>
        <v>47569144.100000001</v>
      </c>
      <c r="AF13" s="153">
        <f t="shared" si="15"/>
        <v>8.1555955302546632</v>
      </c>
      <c r="AG13" s="183">
        <f t="shared" si="16"/>
        <v>-4.7003942555209566E-2</v>
      </c>
    </row>
    <row r="14" spans="1:33" ht="22" customHeight="1" x14ac:dyDescent="0.3">
      <c r="A14" s="142">
        <v>44805</v>
      </c>
      <c r="B14" s="143">
        <v>208281.96</v>
      </c>
      <c r="C14" s="147">
        <v>3038180</v>
      </c>
      <c r="D14" s="145">
        <f t="shared" si="1"/>
        <v>6.8554845335036099</v>
      </c>
      <c r="E14" s="127">
        <f t="shared" si="2"/>
        <v>-0.1595186202802098</v>
      </c>
      <c r="F14" s="133">
        <v>92880.7</v>
      </c>
      <c r="G14" s="134">
        <v>729252.52</v>
      </c>
      <c r="H14" s="148">
        <f t="shared" si="3"/>
        <v>12.736424962919566</v>
      </c>
      <c r="I14" s="128">
        <f t="shared" si="4"/>
        <v>1.3284789956376386E-2</v>
      </c>
      <c r="J14" s="151">
        <v>2217558.91</v>
      </c>
      <c r="K14" s="147">
        <v>24779316.010000002</v>
      </c>
      <c r="L14" s="153">
        <f t="shared" si="5"/>
        <v>8.9492337444063299</v>
      </c>
      <c r="M14" s="127">
        <f t="shared" si="6"/>
        <v>-6.5683979826679728E-2</v>
      </c>
      <c r="N14" s="143">
        <v>170050.52</v>
      </c>
      <c r="O14" s="147">
        <v>4524332</v>
      </c>
      <c r="P14" s="153">
        <f t="shared" si="7"/>
        <v>3.7585773988292632</v>
      </c>
      <c r="Q14" s="127">
        <f t="shared" si="8"/>
        <v>-0.12122907669864269</v>
      </c>
      <c r="R14" s="143">
        <v>293015.08</v>
      </c>
      <c r="S14" s="147">
        <v>3684077.04</v>
      </c>
      <c r="T14" s="153">
        <f t="shared" si="9"/>
        <v>7.9535546303342235</v>
      </c>
      <c r="U14" s="127">
        <f t="shared" si="10"/>
        <v>-5.1503818396353762E-2</v>
      </c>
      <c r="V14" s="143">
        <v>338374.93</v>
      </c>
      <c r="W14" s="147">
        <v>7538212.6399999997</v>
      </c>
      <c r="X14" s="153">
        <f t="shared" si="11"/>
        <v>4.488795237805868</v>
      </c>
      <c r="Y14" s="128">
        <f t="shared" si="12"/>
        <v>-1.0759182598770511E-2</v>
      </c>
      <c r="Z14" s="143">
        <v>105776.44</v>
      </c>
      <c r="AA14" s="147">
        <v>742782</v>
      </c>
      <c r="AB14" s="153">
        <f t="shared" si="13"/>
        <v>14.240576642945035</v>
      </c>
      <c r="AC14" s="127">
        <f t="shared" si="14"/>
        <v>-8.6243304312798807E-2</v>
      </c>
      <c r="AD14" s="152">
        <f t="shared" si="0"/>
        <v>3425938.5400000005</v>
      </c>
      <c r="AE14" s="140">
        <f t="shared" si="0"/>
        <v>45036152.210000001</v>
      </c>
      <c r="AF14" s="153">
        <f t="shared" si="15"/>
        <v>7.6070853567265715</v>
      </c>
      <c r="AG14" s="183">
        <f t="shared" si="16"/>
        <v>-6.7255686171940887E-2</v>
      </c>
    </row>
    <row r="15" spans="1:33" ht="22" customHeight="1" x14ac:dyDescent="0.3">
      <c r="A15" s="142">
        <v>44835</v>
      </c>
      <c r="B15" s="143">
        <v>232738.53</v>
      </c>
      <c r="C15" s="147">
        <v>3473034</v>
      </c>
      <c r="D15" s="145">
        <f t="shared" si="1"/>
        <v>6.7013029529800168</v>
      </c>
      <c r="E15" s="127">
        <f t="shared" si="2"/>
        <v>-2.2490252843557323E-2</v>
      </c>
      <c r="F15" s="133">
        <v>67712.75</v>
      </c>
      <c r="G15" s="134">
        <v>569306.26</v>
      </c>
      <c r="H15" s="148">
        <f t="shared" si="3"/>
        <v>11.893905751185663</v>
      </c>
      <c r="I15" s="128">
        <f t="shared" si="4"/>
        <v>-6.6150369054643443E-2</v>
      </c>
      <c r="J15" s="151">
        <v>2346668.27</v>
      </c>
      <c r="K15" s="147">
        <v>25798878.859999999</v>
      </c>
      <c r="L15" s="175">
        <f t="shared" si="5"/>
        <v>9.0960087170237589</v>
      </c>
      <c r="M15" s="127">
        <f t="shared" si="6"/>
        <v>1.6400842441864905E-2</v>
      </c>
      <c r="N15" s="143">
        <v>180339.33</v>
      </c>
      <c r="O15" s="147">
        <v>4538730</v>
      </c>
      <c r="P15" s="153">
        <f t="shared" si="7"/>
        <v>3.9733434242618526</v>
      </c>
      <c r="Q15" s="127">
        <f t="shared" si="8"/>
        <v>5.7140242874733849E-2</v>
      </c>
      <c r="R15" s="143">
        <v>292972.45</v>
      </c>
      <c r="S15" s="147">
        <v>3618962.68</v>
      </c>
      <c r="T15" s="153">
        <f t="shared" si="9"/>
        <v>8.0954813825269945</v>
      </c>
      <c r="U15" s="127">
        <f t="shared" si="10"/>
        <v>1.7844442993007581E-2</v>
      </c>
      <c r="V15" s="143">
        <v>304781.7</v>
      </c>
      <c r="W15" s="147">
        <v>6679101.5599999996</v>
      </c>
      <c r="X15" s="153">
        <f t="shared" si="11"/>
        <v>4.5632140380269952</v>
      </c>
      <c r="Y15" s="128">
        <f t="shared" si="12"/>
        <v>1.6578791474904264E-2</v>
      </c>
      <c r="Z15" s="143">
        <v>118245.41</v>
      </c>
      <c r="AA15" s="147">
        <v>873094</v>
      </c>
      <c r="AB15" s="153">
        <f t="shared" si="13"/>
        <v>13.543262237513945</v>
      </c>
      <c r="AC15" s="127">
        <f t="shared" si="14"/>
        <v>-4.896672535915525E-2</v>
      </c>
      <c r="AD15" s="152">
        <f t="shared" si="0"/>
        <v>3543458.4400000004</v>
      </c>
      <c r="AE15" s="140">
        <f t="shared" si="0"/>
        <v>45551107.359999999</v>
      </c>
      <c r="AF15" s="153">
        <f t="shared" si="15"/>
        <v>7.7790829803440378</v>
      </c>
      <c r="AG15" s="183">
        <f t="shared" si="16"/>
        <v>2.2610187154713302E-2</v>
      </c>
    </row>
    <row r="16" spans="1:33" ht="22" customHeight="1" x14ac:dyDescent="0.3">
      <c r="A16" s="142">
        <v>44866</v>
      </c>
      <c r="B16" s="143">
        <v>213424.51</v>
      </c>
      <c r="C16" s="147">
        <v>3020641</v>
      </c>
      <c r="D16" s="145">
        <f t="shared" si="1"/>
        <v>7.0655370830231075</v>
      </c>
      <c r="E16" s="127">
        <f t="shared" si="2"/>
        <v>5.4352732983235619E-2</v>
      </c>
      <c r="F16" s="155">
        <v>93371.51</v>
      </c>
      <c r="G16" s="134">
        <v>857501</v>
      </c>
      <c r="H16" s="148">
        <f t="shared" si="3"/>
        <v>10.88879313260276</v>
      </c>
      <c r="I16" s="128">
        <f t="shared" si="4"/>
        <v>-8.4506522887379254E-2</v>
      </c>
      <c r="J16" s="143">
        <v>1969833.1</v>
      </c>
      <c r="K16" s="147">
        <v>22526952.510000002</v>
      </c>
      <c r="L16" s="153">
        <f t="shared" si="5"/>
        <v>8.7443390273298895</v>
      </c>
      <c r="M16" s="127">
        <f t="shared" si="6"/>
        <v>-3.8661978086685145E-2</v>
      </c>
      <c r="N16" s="143">
        <v>209604.63</v>
      </c>
      <c r="O16" s="147">
        <v>5021973</v>
      </c>
      <c r="P16" s="153">
        <f t="shared" si="7"/>
        <v>4.1737506354574192</v>
      </c>
      <c r="Q16" s="127">
        <f t="shared" si="8"/>
        <v>5.0437928413599842E-2</v>
      </c>
      <c r="R16" s="143">
        <v>307168.83</v>
      </c>
      <c r="S16" s="147">
        <v>3811512.56</v>
      </c>
      <c r="T16" s="153">
        <f t="shared" si="9"/>
        <v>8.0589746239744784</v>
      </c>
      <c r="U16" s="127">
        <f t="shared" si="10"/>
        <v>-4.5095228841253165E-3</v>
      </c>
      <c r="V16" s="143">
        <v>269916.78000000003</v>
      </c>
      <c r="W16" s="147">
        <v>6070599.25</v>
      </c>
      <c r="X16" s="153">
        <f t="shared" si="11"/>
        <v>4.4462954789842213</v>
      </c>
      <c r="Y16" s="128">
        <f t="shared" si="12"/>
        <v>-2.562197566637181E-2</v>
      </c>
      <c r="Z16" s="143">
        <v>105287.55</v>
      </c>
      <c r="AA16" s="147">
        <v>918086</v>
      </c>
      <c r="AB16" s="153">
        <f t="shared" si="13"/>
        <v>11.468157667146652</v>
      </c>
      <c r="AC16" s="127">
        <f t="shared" si="14"/>
        <v>-0.1532204378808667</v>
      </c>
      <c r="AD16" s="152">
        <f t="shared" si="0"/>
        <v>3168606.91</v>
      </c>
      <c r="AE16" s="140">
        <f t="shared" si="0"/>
        <v>42227265.32</v>
      </c>
      <c r="AF16" s="153">
        <f t="shared" si="15"/>
        <v>7.5036990579147451</v>
      </c>
      <c r="AG16" s="183">
        <f t="shared" si="16"/>
        <v>-3.5400563681493691E-2</v>
      </c>
    </row>
    <row r="17" spans="1:33" ht="22" customHeight="1" x14ac:dyDescent="0.3">
      <c r="A17" s="156">
        <v>44896</v>
      </c>
      <c r="B17" s="162">
        <v>176263.46</v>
      </c>
      <c r="C17" s="161">
        <v>2327943</v>
      </c>
      <c r="D17" s="157">
        <f t="shared" si="1"/>
        <v>7.5716398554431965</v>
      </c>
      <c r="E17" s="158">
        <f t="shared" si="2"/>
        <v>7.1629766636727377E-2</v>
      </c>
      <c r="F17" s="176">
        <v>95178.12</v>
      </c>
      <c r="G17" s="174">
        <v>1144933</v>
      </c>
      <c r="H17" s="159">
        <f t="shared" si="3"/>
        <v>8.3129860000541509</v>
      </c>
      <c r="I17" s="160">
        <f t="shared" si="4"/>
        <v>-0.23655579651304404</v>
      </c>
      <c r="J17" s="162">
        <v>1694295.74</v>
      </c>
      <c r="K17" s="161">
        <v>20193811.420000002</v>
      </c>
      <c r="L17" s="165">
        <f t="shared" si="5"/>
        <v>8.3901731315662644</v>
      </c>
      <c r="M17" s="158">
        <f t="shared" si="6"/>
        <v>-4.0502306081306005E-2</v>
      </c>
      <c r="N17" s="162">
        <v>122419.96</v>
      </c>
      <c r="O17" s="161">
        <v>3798687</v>
      </c>
      <c r="P17" s="165">
        <f t="shared" si="7"/>
        <v>3.2226914194299248</v>
      </c>
      <c r="Q17" s="158">
        <f t="shared" si="8"/>
        <v>-0.22786680352868371</v>
      </c>
      <c r="R17" s="162">
        <v>288807.08</v>
      </c>
      <c r="S17" s="161">
        <v>3802126</v>
      </c>
      <c r="T17" s="165">
        <f t="shared" si="9"/>
        <v>7.5959365891609067</v>
      </c>
      <c r="U17" s="158">
        <f t="shared" si="10"/>
        <v>-5.745619714896355E-2</v>
      </c>
      <c r="V17" s="162">
        <v>242651.49</v>
      </c>
      <c r="W17" s="161">
        <v>5423878.1200000001</v>
      </c>
      <c r="X17" s="165">
        <f t="shared" si="11"/>
        <v>4.4737636914304408</v>
      </c>
      <c r="Y17" s="160">
        <f t="shared" si="12"/>
        <v>6.1777748636027141E-3</v>
      </c>
      <c r="Z17" s="162">
        <v>175373.15</v>
      </c>
      <c r="AA17" s="161">
        <v>1041414</v>
      </c>
      <c r="AB17" s="165">
        <f t="shared" si="13"/>
        <v>16.839907087863232</v>
      </c>
      <c r="AC17" s="158">
        <f t="shared" si="14"/>
        <v>0.4684056128828149</v>
      </c>
      <c r="AD17" s="162">
        <f t="shared" si="0"/>
        <v>2794988.9999999995</v>
      </c>
      <c r="AE17" s="174">
        <f t="shared" si="0"/>
        <v>37732792.539999999</v>
      </c>
      <c r="AF17" s="165">
        <f t="shared" si="15"/>
        <v>7.4073208258759831</v>
      </c>
      <c r="AG17" s="184">
        <f t="shared" si="16"/>
        <v>-1.284409613110804E-2</v>
      </c>
    </row>
    <row r="18" spans="1:33" ht="22" customHeight="1" x14ac:dyDescent="0.3">
      <c r="A18" s="77" t="s">
        <v>17</v>
      </c>
      <c r="B18" s="185">
        <f>SUM(B6:B17)</f>
        <v>2782584.3999999994</v>
      </c>
      <c r="C18" s="161">
        <f>SUM(C6:C17)</f>
        <v>38518563</v>
      </c>
      <c r="D18" s="185"/>
      <c r="E18" s="185"/>
      <c r="F18" s="185">
        <f t="shared" ref="F18:AE18" si="17">SUM(F6:F17)</f>
        <v>979971.57</v>
      </c>
      <c r="G18" s="161">
        <f t="shared" si="17"/>
        <v>7756804.8000000007</v>
      </c>
      <c r="H18" s="185"/>
      <c r="I18" s="185"/>
      <c r="J18" s="185">
        <f t="shared" si="17"/>
        <v>30840819.010000002</v>
      </c>
      <c r="K18" s="161">
        <f t="shared" si="17"/>
        <v>316152619.19999999</v>
      </c>
      <c r="L18" s="185"/>
      <c r="M18" s="185"/>
      <c r="N18" s="185">
        <f t="shared" si="17"/>
        <v>2277977.6</v>
      </c>
      <c r="O18" s="161">
        <f t="shared" si="17"/>
        <v>52153207</v>
      </c>
      <c r="P18" s="185"/>
      <c r="Q18" s="185"/>
      <c r="R18" s="185">
        <f t="shared" si="17"/>
        <v>4035725.5200000005</v>
      </c>
      <c r="S18" s="161">
        <f t="shared" si="17"/>
        <v>50280502.109999999</v>
      </c>
      <c r="T18" s="185"/>
      <c r="U18" s="185"/>
      <c r="V18" s="185">
        <f t="shared" si="17"/>
        <v>3766839.3000000007</v>
      </c>
      <c r="W18" s="161">
        <f t="shared" si="17"/>
        <v>83060889.080000013</v>
      </c>
      <c r="X18" s="185"/>
      <c r="Y18" s="185"/>
      <c r="Z18" s="185">
        <f t="shared" si="17"/>
        <v>1581054.3699999999</v>
      </c>
      <c r="AA18" s="161">
        <f t="shared" si="17"/>
        <v>10333411.699999999</v>
      </c>
      <c r="AB18" s="185"/>
      <c r="AC18" s="185"/>
      <c r="AD18" s="185">
        <f t="shared" si="17"/>
        <v>46264971.769999996</v>
      </c>
      <c r="AE18" s="161">
        <f t="shared" si="17"/>
        <v>558255996.88999999</v>
      </c>
      <c r="AF18" s="185"/>
      <c r="AG18" s="80"/>
    </row>
    <row r="19" spans="1:33" ht="22" customHeight="1" thickBot="1" x14ac:dyDescent="0.35">
      <c r="A19" s="211" t="s">
        <v>11</v>
      </c>
      <c r="B19" s="212">
        <f>AVERAGE(B6:B17)</f>
        <v>231882.0333333333</v>
      </c>
      <c r="C19" s="213">
        <f>AVERAGE(C6:C17)</f>
        <v>3209880.25</v>
      </c>
      <c r="D19" s="214">
        <f>B19/C19*100</f>
        <v>7.2240088499667028</v>
      </c>
      <c r="E19" s="212"/>
      <c r="F19" s="212">
        <f t="shared" ref="F19:AE19" si="18">AVERAGE(F6:F17)</f>
        <v>81664.297500000001</v>
      </c>
      <c r="G19" s="215">
        <f t="shared" si="18"/>
        <v>646400.4</v>
      </c>
      <c r="H19" s="216">
        <f>F19/G19*100</f>
        <v>12.633701572585659</v>
      </c>
      <c r="I19" s="212"/>
      <c r="J19" s="212">
        <f t="shared" si="18"/>
        <v>2570068.2508333335</v>
      </c>
      <c r="K19" s="213">
        <f t="shared" si="18"/>
        <v>26346051.599999998</v>
      </c>
      <c r="L19" s="74">
        <f>J19/K19*100</f>
        <v>9.7550414379106964</v>
      </c>
      <c r="M19" s="212"/>
      <c r="N19" s="212">
        <f t="shared" si="18"/>
        <v>189831.46666666667</v>
      </c>
      <c r="O19" s="213">
        <f t="shared" si="18"/>
        <v>4346100.583333333</v>
      </c>
      <c r="P19" s="74">
        <f>N19/O19*100</f>
        <v>4.3678571866155815</v>
      </c>
      <c r="Q19" s="212"/>
      <c r="R19" s="212">
        <f t="shared" si="18"/>
        <v>336310.46</v>
      </c>
      <c r="S19" s="213">
        <f t="shared" si="18"/>
        <v>4190041.8424999998</v>
      </c>
      <c r="T19" s="74">
        <f>R19/S19*100</f>
        <v>8.0264224712214194</v>
      </c>
      <c r="U19" s="212"/>
      <c r="V19" s="212">
        <f t="shared" si="18"/>
        <v>313903.27500000008</v>
      </c>
      <c r="W19" s="212">
        <f t="shared" si="18"/>
        <v>6921740.7566666678</v>
      </c>
      <c r="X19" s="212"/>
      <c r="Y19" s="212"/>
      <c r="Z19" s="212">
        <f t="shared" si="18"/>
        <v>131754.53083333332</v>
      </c>
      <c r="AA19" s="213">
        <f t="shared" si="18"/>
        <v>861117.6416666666</v>
      </c>
      <c r="AB19" s="74">
        <f>Z19/AA19*100</f>
        <v>15.300410124954182</v>
      </c>
      <c r="AC19" s="212"/>
      <c r="AD19" s="212">
        <f t="shared" si="18"/>
        <v>3855414.3141666665</v>
      </c>
      <c r="AE19" s="213">
        <f t="shared" si="18"/>
        <v>46521333.074166663</v>
      </c>
      <c r="AF19" s="74">
        <f>AD19/AE19*100</f>
        <v>8.2874115151003309</v>
      </c>
      <c r="AG19" s="217"/>
    </row>
    <row r="20" spans="1:33" ht="15.5" customHeight="1" x14ac:dyDescent="0.35">
      <c r="A20" s="41" t="s">
        <v>14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71"/>
      <c r="U20" s="71"/>
      <c r="V20" s="71"/>
      <c r="W20" s="71"/>
      <c r="X20" s="71"/>
      <c r="Y20" s="71"/>
      <c r="Z20" s="71"/>
      <c r="AA20" s="71"/>
      <c r="AB20" s="71"/>
      <c r="AC20" s="71"/>
      <c r="AD20" s="71"/>
      <c r="AE20" s="71"/>
      <c r="AF20" s="71"/>
      <c r="AG20" s="71"/>
    </row>
    <row r="21" spans="1:33" ht="15.5" customHeight="1" x14ac:dyDescent="0.3">
      <c r="A21" s="256" t="s">
        <v>59</v>
      </c>
      <c r="B21" s="256"/>
      <c r="C21" s="256"/>
      <c r="D21" s="256"/>
      <c r="E21" s="256"/>
      <c r="F21" s="256"/>
      <c r="G21" s="256"/>
      <c r="H21" s="256"/>
      <c r="I21" s="256"/>
      <c r="J21" s="256"/>
      <c r="K21" s="256"/>
      <c r="L21" s="256"/>
      <c r="M21" s="256"/>
      <c r="N21" s="256"/>
      <c r="O21" s="256"/>
      <c r="P21" s="256"/>
      <c r="Q21" s="256"/>
      <c r="R21" s="256"/>
      <c r="S21" s="256"/>
      <c r="T21" s="256"/>
      <c r="U21" s="256"/>
      <c r="V21" s="256"/>
      <c r="W21" s="256"/>
      <c r="X21" s="256"/>
      <c r="Y21" s="256"/>
      <c r="Z21" s="256"/>
      <c r="AA21" s="256"/>
      <c r="AB21" s="256"/>
      <c r="AC21" s="256"/>
      <c r="AD21" s="256"/>
      <c r="AE21" s="256"/>
      <c r="AF21" s="256"/>
      <c r="AG21" s="256"/>
    </row>
    <row r="22" spans="1:33" ht="15.5" customHeight="1" x14ac:dyDescent="0.35">
      <c r="A22" s="94" t="s">
        <v>60</v>
      </c>
      <c r="B22" s="94"/>
      <c r="C22" s="94"/>
      <c r="D22" s="94"/>
      <c r="E22" s="94"/>
      <c r="F22" s="94"/>
      <c r="G22" s="94"/>
      <c r="H22" s="94"/>
      <c r="I22" s="94"/>
      <c r="J22" s="94"/>
      <c r="K22" s="94"/>
      <c r="L22" s="94"/>
      <c r="M22" s="94"/>
      <c r="N22" s="94"/>
      <c r="O22" s="94"/>
      <c r="P22" s="94"/>
      <c r="Q22" s="94"/>
      <c r="R22" s="94"/>
      <c r="S22" s="94"/>
      <c r="T22" s="94"/>
      <c r="U22" s="96"/>
      <c r="V22" s="96"/>
      <c r="W22" s="71"/>
      <c r="X22" s="71"/>
      <c r="Y22" s="71"/>
      <c r="Z22" s="71"/>
      <c r="AA22" s="71"/>
      <c r="AB22" s="71"/>
      <c r="AC22" s="71"/>
      <c r="AD22" s="71"/>
      <c r="AE22" s="71"/>
      <c r="AF22" s="71"/>
      <c r="AG22" s="71"/>
    </row>
    <row r="23" spans="1:33" ht="15.5" customHeight="1" x14ac:dyDescent="0.35">
      <c r="A23" s="256" t="s">
        <v>61</v>
      </c>
      <c r="B23" s="256"/>
      <c r="C23" s="256"/>
      <c r="D23" s="256"/>
      <c r="E23" s="256"/>
      <c r="F23" s="256"/>
      <c r="G23" s="256"/>
      <c r="H23" s="256"/>
      <c r="I23" s="256"/>
      <c r="J23" s="256"/>
      <c r="K23" s="256"/>
      <c r="L23" s="256"/>
      <c r="M23" s="256"/>
      <c r="N23" s="256"/>
      <c r="O23" s="256"/>
      <c r="P23" s="256"/>
      <c r="Q23" s="256"/>
      <c r="R23" s="256"/>
      <c r="S23" s="256"/>
      <c r="T23" s="256"/>
      <c r="U23" s="96"/>
      <c r="V23" s="96"/>
      <c r="W23" s="71"/>
      <c r="X23" s="71"/>
      <c r="Y23" s="71"/>
      <c r="Z23" s="71"/>
      <c r="AA23" s="71"/>
      <c r="AB23" s="71"/>
      <c r="AC23" s="71"/>
      <c r="AD23" s="71"/>
      <c r="AE23" s="71"/>
      <c r="AF23" s="71"/>
      <c r="AG23" s="71"/>
    </row>
    <row r="24" spans="1:33" ht="15.5" customHeight="1" x14ac:dyDescent="0.35">
      <c r="A24" s="94" t="s">
        <v>62</v>
      </c>
      <c r="B24" s="94"/>
      <c r="C24" s="94"/>
      <c r="D24" s="94"/>
      <c r="E24" s="94"/>
      <c r="F24" s="94"/>
      <c r="G24" s="94"/>
      <c r="H24" s="94"/>
      <c r="I24" s="94"/>
      <c r="J24" s="94"/>
      <c r="K24" s="94"/>
      <c r="L24" s="94"/>
      <c r="M24" s="94"/>
      <c r="N24" s="94"/>
      <c r="O24" s="94"/>
      <c r="P24" s="94"/>
      <c r="Q24" s="94"/>
      <c r="R24" s="94"/>
      <c r="S24" s="94"/>
      <c r="T24" s="94"/>
      <c r="U24" s="94"/>
      <c r="V24" s="113"/>
      <c r="W24" s="113"/>
      <c r="X24" s="96"/>
      <c r="Y24" s="71"/>
      <c r="Z24" s="71"/>
      <c r="AA24" s="71"/>
      <c r="AB24" s="71"/>
      <c r="AC24" s="71"/>
      <c r="AD24" s="71"/>
      <c r="AE24" s="181"/>
      <c r="AF24" s="71"/>
      <c r="AG24" s="71"/>
    </row>
    <row r="25" spans="1:33" ht="15.5" customHeight="1" x14ac:dyDescent="0.35">
      <c r="A25" s="94" t="s">
        <v>63</v>
      </c>
      <c r="B25" s="94"/>
      <c r="C25" s="94"/>
      <c r="D25" s="94"/>
      <c r="E25" s="94"/>
      <c r="F25" s="94"/>
      <c r="G25" s="94"/>
      <c r="H25" s="94"/>
      <c r="I25" s="94"/>
      <c r="J25" s="94"/>
      <c r="K25" s="94"/>
      <c r="L25" s="94"/>
      <c r="M25" s="94"/>
      <c r="N25" s="94"/>
      <c r="O25" s="94"/>
      <c r="P25" s="94"/>
      <c r="Q25" s="94"/>
      <c r="R25" s="94"/>
      <c r="S25" s="94"/>
      <c r="T25" s="94"/>
      <c r="U25" s="94"/>
      <c r="V25" s="113"/>
      <c r="W25" s="113"/>
      <c r="X25" s="71"/>
      <c r="Y25" s="71"/>
      <c r="Z25" s="71"/>
      <c r="AA25" s="71"/>
      <c r="AB25" s="71"/>
      <c r="AC25" s="71"/>
      <c r="AD25" s="71"/>
      <c r="AE25" s="181"/>
      <c r="AF25" s="71"/>
      <c r="AG25" s="71"/>
    </row>
    <row r="26" spans="1:33" ht="15.5" customHeight="1" x14ac:dyDescent="0.35">
      <c r="A26" s="41" t="s">
        <v>64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2"/>
      <c r="W26" s="42"/>
      <c r="X26" s="71"/>
      <c r="Y26" s="71"/>
      <c r="Z26" s="71"/>
      <c r="AA26" s="71"/>
      <c r="AB26" s="71"/>
      <c r="AC26" s="71"/>
      <c r="AD26" s="71"/>
      <c r="AE26" s="182"/>
      <c r="AF26" s="71"/>
      <c r="AG26" s="71"/>
    </row>
    <row r="27" spans="1:33" ht="15.5" customHeight="1" x14ac:dyDescent="0.35">
      <c r="A27" s="94" t="s">
        <v>65</v>
      </c>
      <c r="B27" s="94"/>
      <c r="C27" s="94"/>
      <c r="D27" s="94"/>
      <c r="E27" s="94"/>
      <c r="F27" s="94"/>
      <c r="G27" s="94"/>
      <c r="H27" s="94"/>
      <c r="I27" s="94"/>
      <c r="J27" s="94"/>
      <c r="K27" s="94"/>
      <c r="L27" s="94"/>
      <c r="M27" s="94"/>
      <c r="N27" s="94"/>
      <c r="O27" s="94"/>
      <c r="P27" s="94"/>
      <c r="Q27" s="94"/>
      <c r="R27" s="94"/>
      <c r="S27" s="94"/>
      <c r="T27" s="94"/>
      <c r="U27" s="94"/>
      <c r="V27" s="113"/>
      <c r="W27" s="113"/>
      <c r="X27" s="71"/>
      <c r="Y27" s="71"/>
      <c r="Z27" s="71"/>
      <c r="AA27" s="71"/>
      <c r="AB27" s="71"/>
      <c r="AC27" s="71"/>
      <c r="AD27" s="71"/>
      <c r="AE27" s="181"/>
      <c r="AF27" s="71"/>
      <c r="AG27" s="71"/>
    </row>
    <row r="28" spans="1:33" ht="15.5" customHeight="1" x14ac:dyDescent="0.35">
      <c r="A28" s="256" t="s">
        <v>66</v>
      </c>
      <c r="B28" s="256"/>
      <c r="C28" s="256"/>
      <c r="D28" s="256"/>
      <c r="E28" s="256"/>
      <c r="F28" s="256"/>
      <c r="G28" s="256"/>
      <c r="H28" s="256"/>
      <c r="I28" s="256"/>
      <c r="J28" s="256"/>
      <c r="K28" s="256"/>
      <c r="L28" s="256"/>
      <c r="M28" s="256"/>
      <c r="N28" s="256"/>
      <c r="O28" s="256"/>
      <c r="P28" s="256"/>
      <c r="Q28" s="256"/>
      <c r="R28" s="256"/>
      <c r="S28" s="256"/>
      <c r="T28" s="41"/>
      <c r="U28" s="41"/>
      <c r="V28" s="42"/>
      <c r="W28" s="42"/>
      <c r="X28" s="71"/>
      <c r="Y28" s="71"/>
      <c r="Z28" s="71"/>
      <c r="AA28" s="71"/>
      <c r="AB28" s="71"/>
      <c r="AC28" s="71"/>
      <c r="AD28" s="71"/>
      <c r="AE28" s="181"/>
      <c r="AF28" s="71"/>
      <c r="AG28" s="71"/>
    </row>
    <row r="29" spans="1:33" ht="15.5" x14ac:dyDescent="0.35">
      <c r="A29" s="71"/>
      <c r="B29" s="71"/>
      <c r="C29" s="71"/>
      <c r="D29" s="71"/>
      <c r="E29" s="71"/>
      <c r="F29" s="71"/>
      <c r="G29" s="71"/>
      <c r="H29" s="71"/>
      <c r="I29" s="71"/>
      <c r="J29" s="71"/>
      <c r="K29" s="71"/>
      <c r="L29" s="71"/>
      <c r="M29" s="71"/>
      <c r="N29" s="71"/>
      <c r="O29" s="71"/>
      <c r="P29" s="71"/>
      <c r="Q29" s="71"/>
      <c r="R29" s="71"/>
      <c r="S29" s="71"/>
      <c r="T29" s="71"/>
      <c r="U29" s="71"/>
      <c r="V29" s="71"/>
      <c r="W29" s="71"/>
      <c r="X29" s="71"/>
      <c r="Y29" s="71"/>
      <c r="Z29" s="71"/>
      <c r="AA29" s="71"/>
      <c r="AB29" s="71"/>
      <c r="AC29" s="71"/>
      <c r="AD29" s="71"/>
      <c r="AE29" s="71"/>
      <c r="AF29" s="71"/>
      <c r="AG29" s="71"/>
    </row>
  </sheetData>
  <mergeCells count="12">
    <mergeCell ref="A21:AG21"/>
    <mergeCell ref="A23:T23"/>
    <mergeCell ref="A28:S28"/>
    <mergeCell ref="A1:AF1"/>
    <mergeCell ref="B3:E3"/>
    <mergeCell ref="F3:I3"/>
    <mergeCell ref="J3:M3"/>
    <mergeCell ref="N3:Q3"/>
    <mergeCell ref="R3:U3"/>
    <mergeCell ref="V3:Y3"/>
    <mergeCell ref="Z3:AC3"/>
    <mergeCell ref="AD3:AG3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G28"/>
  <sheetViews>
    <sheetView topLeftCell="K1" workbookViewId="0">
      <selection activeCell="A12" sqref="A12:XFD12"/>
    </sheetView>
  </sheetViews>
  <sheetFormatPr defaultRowHeight="14.5" x14ac:dyDescent="0.35"/>
  <cols>
    <col min="3" max="3" width="9.453125" bestFit="1" customWidth="1"/>
    <col min="4" max="5" width="5.1796875" customWidth="1"/>
    <col min="7" max="7" width="9.453125" bestFit="1" customWidth="1"/>
    <col min="8" max="9" width="5.1796875" customWidth="1"/>
    <col min="10" max="10" width="9.08984375" bestFit="1" customWidth="1"/>
    <col min="11" max="11" width="10.1796875" bestFit="1" customWidth="1"/>
    <col min="12" max="13" width="5.1796875" customWidth="1"/>
    <col min="15" max="15" width="9.453125" bestFit="1" customWidth="1"/>
    <col min="16" max="17" width="5.1796875" customWidth="1"/>
    <col min="19" max="19" width="9.453125" bestFit="1" customWidth="1"/>
    <col min="20" max="21" width="5.1796875" customWidth="1"/>
    <col min="23" max="23" width="9.453125" customWidth="1"/>
    <col min="24" max="25" width="5.1796875" customWidth="1"/>
    <col min="28" max="29" width="5.1796875" customWidth="1"/>
    <col min="30" max="30" width="9.08984375" bestFit="1" customWidth="1"/>
    <col min="31" max="31" width="10.1796875" bestFit="1" customWidth="1"/>
    <col min="32" max="33" width="5.1796875" customWidth="1"/>
  </cols>
  <sheetData>
    <row r="1" spans="1:33" ht="20" x14ac:dyDescent="0.4">
      <c r="A1" s="245" t="s">
        <v>67</v>
      </c>
      <c r="B1" s="245"/>
      <c r="C1" s="245"/>
      <c r="D1" s="245"/>
      <c r="E1" s="245"/>
      <c r="F1" s="245"/>
      <c r="G1" s="245"/>
      <c r="H1" s="245"/>
      <c r="I1" s="245"/>
      <c r="J1" s="245"/>
      <c r="K1" s="245"/>
      <c r="L1" s="245"/>
      <c r="M1" s="245"/>
      <c r="N1" s="245"/>
      <c r="O1" s="245"/>
      <c r="P1" s="245"/>
      <c r="Q1" s="245"/>
      <c r="R1" s="245"/>
      <c r="S1" s="245"/>
      <c r="T1" s="245"/>
      <c r="U1" s="245"/>
      <c r="V1" s="245"/>
      <c r="W1" s="245"/>
      <c r="X1" s="245"/>
      <c r="Y1" s="245"/>
      <c r="Z1" s="245"/>
      <c r="AA1" s="245"/>
      <c r="AB1" s="245"/>
      <c r="AC1" s="245"/>
      <c r="AD1" s="245"/>
      <c r="AE1" s="245"/>
      <c r="AF1" s="245"/>
      <c r="AG1" s="50"/>
    </row>
    <row r="2" spans="1:33" ht="15" thickBot="1" x14ac:dyDescent="0.4">
      <c r="A2" s="50"/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0"/>
      <c r="T2" s="50"/>
      <c r="U2" s="50"/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</row>
    <row r="3" spans="1:33" x14ac:dyDescent="0.35">
      <c r="A3" s="44" t="s">
        <v>9</v>
      </c>
      <c r="B3" s="246" t="s">
        <v>0</v>
      </c>
      <c r="C3" s="247"/>
      <c r="D3" s="247"/>
      <c r="E3" s="248"/>
      <c r="F3" s="246" t="s">
        <v>46</v>
      </c>
      <c r="G3" s="247"/>
      <c r="H3" s="247"/>
      <c r="I3" s="248"/>
      <c r="J3" s="246" t="s">
        <v>1</v>
      </c>
      <c r="K3" s="247"/>
      <c r="L3" s="247"/>
      <c r="M3" s="248"/>
      <c r="N3" s="246" t="s">
        <v>2</v>
      </c>
      <c r="O3" s="247"/>
      <c r="P3" s="247"/>
      <c r="Q3" s="248"/>
      <c r="R3" s="246" t="s">
        <v>3</v>
      </c>
      <c r="S3" s="247"/>
      <c r="T3" s="247"/>
      <c r="U3" s="248"/>
      <c r="V3" s="246" t="s">
        <v>5</v>
      </c>
      <c r="W3" s="247"/>
      <c r="X3" s="247"/>
      <c r="Y3" s="248"/>
      <c r="Z3" s="246" t="s">
        <v>4</v>
      </c>
      <c r="AA3" s="247"/>
      <c r="AB3" s="247"/>
      <c r="AC3" s="248"/>
      <c r="AD3" s="249" t="s">
        <v>12</v>
      </c>
      <c r="AE3" s="249"/>
      <c r="AF3" s="249"/>
      <c r="AG3" s="250"/>
    </row>
    <row r="4" spans="1:33" ht="15" thickBot="1" x14ac:dyDescent="0.4">
      <c r="A4" s="45" t="s">
        <v>10</v>
      </c>
      <c r="B4" s="46" t="s">
        <v>34</v>
      </c>
      <c r="C4" s="46" t="s">
        <v>47</v>
      </c>
      <c r="D4" s="46" t="s">
        <v>48</v>
      </c>
      <c r="E4" s="46" t="s">
        <v>18</v>
      </c>
      <c r="F4" s="46" t="s">
        <v>34</v>
      </c>
      <c r="G4" s="46" t="s">
        <v>47</v>
      </c>
      <c r="H4" s="46" t="s">
        <v>48</v>
      </c>
      <c r="I4" s="46" t="s">
        <v>18</v>
      </c>
      <c r="J4" s="46" t="s">
        <v>34</v>
      </c>
      <c r="K4" s="46" t="s">
        <v>47</v>
      </c>
      <c r="L4" s="46" t="s">
        <v>48</v>
      </c>
      <c r="M4" s="46" t="s">
        <v>18</v>
      </c>
      <c r="N4" s="46" t="s">
        <v>34</v>
      </c>
      <c r="O4" s="46" t="s">
        <v>47</v>
      </c>
      <c r="P4" s="46" t="s">
        <v>48</v>
      </c>
      <c r="Q4" s="46" t="s">
        <v>18</v>
      </c>
      <c r="R4" s="46" t="s">
        <v>34</v>
      </c>
      <c r="S4" s="46" t="s">
        <v>47</v>
      </c>
      <c r="T4" s="46" t="s">
        <v>48</v>
      </c>
      <c r="U4" s="46" t="s">
        <v>18</v>
      </c>
      <c r="V4" s="46" t="s">
        <v>34</v>
      </c>
      <c r="W4" s="46">
        <v>0</v>
      </c>
      <c r="X4" s="46" t="s">
        <v>48</v>
      </c>
      <c r="Y4" s="46" t="s">
        <v>18</v>
      </c>
      <c r="Z4" s="46" t="s">
        <v>34</v>
      </c>
      <c r="AA4" s="46" t="s">
        <v>47</v>
      </c>
      <c r="AB4" s="46" t="s">
        <v>48</v>
      </c>
      <c r="AC4" s="46" t="s">
        <v>18</v>
      </c>
      <c r="AD4" s="46" t="s">
        <v>35</v>
      </c>
      <c r="AE4" s="46" t="s">
        <v>36</v>
      </c>
      <c r="AF4" s="46" t="s">
        <v>48</v>
      </c>
      <c r="AG4" s="47" t="s">
        <v>18</v>
      </c>
    </row>
    <row r="5" spans="1:33" x14ac:dyDescent="0.35">
      <c r="A5" s="121">
        <v>44896</v>
      </c>
      <c r="B5" s="225">
        <v>176263.46</v>
      </c>
      <c r="C5" s="226">
        <v>2327943</v>
      </c>
      <c r="D5" s="227">
        <v>7.5716398554431965</v>
      </c>
      <c r="E5" s="190">
        <v>7.1629766636727377E-2</v>
      </c>
      <c r="F5" s="191">
        <v>95178.12</v>
      </c>
      <c r="G5" s="192">
        <v>1144933</v>
      </c>
      <c r="H5" s="193">
        <v>8.3129860000541509</v>
      </c>
      <c r="I5" s="195">
        <v>-0.23655579651304404</v>
      </c>
      <c r="J5" s="225">
        <v>1694295.74</v>
      </c>
      <c r="K5" s="228">
        <v>20193811.420000002</v>
      </c>
      <c r="L5" s="227">
        <v>8.3901731315662644</v>
      </c>
      <c r="M5" s="195">
        <v>-4.0502306081306005E-2</v>
      </c>
      <c r="N5" s="225">
        <v>122419.96</v>
      </c>
      <c r="O5" s="228">
        <v>3798687</v>
      </c>
      <c r="P5" s="227">
        <v>3.2226914194299248</v>
      </c>
      <c r="Q5" s="195">
        <v>-0.22786680352868371</v>
      </c>
      <c r="R5" s="225">
        <v>288807.08</v>
      </c>
      <c r="S5" s="228">
        <v>3802126</v>
      </c>
      <c r="T5" s="227">
        <v>7.5959365891609067</v>
      </c>
      <c r="U5" s="195">
        <v>-5.745619714896355E-2</v>
      </c>
      <c r="V5" s="225">
        <v>242651.49</v>
      </c>
      <c r="W5" s="228">
        <v>5423878.1200000001</v>
      </c>
      <c r="X5" s="227">
        <v>4.4737636914304408</v>
      </c>
      <c r="Y5" s="196">
        <v>6.1777748636027141E-3</v>
      </c>
      <c r="Z5" s="225">
        <v>175373.15</v>
      </c>
      <c r="AA5" s="228">
        <v>1041414</v>
      </c>
      <c r="AB5" s="227">
        <v>16.839907087863232</v>
      </c>
      <c r="AC5" s="195">
        <v>0.4684056128828149</v>
      </c>
      <c r="AD5" s="225">
        <v>2794988.9999999995</v>
      </c>
      <c r="AE5" s="228">
        <v>37732792.539999999</v>
      </c>
      <c r="AF5" s="227">
        <v>7.4073208258759831</v>
      </c>
      <c r="AG5" s="218">
        <v>-1.284409613110804E-2</v>
      </c>
    </row>
    <row r="6" spans="1:33" x14ac:dyDescent="0.35">
      <c r="A6" s="232">
        <v>44927</v>
      </c>
      <c r="B6" s="143">
        <v>185120.86</v>
      </c>
      <c r="C6" s="144">
        <v>2747626</v>
      </c>
      <c r="D6" s="219">
        <f t="shared" ref="D6:D17" si="0">B6/C6*100</f>
        <v>6.7374839224843548</v>
      </c>
      <c r="E6" s="149">
        <f t="shared" ref="E6:E17" si="1">D6/D5-1</f>
        <v>-0.11016846401630853</v>
      </c>
      <c r="F6" s="220">
        <v>132393.39000000001</v>
      </c>
      <c r="G6" s="221">
        <v>1565210</v>
      </c>
      <c r="H6" s="222">
        <f t="shared" ref="H6:H17" si="2">F6/G6*100</f>
        <v>8.4585065262808197</v>
      </c>
      <c r="I6" s="149">
        <f t="shared" ref="I6:I17" si="3">H6/H5-1</f>
        <v>1.7505205256657552E-2</v>
      </c>
      <c r="J6" s="151">
        <v>1995675.1</v>
      </c>
      <c r="K6" s="147">
        <v>23057348.359999999</v>
      </c>
      <c r="L6" s="124">
        <f t="shared" ref="L6:L17" si="4">J6/K6*100</f>
        <v>8.6552671575284297</v>
      </c>
      <c r="M6" s="149">
        <f t="shared" ref="M6:M17" si="5">L6/L5-1</f>
        <v>3.159577541550429E-2</v>
      </c>
      <c r="N6" s="143">
        <v>212422.58</v>
      </c>
      <c r="O6" s="147">
        <v>5247398</v>
      </c>
      <c r="P6" s="153">
        <f t="shared" ref="P6:P17" si="6">N6/O6*100</f>
        <v>4.0481507215576178</v>
      </c>
      <c r="Q6" s="149">
        <f t="shared" ref="Q6:Q17" si="7">P6/P5-1</f>
        <v>0.2561397275429218</v>
      </c>
      <c r="R6" s="143">
        <v>345006.78</v>
      </c>
      <c r="S6" s="147">
        <v>4399688</v>
      </c>
      <c r="T6" s="153">
        <f>R6/S6*100</f>
        <v>7.8416192239086051</v>
      </c>
      <c r="U6" s="149">
        <f>T6/T5-1</f>
        <v>3.2343955464067209E-2</v>
      </c>
      <c r="V6" s="143">
        <v>340054.54</v>
      </c>
      <c r="W6" s="147">
        <v>7132506.1200000001</v>
      </c>
      <c r="X6" s="153">
        <f t="shared" ref="X6:X17" si="8">V6/W6*100</f>
        <v>4.7676726003285923</v>
      </c>
      <c r="Y6" s="223">
        <f t="shared" ref="Y6:Y17" si="9">X6/X5-1</f>
        <v>6.5696118340165865E-2</v>
      </c>
      <c r="Z6" s="151">
        <v>119550.47</v>
      </c>
      <c r="AA6" s="147">
        <v>999635</v>
      </c>
      <c r="AB6" s="153">
        <f t="shared" ref="AB6:AB17" si="10">Z6/AA6*100</f>
        <v>11.95941218544769</v>
      </c>
      <c r="AC6" s="149">
        <f t="shared" ref="AC6:AC17" si="11">AB6/AB5-1</f>
        <v>-0.28981721080474288</v>
      </c>
      <c r="AD6" s="143">
        <f t="shared" ref="AD6:AD17" si="12">+B6+F6+J6+N6+R6+V6+Z6</f>
        <v>3330223.72</v>
      </c>
      <c r="AE6" s="147">
        <f t="shared" ref="AE6:AE17" si="13">C6+G6+K6+O6+S6+W6+AA6</f>
        <v>45149411.479999997</v>
      </c>
      <c r="AF6" s="153">
        <f t="shared" ref="AF6:AF17" si="14">AD6/AE6*100</f>
        <v>7.3760069308438316</v>
      </c>
      <c r="AG6" s="224">
        <f t="shared" ref="AG6:AG17" si="15">AF6/AF5-1</f>
        <v>-4.2274252416288904E-3</v>
      </c>
    </row>
    <row r="7" spans="1:33" x14ac:dyDescent="0.35">
      <c r="A7" s="233">
        <v>44958</v>
      </c>
      <c r="B7" s="143">
        <v>137342.10999999999</v>
      </c>
      <c r="C7" s="144">
        <v>2193959</v>
      </c>
      <c r="D7" s="219">
        <f t="shared" si="0"/>
        <v>6.2600126073458977</v>
      </c>
      <c r="E7" s="149">
        <f t="shared" si="1"/>
        <v>-7.0867896774497452E-2</v>
      </c>
      <c r="F7" s="146">
        <v>146241.10999999999</v>
      </c>
      <c r="G7" s="147">
        <v>1677199</v>
      </c>
      <c r="H7" s="222">
        <f t="shared" si="2"/>
        <v>8.7193654420256621</v>
      </c>
      <c r="I7" s="149">
        <f t="shared" si="3"/>
        <v>3.0839831468397749E-2</v>
      </c>
      <c r="J7" s="150">
        <v>1862934.82</v>
      </c>
      <c r="K7" s="147">
        <v>22479306.52</v>
      </c>
      <c r="L7" s="153">
        <f t="shared" si="4"/>
        <v>8.2873322553012638</v>
      </c>
      <c r="M7" s="149">
        <f t="shared" si="5"/>
        <v>-4.2509941695691333E-2</v>
      </c>
      <c r="N7" s="143">
        <v>177979.8</v>
      </c>
      <c r="O7" s="147">
        <v>4373347</v>
      </c>
      <c r="P7" s="153">
        <f t="shared" si="6"/>
        <v>4.0696473433276612</v>
      </c>
      <c r="Q7" s="149">
        <f t="shared" si="7"/>
        <v>5.3102325601581679E-3</v>
      </c>
      <c r="R7" s="143">
        <v>318591.05</v>
      </c>
      <c r="S7" s="147">
        <v>4373347</v>
      </c>
      <c r="T7" s="153">
        <f>R7/S7*100</f>
        <v>7.2848335611146329</v>
      </c>
      <c r="U7" s="149">
        <f>T7/T6-1</f>
        <v>-7.1003914739492524E-2</v>
      </c>
      <c r="V7" s="143">
        <v>284590.71000000002</v>
      </c>
      <c r="W7" s="147">
        <v>5474810.9900000002</v>
      </c>
      <c r="X7" s="153">
        <f t="shared" si="8"/>
        <v>5.1981832892463018</v>
      </c>
      <c r="Y7" s="223">
        <f t="shared" si="9"/>
        <v>9.029787173054582E-2</v>
      </c>
      <c r="Z7" s="151">
        <v>88938.880000000005</v>
      </c>
      <c r="AA7" s="147">
        <v>735088</v>
      </c>
      <c r="AB7" s="153">
        <f t="shared" si="10"/>
        <v>12.099079293907669</v>
      </c>
      <c r="AC7" s="149">
        <f t="shared" si="11"/>
        <v>1.1678425853565599E-2</v>
      </c>
      <c r="AD7" s="143">
        <f t="shared" si="12"/>
        <v>3016618.4799999995</v>
      </c>
      <c r="AE7" s="147">
        <f t="shared" si="13"/>
        <v>41307057.509999998</v>
      </c>
      <c r="AF7" s="153">
        <f t="shared" si="14"/>
        <v>7.3029130173934771</v>
      </c>
      <c r="AG7" s="224">
        <f t="shared" si="15"/>
        <v>-9.9096861127803137E-3</v>
      </c>
    </row>
    <row r="8" spans="1:33" x14ac:dyDescent="0.35">
      <c r="A8" s="233">
        <v>44986</v>
      </c>
      <c r="B8" s="150">
        <v>200352.69</v>
      </c>
      <c r="C8" s="144">
        <v>3362186</v>
      </c>
      <c r="D8" s="219">
        <f t="shared" si="0"/>
        <v>5.9590007810394789</v>
      </c>
      <c r="E8" s="149">
        <f t="shared" si="1"/>
        <v>-4.808485943833285E-2</v>
      </c>
      <c r="F8" s="164">
        <v>200432.33</v>
      </c>
      <c r="G8" s="134">
        <v>2397507</v>
      </c>
      <c r="H8" s="222">
        <f t="shared" si="2"/>
        <v>8.3600310656027279</v>
      </c>
      <c r="I8" s="149">
        <f t="shared" si="3"/>
        <v>-4.1211069637133391E-2</v>
      </c>
      <c r="J8" s="151">
        <v>2071900.43</v>
      </c>
      <c r="K8" s="147">
        <v>25982471</v>
      </c>
      <c r="L8" s="153">
        <f t="shared" si="4"/>
        <v>7.9742239681514508</v>
      </c>
      <c r="M8" s="149">
        <f t="shared" si="5"/>
        <v>-3.778155352098056E-2</v>
      </c>
      <c r="N8" s="143">
        <v>178816.1</v>
      </c>
      <c r="O8" s="147">
        <v>5579737</v>
      </c>
      <c r="P8" s="153">
        <f t="shared" si="6"/>
        <v>3.2047406535469323</v>
      </c>
      <c r="Q8" s="149">
        <f t="shared" si="7"/>
        <v>-0.21252620112127796</v>
      </c>
      <c r="R8" s="143">
        <v>349907.32</v>
      </c>
      <c r="S8" s="147">
        <v>4406801</v>
      </c>
      <c r="T8" s="153">
        <f>R8/S8*100</f>
        <v>7.9401661205032861</v>
      </c>
      <c r="U8" s="149">
        <f>T8/T7-1</f>
        <v>8.99584807107634E-2</v>
      </c>
      <c r="V8" s="143">
        <v>296661.57</v>
      </c>
      <c r="W8" s="147">
        <v>6002299.8700000001</v>
      </c>
      <c r="X8" s="153">
        <f t="shared" si="8"/>
        <v>4.942464995505131</v>
      </c>
      <c r="Y8" s="223">
        <f t="shared" si="9"/>
        <v>-4.9193781656407864E-2</v>
      </c>
      <c r="Z8" s="151">
        <v>105429.82</v>
      </c>
      <c r="AA8" s="147">
        <v>1055351</v>
      </c>
      <c r="AB8" s="153">
        <f t="shared" si="10"/>
        <v>9.9900241720527116</v>
      </c>
      <c r="AC8" s="149">
        <f t="shared" si="11"/>
        <v>-0.17431534008682337</v>
      </c>
      <c r="AD8" s="143">
        <f t="shared" si="12"/>
        <v>3403500.26</v>
      </c>
      <c r="AE8" s="147">
        <f t="shared" si="13"/>
        <v>48786352.869999997</v>
      </c>
      <c r="AF8" s="153">
        <f t="shared" si="14"/>
        <v>6.9763367412793444</v>
      </c>
      <c r="AG8" s="224">
        <f t="shared" si="15"/>
        <v>-4.4718631501747375E-2</v>
      </c>
    </row>
    <row r="9" spans="1:33" x14ac:dyDescent="0.35">
      <c r="A9" s="232">
        <v>45017</v>
      </c>
      <c r="B9" s="143">
        <v>154988.89000000001</v>
      </c>
      <c r="C9" s="154">
        <v>3018166</v>
      </c>
      <c r="D9" s="219">
        <f t="shared" si="0"/>
        <v>5.1352009796677853</v>
      </c>
      <c r="E9" s="149">
        <f t="shared" si="1"/>
        <v>-0.13824462047276176</v>
      </c>
      <c r="F9" s="133">
        <v>111376.58</v>
      </c>
      <c r="G9" s="134">
        <v>1400217</v>
      </c>
      <c r="H9" s="222">
        <f t="shared" si="2"/>
        <v>7.954237093250546</v>
      </c>
      <c r="I9" s="149">
        <f t="shared" si="3"/>
        <v>-4.8539768473088274E-2</v>
      </c>
      <c r="J9" s="151">
        <v>1642472.77</v>
      </c>
      <c r="K9" s="147">
        <v>20159471.600000001</v>
      </c>
      <c r="L9" s="153">
        <f t="shared" si="4"/>
        <v>8.1473999050649706</v>
      </c>
      <c r="M9" s="149">
        <f t="shared" si="5"/>
        <v>2.1716964259490767E-2</v>
      </c>
      <c r="N9" s="143">
        <v>143155.89000000001</v>
      </c>
      <c r="O9" s="147">
        <v>3731417</v>
      </c>
      <c r="P9" s="153">
        <f t="shared" si="6"/>
        <v>3.8365020580653413</v>
      </c>
      <c r="Q9" s="149">
        <f t="shared" si="7"/>
        <v>0.19713339480971426</v>
      </c>
      <c r="R9" s="143">
        <v>286466.61</v>
      </c>
      <c r="S9" s="147">
        <v>4058328</v>
      </c>
      <c r="T9" s="153">
        <f>R9/S9*100</f>
        <v>7.0587347794461159</v>
      </c>
      <c r="U9" s="149">
        <f>T9/T8-1</f>
        <v>-0.11100918137986016</v>
      </c>
      <c r="V9" s="143">
        <v>258994.88</v>
      </c>
      <c r="W9" s="147">
        <v>5303253.0199999996</v>
      </c>
      <c r="X9" s="153">
        <f t="shared" si="8"/>
        <v>4.8836983455863852</v>
      </c>
      <c r="Y9" s="223">
        <f t="shared" si="9"/>
        <v>-1.1890149949911777E-2</v>
      </c>
      <c r="Z9" s="151">
        <v>72838.89</v>
      </c>
      <c r="AA9" s="147">
        <v>726811</v>
      </c>
      <c r="AB9" s="153">
        <f t="shared" si="10"/>
        <v>10.021709908077892</v>
      </c>
      <c r="AC9" s="149">
        <f t="shared" si="11"/>
        <v>3.1717376734503588E-3</v>
      </c>
      <c r="AD9" s="143">
        <f t="shared" si="12"/>
        <v>2670294.5099999998</v>
      </c>
      <c r="AE9" s="147">
        <f t="shared" si="13"/>
        <v>38397663.620000005</v>
      </c>
      <c r="AF9" s="153">
        <f t="shared" si="14"/>
        <v>6.9543150761108716</v>
      </c>
      <c r="AG9" s="224">
        <f t="shared" si="15"/>
        <v>-3.1566230222473957E-3</v>
      </c>
    </row>
    <row r="10" spans="1:33" x14ac:dyDescent="0.35">
      <c r="A10" s="233">
        <v>45047</v>
      </c>
      <c r="B10" s="150">
        <v>150939.42000000001</v>
      </c>
      <c r="C10" s="147">
        <v>2583707</v>
      </c>
      <c r="D10" s="145">
        <f t="shared" si="0"/>
        <v>5.8419712451915027</v>
      </c>
      <c r="E10" s="149">
        <f t="shared" si="1"/>
        <v>0.13763244482973302</v>
      </c>
      <c r="F10" s="146">
        <v>121029.4</v>
      </c>
      <c r="G10" s="147">
        <v>1436141</v>
      </c>
      <c r="H10" s="148">
        <f t="shared" si="2"/>
        <v>8.4274037159303994</v>
      </c>
      <c r="I10" s="149">
        <f t="shared" si="3"/>
        <v>5.94861099980728E-2</v>
      </c>
      <c r="J10" s="150">
        <v>1623125.01</v>
      </c>
      <c r="K10" s="147">
        <v>21385527.43</v>
      </c>
      <c r="L10" s="141">
        <f t="shared" si="4"/>
        <v>7.5898292212473155</v>
      </c>
      <c r="M10" s="149">
        <f t="shared" si="5"/>
        <v>-6.8435413790236543E-2</v>
      </c>
      <c r="N10" s="143">
        <v>171347.69</v>
      </c>
      <c r="O10" s="147">
        <v>4285154</v>
      </c>
      <c r="P10" s="141">
        <f t="shared" si="6"/>
        <v>3.9986355216171927</v>
      </c>
      <c r="Q10" s="149">
        <f t="shared" si="7"/>
        <v>4.2260752398399992E-2</v>
      </c>
      <c r="R10" s="143">
        <v>255985.97</v>
      </c>
      <c r="S10" s="147">
        <v>3854194</v>
      </c>
      <c r="T10" s="141">
        <f>R10/S10*100</f>
        <v>6.6417510379602067</v>
      </c>
      <c r="U10" s="149">
        <f>T10/T9-1</f>
        <v>-5.9073439435647579E-2</v>
      </c>
      <c r="V10" s="143">
        <v>281057.82</v>
      </c>
      <c r="W10" s="147">
        <v>6205483.6399999997</v>
      </c>
      <c r="X10" s="141">
        <f t="shared" si="8"/>
        <v>4.5291847711647497</v>
      </c>
      <c r="Y10" s="223">
        <f t="shared" si="9"/>
        <v>-7.259121045877559E-2</v>
      </c>
      <c r="Z10" s="150">
        <v>72824.210000000006</v>
      </c>
      <c r="AA10" s="147">
        <v>755439</v>
      </c>
      <c r="AB10" s="141">
        <f t="shared" si="10"/>
        <v>9.6399854918795569</v>
      </c>
      <c r="AC10" s="149">
        <f t="shared" si="11"/>
        <v>-3.8089749124612937E-2</v>
      </c>
      <c r="AD10" s="139">
        <f t="shared" si="12"/>
        <v>2676309.52</v>
      </c>
      <c r="AE10" s="140">
        <f t="shared" si="13"/>
        <v>40505646.07</v>
      </c>
      <c r="AF10" s="141">
        <f t="shared" si="14"/>
        <v>6.6072505432327251</v>
      </c>
      <c r="AG10" s="224">
        <f t="shared" si="15"/>
        <v>-4.9906357287487046E-2</v>
      </c>
    </row>
    <row r="11" spans="1:33" x14ac:dyDescent="0.35">
      <c r="A11" s="233">
        <v>45078</v>
      </c>
      <c r="B11" s="143">
        <v>233280.37</v>
      </c>
      <c r="C11" s="147">
        <v>3449480</v>
      </c>
      <c r="D11" s="145">
        <f t="shared" si="0"/>
        <v>6.7627691710054849</v>
      </c>
      <c r="E11" s="149">
        <f t="shared" si="1"/>
        <v>0.15761767512496516</v>
      </c>
      <c r="F11" s="133">
        <v>111246.94</v>
      </c>
      <c r="G11" s="134">
        <v>1512172</v>
      </c>
      <c r="H11" s="148">
        <f t="shared" si="2"/>
        <v>7.3567649711805263</v>
      </c>
      <c r="I11" s="149">
        <f t="shared" si="3"/>
        <v>-0.12704253656746445</v>
      </c>
      <c r="J11" s="151">
        <v>1699677.67</v>
      </c>
      <c r="K11" s="147">
        <v>22283768.579999998</v>
      </c>
      <c r="L11" s="141">
        <f t="shared" si="4"/>
        <v>7.6274247055566944</v>
      </c>
      <c r="M11" s="149">
        <f t="shared" si="5"/>
        <v>4.9534031943869739E-3</v>
      </c>
      <c r="N11" s="143">
        <v>137619.1</v>
      </c>
      <c r="O11" s="147">
        <v>4348159</v>
      </c>
      <c r="P11" s="141">
        <f t="shared" si="6"/>
        <v>3.1649969561830651</v>
      </c>
      <c r="Q11" s="149">
        <f t="shared" si="7"/>
        <v>-0.20848075823049106</v>
      </c>
      <c r="R11" s="143">
        <v>254315.21</v>
      </c>
      <c r="S11" s="147">
        <v>3854194</v>
      </c>
      <c r="T11" s="141">
        <f t="shared" ref="T11:T17" si="16">R11/S11*100</f>
        <v>6.5984018967389808</v>
      </c>
      <c r="U11" s="149">
        <f t="shared" ref="U11:U17" si="17">T11/T10-1</f>
        <v>-6.5267639472585959E-3</v>
      </c>
      <c r="V11" s="143">
        <v>254832.64000000001</v>
      </c>
      <c r="W11" s="147">
        <v>6009078.5700000003</v>
      </c>
      <c r="X11" s="141">
        <f t="shared" si="8"/>
        <v>4.2407939425561549</v>
      </c>
      <c r="Y11" s="223">
        <f t="shared" si="9"/>
        <v>-6.3673893466357878E-2</v>
      </c>
      <c r="Z11" s="151">
        <v>73378.399999999994</v>
      </c>
      <c r="AA11" s="147">
        <v>704190</v>
      </c>
      <c r="AB11" s="141">
        <f t="shared" si="10"/>
        <v>10.420255896846021</v>
      </c>
      <c r="AC11" s="149">
        <f t="shared" si="11"/>
        <v>8.0941035193853761E-2</v>
      </c>
      <c r="AD11" s="152">
        <f t="shared" si="12"/>
        <v>2764350.33</v>
      </c>
      <c r="AE11" s="140">
        <f t="shared" si="13"/>
        <v>42161042.149999999</v>
      </c>
      <c r="AF11" s="153">
        <f t="shared" si="14"/>
        <v>6.5566461098495417</v>
      </c>
      <c r="AG11" s="224">
        <f t="shared" si="15"/>
        <v>-7.6589245484286472E-3</v>
      </c>
    </row>
    <row r="12" spans="1:33" x14ac:dyDescent="0.35">
      <c r="A12" s="233">
        <v>45108</v>
      </c>
      <c r="B12" s="143">
        <v>202876.13</v>
      </c>
      <c r="C12" s="147">
        <v>3150039</v>
      </c>
      <c r="D12" s="145">
        <f t="shared" si="0"/>
        <v>6.4404323248061379</v>
      </c>
      <c r="E12" s="149">
        <f t="shared" si="1"/>
        <v>-4.7663440529853607E-2</v>
      </c>
      <c r="F12" s="133">
        <v>106833.63</v>
      </c>
      <c r="G12" s="134">
        <v>1442410</v>
      </c>
      <c r="H12" s="148">
        <f t="shared" si="2"/>
        <v>7.4066063047261181</v>
      </c>
      <c r="I12" s="149">
        <f t="shared" si="3"/>
        <v>6.7748981707096423E-3</v>
      </c>
      <c r="J12" s="151">
        <v>1455964.71</v>
      </c>
      <c r="K12" s="154">
        <v>19624324.23</v>
      </c>
      <c r="L12" s="153">
        <f t="shared" si="4"/>
        <v>7.419183931817865</v>
      </c>
      <c r="M12" s="149">
        <f t="shared" si="5"/>
        <v>-2.7301583663896789E-2</v>
      </c>
      <c r="N12" s="143">
        <v>141534.79999999999</v>
      </c>
      <c r="O12" s="147">
        <v>4536073</v>
      </c>
      <c r="P12" s="153">
        <f t="shared" si="6"/>
        <v>3.1202055169747047</v>
      </c>
      <c r="Q12" s="149">
        <f t="shared" si="7"/>
        <v>-1.4152127104216317E-2</v>
      </c>
      <c r="R12" s="143">
        <v>283300.59999999998</v>
      </c>
      <c r="S12" s="147">
        <v>4146944</v>
      </c>
      <c r="T12" s="141">
        <f t="shared" si="16"/>
        <v>6.8315511374158895</v>
      </c>
      <c r="U12" s="149">
        <f t="shared" si="17"/>
        <v>3.533419823853623E-2</v>
      </c>
      <c r="V12" s="143">
        <v>263181.14</v>
      </c>
      <c r="W12" s="147">
        <v>6489189.8600000003</v>
      </c>
      <c r="X12" s="141">
        <f t="shared" si="8"/>
        <v>4.0556856198995535</v>
      </c>
      <c r="Y12" s="223">
        <f t="shared" si="9"/>
        <v>-4.364944988226116E-2</v>
      </c>
      <c r="Z12" s="151">
        <v>76140.13</v>
      </c>
      <c r="AA12" s="147">
        <v>925684</v>
      </c>
      <c r="AB12" s="153">
        <f t="shared" si="10"/>
        <v>8.225283141979336</v>
      </c>
      <c r="AC12" s="149">
        <f t="shared" si="11"/>
        <v>-0.21064480340939173</v>
      </c>
      <c r="AD12" s="152">
        <f t="shared" si="12"/>
        <v>2529831.14</v>
      </c>
      <c r="AE12" s="140">
        <f t="shared" si="13"/>
        <v>40314664.090000004</v>
      </c>
      <c r="AF12" s="153">
        <f t="shared" si="14"/>
        <v>6.275213243380394</v>
      </c>
      <c r="AG12" s="224">
        <f t="shared" si="15"/>
        <v>-4.2923296721226523E-2</v>
      </c>
    </row>
    <row r="13" spans="1:33" x14ac:dyDescent="0.35">
      <c r="A13" s="233">
        <v>45139</v>
      </c>
      <c r="B13" s="143">
        <v>194386.4</v>
      </c>
      <c r="C13" s="147">
        <v>3569160</v>
      </c>
      <c r="D13" s="145">
        <f t="shared" si="0"/>
        <v>5.4462786762151314</v>
      </c>
      <c r="E13" s="149">
        <f t="shared" si="1"/>
        <v>-0.15436132210595521</v>
      </c>
      <c r="F13" s="143">
        <v>143580</v>
      </c>
      <c r="G13" s="147">
        <v>1504409</v>
      </c>
      <c r="H13" s="148">
        <f t="shared" si="2"/>
        <v>9.5439471579869561</v>
      </c>
      <c r="I13" s="149">
        <f t="shared" si="3"/>
        <v>0.28857222394783033</v>
      </c>
      <c r="J13" s="143">
        <v>1868330.97</v>
      </c>
      <c r="K13" s="147">
        <v>25199941.800000001</v>
      </c>
      <c r="L13" s="153">
        <f t="shared" si="4"/>
        <v>7.4140289085905735</v>
      </c>
      <c r="M13" s="149">
        <f t="shared" si="5"/>
        <v>-6.9482348391225468E-4</v>
      </c>
      <c r="N13" s="143">
        <v>122746.52</v>
      </c>
      <c r="O13" s="147">
        <v>4188326</v>
      </c>
      <c r="P13" s="153">
        <f t="shared" si="6"/>
        <v>2.9306820911266218</v>
      </c>
      <c r="Q13" s="149">
        <f t="shared" si="7"/>
        <v>-6.0740686732661531E-2</v>
      </c>
      <c r="R13" s="143">
        <v>315929.14</v>
      </c>
      <c r="S13" s="147">
        <v>4741536</v>
      </c>
      <c r="T13" s="141">
        <f t="shared" si="16"/>
        <v>6.6630125765152899</v>
      </c>
      <c r="U13" s="149">
        <f t="shared" si="17"/>
        <v>-2.4670613966062072E-2</v>
      </c>
      <c r="V13" s="143">
        <v>239114.12</v>
      </c>
      <c r="W13" s="147">
        <v>6793629.8799999999</v>
      </c>
      <c r="X13" s="141">
        <f t="shared" si="8"/>
        <v>3.5196812929702905</v>
      </c>
      <c r="Y13" s="223">
        <f t="shared" si="9"/>
        <v>-0.13216121197839248</v>
      </c>
      <c r="Z13" s="143">
        <v>87770.45</v>
      </c>
      <c r="AA13" s="147">
        <v>1010346</v>
      </c>
      <c r="AB13" s="153">
        <f t="shared" si="10"/>
        <v>8.6871675643789352</v>
      </c>
      <c r="AC13" s="149">
        <f t="shared" si="11"/>
        <v>5.6154227693668401E-2</v>
      </c>
      <c r="AD13" s="143">
        <f t="shared" si="12"/>
        <v>2971857.6000000006</v>
      </c>
      <c r="AE13" s="147">
        <f t="shared" si="13"/>
        <v>47007348.68</v>
      </c>
      <c r="AF13" s="153">
        <f t="shared" si="14"/>
        <v>6.3221127833240747</v>
      </c>
      <c r="AG13" s="224">
        <f t="shared" si="15"/>
        <v>7.473776288503764E-3</v>
      </c>
    </row>
    <row r="14" spans="1:33" x14ac:dyDescent="0.35">
      <c r="A14" s="233">
        <v>45170</v>
      </c>
      <c r="B14" s="143">
        <v>208626.5</v>
      </c>
      <c r="C14" s="147">
        <v>3272128</v>
      </c>
      <c r="D14" s="145">
        <f t="shared" si="0"/>
        <v>6.3758661030375334</v>
      </c>
      <c r="E14" s="149">
        <f t="shared" si="1"/>
        <v>0.17068304471493101</v>
      </c>
      <c r="F14" s="133">
        <v>125084.17</v>
      </c>
      <c r="G14" s="134">
        <v>1580052</v>
      </c>
      <c r="H14" s="148">
        <f t="shared" si="2"/>
        <v>7.9164590785619717</v>
      </c>
      <c r="I14" s="149">
        <f t="shared" si="3"/>
        <v>-0.17052568004455093</v>
      </c>
      <c r="J14" s="151">
        <v>1680848.59</v>
      </c>
      <c r="K14" s="147">
        <v>21915173.100000001</v>
      </c>
      <c r="L14" s="153">
        <f t="shared" si="4"/>
        <v>7.6697938105722745</v>
      </c>
      <c r="M14" s="149">
        <f t="shared" si="5"/>
        <v>3.4497424428079571E-2</v>
      </c>
      <c r="N14" s="143">
        <v>199401.15</v>
      </c>
      <c r="O14" s="147">
        <v>5255235</v>
      </c>
      <c r="P14" s="153">
        <f t="shared" si="6"/>
        <v>3.7943336501602682</v>
      </c>
      <c r="Q14" s="149">
        <f t="shared" si="7"/>
        <v>0.29469302100305228</v>
      </c>
      <c r="R14" s="143">
        <v>294451.26</v>
      </c>
      <c r="S14" s="147">
        <v>4055393</v>
      </c>
      <c r="T14" s="141">
        <f t="shared" si="16"/>
        <v>7.2607330534919798</v>
      </c>
      <c r="U14" s="149">
        <f t="shared" si="17"/>
        <v>8.9707241298544016E-2</v>
      </c>
      <c r="V14" s="143">
        <v>235816.41</v>
      </c>
      <c r="W14" s="147">
        <v>5959121.0199999996</v>
      </c>
      <c r="X14" s="153">
        <f t="shared" si="8"/>
        <v>3.9572347869518518</v>
      </c>
      <c r="Y14" s="223">
        <f t="shared" si="9"/>
        <v>0.12431622569221479</v>
      </c>
      <c r="Z14" s="143">
        <v>79065.899999999994</v>
      </c>
      <c r="AA14" s="147">
        <v>826946</v>
      </c>
      <c r="AB14" s="153">
        <f t="shared" si="10"/>
        <v>9.561192629264788</v>
      </c>
      <c r="AC14" s="149">
        <f t="shared" si="11"/>
        <v>0.10061105169304274</v>
      </c>
      <c r="AD14" s="152">
        <f t="shared" si="12"/>
        <v>2823293.98</v>
      </c>
      <c r="AE14" s="140">
        <f t="shared" si="13"/>
        <v>42864048.120000005</v>
      </c>
      <c r="AF14" s="153">
        <f t="shared" si="14"/>
        <v>6.5866246979194552</v>
      </c>
      <c r="AG14" s="224">
        <f t="shared" si="15"/>
        <v>4.1839164162507103E-2</v>
      </c>
    </row>
    <row r="15" spans="1:33" x14ac:dyDescent="0.35">
      <c r="A15" s="233">
        <v>45200</v>
      </c>
      <c r="B15" s="143">
        <v>199229.13</v>
      </c>
      <c r="C15" s="147">
        <v>3793924</v>
      </c>
      <c r="D15" s="145">
        <f t="shared" si="0"/>
        <v>5.2512683438044618</v>
      </c>
      <c r="E15" s="149">
        <f t="shared" si="1"/>
        <v>-0.17638352830171589</v>
      </c>
      <c r="F15" s="133">
        <v>142523.29999999999</v>
      </c>
      <c r="G15" s="134">
        <v>1568033</v>
      </c>
      <c r="H15" s="148">
        <f t="shared" si="2"/>
        <v>9.0893048807008512</v>
      </c>
      <c r="I15" s="149">
        <f t="shared" si="3"/>
        <v>0.14815282824046716</v>
      </c>
      <c r="J15" s="151">
        <v>1813933.8</v>
      </c>
      <c r="K15" s="147">
        <v>23886677.870000001</v>
      </c>
      <c r="L15" s="175">
        <f t="shared" si="4"/>
        <v>7.5939141050592642</v>
      </c>
      <c r="M15" s="149">
        <f t="shared" si="5"/>
        <v>-9.8933175241836535E-3</v>
      </c>
      <c r="N15" s="143">
        <v>154418.68</v>
      </c>
      <c r="O15" s="147">
        <v>4178039</v>
      </c>
      <c r="P15" s="153">
        <f t="shared" si="6"/>
        <v>3.6959607126692688</v>
      </c>
      <c r="Q15" s="149">
        <f t="shared" si="7"/>
        <v>-2.5926274956564299E-2</v>
      </c>
      <c r="R15" s="143">
        <v>339804.34</v>
      </c>
      <c r="S15" s="147">
        <v>4623448</v>
      </c>
      <c r="T15" s="141">
        <f t="shared" si="16"/>
        <v>7.3495871479467274</v>
      </c>
      <c r="U15" s="149">
        <f t="shared" si="17"/>
        <v>1.2237620333943378E-2</v>
      </c>
      <c r="V15" s="143">
        <v>227256.81</v>
      </c>
      <c r="W15" s="147">
        <v>5898882.54</v>
      </c>
      <c r="X15" s="153">
        <f t="shared" si="8"/>
        <v>3.8525400100609564</v>
      </c>
      <c r="Y15" s="223">
        <f t="shared" si="9"/>
        <v>-2.6456549213633829E-2</v>
      </c>
      <c r="Z15" s="143">
        <v>127234.63</v>
      </c>
      <c r="AA15" s="147">
        <v>1248983</v>
      </c>
      <c r="AB15" s="153">
        <f t="shared" si="10"/>
        <v>10.187058590869531</v>
      </c>
      <c r="AC15" s="149">
        <f t="shared" si="11"/>
        <v>6.5458984655230257E-2</v>
      </c>
      <c r="AD15" s="152">
        <f t="shared" si="12"/>
        <v>3004400.69</v>
      </c>
      <c r="AE15" s="140">
        <f t="shared" si="13"/>
        <v>45197987.410000004</v>
      </c>
      <c r="AF15" s="153">
        <f t="shared" si="14"/>
        <v>6.6472001568266288</v>
      </c>
      <c r="AG15" s="224">
        <f t="shared" si="15"/>
        <v>9.1967375834101084E-3</v>
      </c>
    </row>
    <row r="16" spans="1:33" x14ac:dyDescent="0.35">
      <c r="A16" s="233">
        <v>45231</v>
      </c>
      <c r="B16" s="143">
        <v>163194.38</v>
      </c>
      <c r="C16" s="147">
        <v>2791974</v>
      </c>
      <c r="D16" s="145">
        <f t="shared" si="0"/>
        <v>5.84512534858849</v>
      </c>
      <c r="E16" s="149">
        <f t="shared" si="1"/>
        <v>0.11308829903630246</v>
      </c>
      <c r="F16" s="155">
        <v>124205.22</v>
      </c>
      <c r="G16" s="134">
        <v>1392266</v>
      </c>
      <c r="H16" s="148">
        <f t="shared" si="2"/>
        <v>8.9210840457211482</v>
      </c>
      <c r="I16" s="149">
        <f t="shared" si="3"/>
        <v>-1.8507557749205095E-2</v>
      </c>
      <c r="J16" s="143">
        <v>1543638.44</v>
      </c>
      <c r="K16" s="147">
        <v>20583302.829999998</v>
      </c>
      <c r="L16" s="153">
        <f t="shared" si="4"/>
        <v>7.4994691218853342</v>
      </c>
      <c r="M16" s="149">
        <f t="shared" si="5"/>
        <v>-1.2436930661489654E-2</v>
      </c>
      <c r="N16" s="143">
        <v>164824.95999999999</v>
      </c>
      <c r="O16" s="147">
        <v>5091051</v>
      </c>
      <c r="P16" s="153">
        <f t="shared" si="6"/>
        <v>3.237542896348907</v>
      </c>
      <c r="Q16" s="149">
        <f t="shared" si="7"/>
        <v>-0.12403211288176463</v>
      </c>
      <c r="R16" s="143">
        <v>297057.25</v>
      </c>
      <c r="S16" s="147">
        <v>4182610</v>
      </c>
      <c r="T16" s="141">
        <f t="shared" si="16"/>
        <v>7.102198149002656</v>
      </c>
      <c r="U16" s="149">
        <f t="shared" si="17"/>
        <v>-3.3660257911654945E-2</v>
      </c>
      <c r="V16" s="143">
        <v>177162.22</v>
      </c>
      <c r="W16" s="147">
        <v>4564167.55</v>
      </c>
      <c r="X16" s="153">
        <f t="shared" si="8"/>
        <v>3.8815888781295946</v>
      </c>
      <c r="Y16" s="223">
        <f t="shared" si="9"/>
        <v>7.5401859533650306E-3</v>
      </c>
      <c r="Z16" s="143">
        <v>112119.31</v>
      </c>
      <c r="AA16" s="147">
        <v>1174491</v>
      </c>
      <c r="AB16" s="153">
        <f t="shared" si="10"/>
        <v>9.5462042706159522</v>
      </c>
      <c r="AC16" s="149">
        <f t="shared" si="11"/>
        <v>-6.2908671284954143E-2</v>
      </c>
      <c r="AD16" s="152">
        <f t="shared" si="12"/>
        <v>2582201.7800000003</v>
      </c>
      <c r="AE16" s="140">
        <f t="shared" si="13"/>
        <v>39779862.379999995</v>
      </c>
      <c r="AF16" s="153">
        <f t="shared" si="14"/>
        <v>6.4912285400420249</v>
      </c>
      <c r="AG16" s="224">
        <f t="shared" si="15"/>
        <v>-2.3464257597903382E-2</v>
      </c>
    </row>
    <row r="17" spans="1:33" x14ac:dyDescent="0.35">
      <c r="A17" s="234">
        <v>45261</v>
      </c>
      <c r="B17" s="162">
        <v>153866.74</v>
      </c>
      <c r="C17" s="161">
        <v>2552793</v>
      </c>
      <c r="D17" s="157">
        <f t="shared" si="0"/>
        <v>6.0273880412552048</v>
      </c>
      <c r="E17" s="235">
        <f t="shared" si="1"/>
        <v>3.1181998981549386E-2</v>
      </c>
      <c r="F17" s="176">
        <v>150103.56</v>
      </c>
      <c r="G17" s="174">
        <v>1608969</v>
      </c>
      <c r="H17" s="159">
        <f t="shared" si="2"/>
        <v>9.3291766342297446</v>
      </c>
      <c r="I17" s="235">
        <f t="shared" si="3"/>
        <v>4.5744730844042625E-2</v>
      </c>
      <c r="J17" s="162">
        <v>1482925.2</v>
      </c>
      <c r="K17" s="161">
        <v>19924604.030000001</v>
      </c>
      <c r="L17" s="165">
        <f t="shared" si="4"/>
        <v>7.4426834167805529</v>
      </c>
      <c r="M17" s="235">
        <f t="shared" si="5"/>
        <v>-7.5719633192523617E-3</v>
      </c>
      <c r="N17" s="162">
        <v>134683.26999999999</v>
      </c>
      <c r="O17" s="161">
        <v>4023753</v>
      </c>
      <c r="P17" s="165">
        <f t="shared" si="6"/>
        <v>3.3472052086696173</v>
      </c>
      <c r="Q17" s="235">
        <f t="shared" si="7"/>
        <v>3.3872080102592683E-2</v>
      </c>
      <c r="R17" s="162">
        <v>250695.96</v>
      </c>
      <c r="S17" s="161">
        <v>3452390</v>
      </c>
      <c r="T17" s="165">
        <f t="shared" si="16"/>
        <v>7.2615191215360948</v>
      </c>
      <c r="U17" s="235">
        <f t="shared" si="17"/>
        <v>2.2432628489225115E-2</v>
      </c>
      <c r="V17" s="162">
        <v>223134.2</v>
      </c>
      <c r="W17" s="161">
        <v>6074595.2999999998</v>
      </c>
      <c r="X17" s="165">
        <f t="shared" si="8"/>
        <v>3.6732356474842041</v>
      </c>
      <c r="Y17" s="236">
        <f t="shared" si="9"/>
        <v>-5.3677305141545228E-2</v>
      </c>
      <c r="Z17" s="162">
        <v>86048.47</v>
      </c>
      <c r="AA17" s="161">
        <v>997450</v>
      </c>
      <c r="AB17" s="165">
        <f t="shared" si="10"/>
        <v>8.6268454559125765</v>
      </c>
      <c r="AC17" s="235">
        <f t="shared" si="11"/>
        <v>-9.630621644387416E-2</v>
      </c>
      <c r="AD17" s="162">
        <f t="shared" si="12"/>
        <v>2481457.4000000004</v>
      </c>
      <c r="AE17" s="174">
        <f t="shared" si="13"/>
        <v>38634554.329999998</v>
      </c>
      <c r="AF17" s="165">
        <f t="shared" si="14"/>
        <v>6.4228964020250956</v>
      </c>
      <c r="AG17" s="237">
        <f t="shared" si="15"/>
        <v>-1.0526842121705182E-2</v>
      </c>
    </row>
    <row r="18" spans="1:33" x14ac:dyDescent="0.35">
      <c r="A18" s="177" t="s">
        <v>17</v>
      </c>
      <c r="B18" s="152">
        <f>SUM(B6:B17)</f>
        <v>2184203.62</v>
      </c>
      <c r="C18" s="147">
        <f>SUM(C6:C17)</f>
        <v>36485142</v>
      </c>
      <c r="D18" s="152"/>
      <c r="E18" s="152"/>
      <c r="F18" s="152">
        <f t="shared" ref="F18:AE18" si="18">SUM(F6:F17)</f>
        <v>1615049.63</v>
      </c>
      <c r="G18" s="147">
        <f t="shared" si="18"/>
        <v>19084585</v>
      </c>
      <c r="H18" s="152"/>
      <c r="I18" s="152"/>
      <c r="J18" s="152">
        <f t="shared" si="18"/>
        <v>20741427.509999998</v>
      </c>
      <c r="K18" s="147">
        <f t="shared" si="18"/>
        <v>266481917.34999999</v>
      </c>
      <c r="L18" s="152"/>
      <c r="M18" s="152"/>
      <c r="N18" s="152">
        <f t="shared" si="18"/>
        <v>1938950.5399999998</v>
      </c>
      <c r="O18" s="147">
        <f t="shared" si="18"/>
        <v>54837689</v>
      </c>
      <c r="P18" s="152"/>
      <c r="Q18" s="152"/>
      <c r="R18" s="152">
        <f t="shared" si="18"/>
        <v>3591511.49</v>
      </c>
      <c r="S18" s="147">
        <f t="shared" si="18"/>
        <v>50148873</v>
      </c>
      <c r="T18" s="152"/>
      <c r="U18" s="152"/>
      <c r="V18" s="152">
        <f t="shared" si="18"/>
        <v>3081857.060000001</v>
      </c>
      <c r="W18" s="147">
        <f t="shared" si="18"/>
        <v>71907018.359999999</v>
      </c>
      <c r="X18" s="152"/>
      <c r="Y18" s="152"/>
      <c r="Z18" s="152">
        <f t="shared" si="18"/>
        <v>1101339.56</v>
      </c>
      <c r="AA18" s="147">
        <f t="shared" si="18"/>
        <v>11160414</v>
      </c>
      <c r="AB18" s="152"/>
      <c r="AC18" s="152"/>
      <c r="AD18" s="152">
        <f t="shared" si="18"/>
        <v>34254339.410000004</v>
      </c>
      <c r="AE18" s="147">
        <f t="shared" si="18"/>
        <v>510105638.70999998</v>
      </c>
      <c r="AF18" s="152"/>
      <c r="AG18" s="180"/>
    </row>
    <row r="19" spans="1:33" ht="15" thickBot="1" x14ac:dyDescent="0.4">
      <c r="A19" s="166" t="s">
        <v>11</v>
      </c>
      <c r="B19" s="167">
        <f>AVERAGE(B6:B17)</f>
        <v>182016.96833333335</v>
      </c>
      <c r="C19" s="172">
        <f>AVERAGE(C6:C17)</f>
        <v>3040428.5</v>
      </c>
      <c r="D19" s="229">
        <f>B19/C19*100</f>
        <v>5.9865564453606908</v>
      </c>
      <c r="E19" s="167"/>
      <c r="F19" s="167">
        <f t="shared" ref="F19:AE19" si="19">AVERAGE(F6:F17)</f>
        <v>134587.46916666665</v>
      </c>
      <c r="G19" s="230">
        <f t="shared" si="19"/>
        <v>1590382.0833333333</v>
      </c>
      <c r="H19" s="231">
        <f>F19/G19*100</f>
        <v>8.4625871089153879</v>
      </c>
      <c r="I19" s="167"/>
      <c r="J19" s="167">
        <f t="shared" si="19"/>
        <v>1728452.2924999997</v>
      </c>
      <c r="K19" s="172">
        <f t="shared" si="19"/>
        <v>22206826.445833333</v>
      </c>
      <c r="L19" s="169">
        <f>J19/K19*100</f>
        <v>7.783427752344636</v>
      </c>
      <c r="M19" s="167"/>
      <c r="N19" s="167">
        <f t="shared" si="19"/>
        <v>161579.21166666664</v>
      </c>
      <c r="O19" s="172">
        <f t="shared" si="19"/>
        <v>4569807.416666667</v>
      </c>
      <c r="P19" s="169">
        <f>N19/O19*100</f>
        <v>3.5357991471887145</v>
      </c>
      <c r="Q19" s="167"/>
      <c r="R19" s="167">
        <f t="shared" si="19"/>
        <v>299292.6241666667</v>
      </c>
      <c r="S19" s="172">
        <f t="shared" si="19"/>
        <v>4179072.75</v>
      </c>
      <c r="T19" s="169">
        <f>R19/S19*100</f>
        <v>7.1616993067820296</v>
      </c>
      <c r="U19" s="167"/>
      <c r="V19" s="167">
        <f t="shared" si="19"/>
        <v>256821.42166666675</v>
      </c>
      <c r="W19" s="172">
        <f t="shared" si="19"/>
        <v>5992251.5300000003</v>
      </c>
      <c r="X19" s="169">
        <f>V19/W19*100</f>
        <v>4.285891878551813</v>
      </c>
      <c r="Y19" s="167"/>
      <c r="Z19" s="167">
        <f t="shared" si="19"/>
        <v>91778.296666666676</v>
      </c>
      <c r="AA19" s="172">
        <f t="shared" si="19"/>
        <v>930034.5</v>
      </c>
      <c r="AB19" s="169">
        <f>Z19/AA19*100</f>
        <v>9.8682679692706756</v>
      </c>
      <c r="AC19" s="167"/>
      <c r="AD19" s="167">
        <f t="shared" si="19"/>
        <v>2854528.2841666671</v>
      </c>
      <c r="AE19" s="172">
        <f t="shared" si="19"/>
        <v>42508803.225833334</v>
      </c>
      <c r="AF19" s="169">
        <f>AD19/AE19*100</f>
        <v>6.7151461992510795</v>
      </c>
      <c r="AG19" s="173"/>
    </row>
    <row r="20" spans="1:33" ht="15.5" x14ac:dyDescent="0.35">
      <c r="A20" s="41" t="s">
        <v>14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71"/>
      <c r="U20" s="71"/>
      <c r="V20" s="71"/>
      <c r="W20" s="71"/>
      <c r="X20" s="71"/>
      <c r="Y20" s="71"/>
      <c r="Z20" s="71"/>
      <c r="AA20" s="71"/>
      <c r="AB20" s="71"/>
      <c r="AC20" s="71"/>
      <c r="AD20" s="71"/>
      <c r="AE20" s="71"/>
      <c r="AF20" s="71"/>
      <c r="AG20" s="71"/>
    </row>
    <row r="21" spans="1:33" ht="15.5" x14ac:dyDescent="0.35">
      <c r="A21" s="256" t="s">
        <v>68</v>
      </c>
      <c r="B21" s="256"/>
      <c r="C21" s="256"/>
      <c r="D21" s="256"/>
      <c r="E21" s="256"/>
      <c r="F21" s="256"/>
      <c r="G21" s="256"/>
      <c r="H21" s="256"/>
      <c r="I21" s="256"/>
      <c r="J21" s="256"/>
      <c r="K21" s="256"/>
      <c r="L21" s="256"/>
      <c r="M21" s="256"/>
      <c r="N21" s="256"/>
      <c r="O21" s="256"/>
      <c r="P21" s="256"/>
      <c r="Q21" s="256"/>
      <c r="R21" s="256"/>
      <c r="S21" s="256"/>
      <c r="T21" s="256"/>
      <c r="U21" s="256"/>
      <c r="V21" s="256"/>
      <c r="W21" s="256"/>
      <c r="X21" s="256"/>
      <c r="Y21" s="256"/>
      <c r="Z21" s="256"/>
      <c r="AA21" s="256"/>
      <c r="AB21" s="256"/>
      <c r="AC21" s="256"/>
      <c r="AD21" s="256"/>
      <c r="AE21" s="256"/>
      <c r="AF21" s="256"/>
      <c r="AG21" s="256"/>
    </row>
    <row r="22" spans="1:33" ht="15.5" x14ac:dyDescent="0.35">
      <c r="A22" s="94" t="s">
        <v>69</v>
      </c>
      <c r="B22" s="94"/>
      <c r="C22" s="94"/>
      <c r="D22" s="94"/>
      <c r="E22" s="94"/>
      <c r="F22" s="94"/>
      <c r="G22" s="94"/>
      <c r="H22" s="94"/>
      <c r="I22" s="94"/>
      <c r="J22" s="94"/>
      <c r="K22" s="94"/>
      <c r="L22" s="94"/>
      <c r="M22" s="94"/>
      <c r="N22" s="94"/>
      <c r="O22" s="94"/>
      <c r="P22" s="94"/>
      <c r="Q22" s="94"/>
      <c r="R22" s="94"/>
      <c r="S22" s="94"/>
      <c r="T22" s="94"/>
      <c r="U22" s="96"/>
      <c r="V22" s="96"/>
      <c r="W22" s="71"/>
      <c r="X22" s="71"/>
      <c r="Y22" s="71"/>
      <c r="Z22" s="71"/>
      <c r="AA22" s="71"/>
      <c r="AB22" s="71"/>
      <c r="AC22" s="71"/>
      <c r="AD22" s="71"/>
      <c r="AE22" s="71"/>
      <c r="AF22" s="71"/>
      <c r="AG22" s="71"/>
    </row>
    <row r="23" spans="1:33" ht="15.5" x14ac:dyDescent="0.35">
      <c r="A23" s="256" t="s">
        <v>70</v>
      </c>
      <c r="B23" s="256"/>
      <c r="C23" s="256"/>
      <c r="D23" s="256"/>
      <c r="E23" s="256"/>
      <c r="F23" s="256"/>
      <c r="G23" s="256"/>
      <c r="H23" s="256"/>
      <c r="I23" s="256"/>
      <c r="J23" s="256"/>
      <c r="K23" s="256"/>
      <c r="L23" s="256"/>
      <c r="M23" s="256"/>
      <c r="N23" s="256"/>
      <c r="O23" s="256"/>
      <c r="P23" s="256"/>
      <c r="Q23" s="256"/>
      <c r="R23" s="256"/>
      <c r="S23" s="256"/>
      <c r="T23" s="256"/>
      <c r="U23" s="96"/>
      <c r="V23" s="96"/>
      <c r="W23" s="71"/>
      <c r="X23" s="71"/>
      <c r="Y23" s="71"/>
      <c r="Z23" s="71"/>
      <c r="AA23" s="71"/>
      <c r="AB23" s="71"/>
      <c r="AC23" s="71"/>
      <c r="AD23" s="71"/>
      <c r="AE23" s="71"/>
      <c r="AF23" s="71"/>
      <c r="AG23" s="71"/>
    </row>
    <row r="24" spans="1:33" ht="15.5" x14ac:dyDescent="0.35">
      <c r="A24" s="94" t="s">
        <v>71</v>
      </c>
      <c r="B24" s="94"/>
      <c r="C24" s="94"/>
      <c r="D24" s="94"/>
      <c r="E24" s="94"/>
      <c r="F24" s="94"/>
      <c r="G24" s="94"/>
      <c r="H24" s="94"/>
      <c r="I24" s="94"/>
      <c r="J24" s="94"/>
      <c r="K24" s="94"/>
      <c r="L24" s="94"/>
      <c r="M24" s="94"/>
      <c r="N24" s="94"/>
      <c r="O24" s="94"/>
      <c r="P24" s="94"/>
      <c r="Q24" s="94"/>
      <c r="R24" s="94"/>
      <c r="S24" s="94"/>
      <c r="T24" s="94"/>
      <c r="U24" s="94"/>
      <c r="V24" s="113"/>
      <c r="W24" s="113"/>
      <c r="X24" s="96"/>
      <c r="Y24" s="71"/>
      <c r="Z24" s="71"/>
      <c r="AA24" s="71"/>
      <c r="AB24" s="71"/>
      <c r="AC24" s="71"/>
      <c r="AD24" s="71"/>
      <c r="AE24" s="181"/>
      <c r="AF24" s="71"/>
      <c r="AG24" s="71"/>
    </row>
    <row r="25" spans="1:33" ht="15.5" x14ac:dyDescent="0.35">
      <c r="A25" s="94" t="s">
        <v>72</v>
      </c>
      <c r="B25" s="94"/>
      <c r="C25" s="94"/>
      <c r="D25" s="94"/>
      <c r="E25" s="94"/>
      <c r="F25" s="94"/>
      <c r="G25" s="94"/>
      <c r="H25" s="94"/>
      <c r="I25" s="94"/>
      <c r="J25" s="94"/>
      <c r="K25" s="94"/>
      <c r="L25" s="94"/>
      <c r="M25" s="94"/>
      <c r="N25" s="94"/>
      <c r="O25" s="94"/>
      <c r="P25" s="94"/>
      <c r="Q25" s="94"/>
      <c r="R25" s="94"/>
      <c r="S25" s="94"/>
      <c r="T25" s="94"/>
      <c r="U25" s="94"/>
      <c r="V25" s="113"/>
      <c r="W25" s="113"/>
      <c r="X25" s="71"/>
      <c r="Y25" s="71"/>
      <c r="Z25" s="71"/>
      <c r="AA25" s="71"/>
      <c r="AB25" s="71"/>
      <c r="AC25" s="71"/>
      <c r="AD25" s="71"/>
      <c r="AE25" s="181"/>
      <c r="AF25" s="71"/>
      <c r="AG25" s="71"/>
    </row>
    <row r="26" spans="1:33" ht="15.5" x14ac:dyDescent="0.35">
      <c r="A26" s="41" t="s">
        <v>73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2"/>
      <c r="W26" s="42"/>
      <c r="X26" s="71"/>
      <c r="Y26" s="71"/>
      <c r="Z26" s="71"/>
      <c r="AA26" s="71"/>
      <c r="AB26" s="71"/>
      <c r="AC26" s="71"/>
      <c r="AD26" s="71"/>
      <c r="AE26" s="182"/>
      <c r="AF26" s="71"/>
      <c r="AG26" s="71"/>
    </row>
    <row r="27" spans="1:33" ht="15.5" x14ac:dyDescent="0.35">
      <c r="A27" s="94" t="s">
        <v>74</v>
      </c>
      <c r="B27" s="94"/>
      <c r="C27" s="94"/>
      <c r="D27" s="94"/>
      <c r="E27" s="94"/>
      <c r="F27" s="94"/>
      <c r="G27" s="94"/>
      <c r="H27" s="94"/>
      <c r="I27" s="94"/>
      <c r="J27" s="94"/>
      <c r="K27" s="94"/>
      <c r="L27" s="94"/>
      <c r="M27" s="94"/>
      <c r="N27" s="94"/>
      <c r="O27" s="94"/>
      <c r="P27" s="94"/>
      <c r="Q27" s="94"/>
      <c r="R27" s="94"/>
      <c r="S27" s="94"/>
      <c r="T27" s="94"/>
      <c r="U27" s="94"/>
      <c r="V27" s="113"/>
      <c r="W27" s="113"/>
      <c r="X27" s="71"/>
      <c r="Y27" s="71"/>
      <c r="Z27" s="71"/>
      <c r="AA27" s="71"/>
      <c r="AB27" s="71"/>
      <c r="AC27" s="71"/>
      <c r="AD27" s="71"/>
      <c r="AE27" s="181"/>
      <c r="AF27" s="71"/>
      <c r="AG27" s="71"/>
    </row>
    <row r="28" spans="1:33" ht="15.5" x14ac:dyDescent="0.35">
      <c r="A28" s="94" t="s">
        <v>75</v>
      </c>
      <c r="B28" s="94"/>
      <c r="C28" s="94"/>
      <c r="D28" s="94"/>
      <c r="E28" s="94"/>
      <c r="F28" s="94"/>
      <c r="G28" s="94"/>
      <c r="H28" s="94"/>
      <c r="I28" s="94"/>
      <c r="J28" s="94"/>
      <c r="K28" s="94"/>
      <c r="L28" s="94"/>
      <c r="M28" s="94"/>
      <c r="N28" s="94"/>
      <c r="O28" s="94"/>
      <c r="P28" s="94"/>
      <c r="Q28" s="94"/>
      <c r="R28" s="94"/>
      <c r="S28" s="94"/>
      <c r="T28" s="94"/>
      <c r="U28" s="94"/>
      <c r="V28" s="113"/>
      <c r="W28" s="113"/>
      <c r="X28" s="96"/>
      <c r="Y28" s="96"/>
      <c r="Z28" s="96"/>
      <c r="AA28" s="96"/>
      <c r="AB28" s="96"/>
      <c r="AC28" s="96"/>
      <c r="AD28" s="96"/>
      <c r="AE28" s="181"/>
      <c r="AF28" s="71"/>
      <c r="AG28" s="71"/>
    </row>
  </sheetData>
  <mergeCells count="11">
    <mergeCell ref="A21:AG21"/>
    <mergeCell ref="A23:T23"/>
    <mergeCell ref="A1:AF1"/>
    <mergeCell ref="B3:E3"/>
    <mergeCell ref="F3:I3"/>
    <mergeCell ref="J3:M3"/>
    <mergeCell ref="N3:Q3"/>
    <mergeCell ref="R3:U3"/>
    <mergeCell ref="V3:Y3"/>
    <mergeCell ref="Z3:AC3"/>
    <mergeCell ref="AD3:AG3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1FB9A4-3D02-4BE3-AB26-8F2DF08BFD81}">
  <dimension ref="A1:AG28"/>
  <sheetViews>
    <sheetView topLeftCell="K1" workbookViewId="0">
      <selection activeCell="B2" sqref="B1:B1048576"/>
    </sheetView>
  </sheetViews>
  <sheetFormatPr defaultRowHeight="14.5" x14ac:dyDescent="0.35"/>
  <cols>
    <col min="1" max="1" width="8.7265625" customWidth="1"/>
    <col min="4" max="5" width="5.1796875" customWidth="1"/>
    <col min="8" max="9" width="5.1796875" customWidth="1"/>
    <col min="11" max="11" width="10.1796875" bestFit="1" customWidth="1"/>
    <col min="12" max="13" width="5.1796875" customWidth="1"/>
    <col min="16" max="17" width="5.1796875" customWidth="1"/>
    <col min="19" max="19" width="8.81640625" customWidth="1"/>
    <col min="20" max="21" width="5.1796875" customWidth="1"/>
    <col min="24" max="25" width="5.1796875" customWidth="1"/>
    <col min="28" max="29" width="5.1796875" customWidth="1"/>
    <col min="31" max="31" width="10.1796875" bestFit="1" customWidth="1"/>
    <col min="32" max="33" width="5.1796875" customWidth="1"/>
  </cols>
  <sheetData>
    <row r="1" spans="1:33" ht="20" x14ac:dyDescent="0.4">
      <c r="A1" s="245" t="s">
        <v>76</v>
      </c>
      <c r="B1" s="245"/>
      <c r="C1" s="245"/>
      <c r="D1" s="245"/>
      <c r="E1" s="245"/>
      <c r="F1" s="245"/>
      <c r="G1" s="245"/>
      <c r="H1" s="245"/>
      <c r="I1" s="245"/>
      <c r="J1" s="245"/>
      <c r="K1" s="245"/>
      <c r="L1" s="245"/>
      <c r="M1" s="245"/>
      <c r="N1" s="245"/>
      <c r="O1" s="245"/>
      <c r="P1" s="245"/>
      <c r="Q1" s="245"/>
      <c r="R1" s="245"/>
      <c r="S1" s="245"/>
      <c r="T1" s="245"/>
      <c r="U1" s="245"/>
      <c r="V1" s="245"/>
      <c r="W1" s="245"/>
      <c r="X1" s="245"/>
      <c r="Y1" s="245"/>
      <c r="Z1" s="245"/>
      <c r="AA1" s="245"/>
      <c r="AB1" s="245"/>
      <c r="AC1" s="245"/>
      <c r="AD1" s="245"/>
      <c r="AE1" s="245"/>
      <c r="AF1" s="245"/>
      <c r="AG1" s="50"/>
    </row>
    <row r="2" spans="1:33" ht="15" thickBot="1" x14ac:dyDescent="0.4">
      <c r="A2" s="50"/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0"/>
      <c r="T2" s="50"/>
      <c r="U2" s="50"/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</row>
    <row r="3" spans="1:33" x14ac:dyDescent="0.35">
      <c r="A3" s="44" t="s">
        <v>9</v>
      </c>
      <c r="B3" s="246" t="s">
        <v>0</v>
      </c>
      <c r="C3" s="247"/>
      <c r="D3" s="247"/>
      <c r="E3" s="248"/>
      <c r="F3" s="246" t="s">
        <v>46</v>
      </c>
      <c r="G3" s="247"/>
      <c r="H3" s="247"/>
      <c r="I3" s="248"/>
      <c r="J3" s="246" t="s">
        <v>1</v>
      </c>
      <c r="K3" s="247"/>
      <c r="L3" s="247"/>
      <c r="M3" s="248"/>
      <c r="N3" s="246" t="s">
        <v>2</v>
      </c>
      <c r="O3" s="247"/>
      <c r="P3" s="247"/>
      <c r="Q3" s="248"/>
      <c r="R3" s="246" t="s">
        <v>3</v>
      </c>
      <c r="S3" s="247"/>
      <c r="T3" s="247"/>
      <c r="U3" s="248"/>
      <c r="V3" s="246" t="s">
        <v>5</v>
      </c>
      <c r="W3" s="247"/>
      <c r="X3" s="247"/>
      <c r="Y3" s="248"/>
      <c r="Z3" s="246" t="s">
        <v>4</v>
      </c>
      <c r="AA3" s="247"/>
      <c r="AB3" s="247"/>
      <c r="AC3" s="248"/>
      <c r="AD3" s="249" t="s">
        <v>12</v>
      </c>
      <c r="AE3" s="249"/>
      <c r="AF3" s="249"/>
      <c r="AG3" s="250"/>
    </row>
    <row r="4" spans="1:33" ht="15" thickBot="1" x14ac:dyDescent="0.4">
      <c r="A4" s="45" t="s">
        <v>10</v>
      </c>
      <c r="B4" s="46" t="s">
        <v>34</v>
      </c>
      <c r="C4" s="46" t="s">
        <v>47</v>
      </c>
      <c r="D4" s="46" t="s">
        <v>48</v>
      </c>
      <c r="E4" s="46" t="s">
        <v>18</v>
      </c>
      <c r="F4" s="46" t="s">
        <v>34</v>
      </c>
      <c r="G4" s="46" t="s">
        <v>47</v>
      </c>
      <c r="H4" s="46" t="s">
        <v>48</v>
      </c>
      <c r="I4" s="46" t="s">
        <v>18</v>
      </c>
      <c r="J4" s="46" t="s">
        <v>34</v>
      </c>
      <c r="K4" s="46" t="s">
        <v>47</v>
      </c>
      <c r="L4" s="46" t="s">
        <v>48</v>
      </c>
      <c r="M4" s="46" t="s">
        <v>18</v>
      </c>
      <c r="N4" s="46" t="s">
        <v>34</v>
      </c>
      <c r="O4" s="46" t="s">
        <v>47</v>
      </c>
      <c r="P4" s="46" t="s">
        <v>48</v>
      </c>
      <c r="Q4" s="46" t="s">
        <v>18</v>
      </c>
      <c r="R4" s="46" t="s">
        <v>34</v>
      </c>
      <c r="S4" s="46" t="s">
        <v>47</v>
      </c>
      <c r="T4" s="46" t="s">
        <v>48</v>
      </c>
      <c r="U4" s="46" t="s">
        <v>18</v>
      </c>
      <c r="V4" s="46" t="s">
        <v>34</v>
      </c>
      <c r="W4" s="46" t="s">
        <v>47</v>
      </c>
      <c r="X4" s="46" t="s">
        <v>48</v>
      </c>
      <c r="Y4" s="46" t="s">
        <v>18</v>
      </c>
      <c r="Z4" s="46" t="s">
        <v>34</v>
      </c>
      <c r="AA4" s="46" t="s">
        <v>47</v>
      </c>
      <c r="AB4" s="46" t="s">
        <v>48</v>
      </c>
      <c r="AC4" s="46" t="s">
        <v>18</v>
      </c>
      <c r="AD4" s="46" t="s">
        <v>35</v>
      </c>
      <c r="AE4" s="46" t="s">
        <v>36</v>
      </c>
      <c r="AF4" s="46" t="s">
        <v>48</v>
      </c>
      <c r="AG4" s="47" t="s">
        <v>18</v>
      </c>
    </row>
    <row r="5" spans="1:33" x14ac:dyDescent="0.35">
      <c r="A5" s="121">
        <v>45261</v>
      </c>
      <c r="B5" s="225">
        <v>153866.74</v>
      </c>
      <c r="C5" s="226">
        <v>2552793</v>
      </c>
      <c r="D5" s="227">
        <v>6.0273880412552048</v>
      </c>
      <c r="E5" s="190">
        <v>7.1629766636727377E-2</v>
      </c>
      <c r="F5" s="191">
        <v>150103.56</v>
      </c>
      <c r="G5" s="192">
        <v>1608969</v>
      </c>
      <c r="H5" s="193">
        <v>9.3291766342297446</v>
      </c>
      <c r="I5" s="195">
        <v>4.5744730844042625E-2</v>
      </c>
      <c r="J5" s="225">
        <v>1482925.2</v>
      </c>
      <c r="K5" s="228">
        <v>19924604.030000001</v>
      </c>
      <c r="L5" s="227">
        <v>7.4426834167805529</v>
      </c>
      <c r="M5" s="195">
        <v>-7.5719633192523617E-3</v>
      </c>
      <c r="N5" s="225">
        <v>134683.26999999999</v>
      </c>
      <c r="O5" s="228">
        <v>4023753</v>
      </c>
      <c r="P5" s="227">
        <v>3.3472052086696173</v>
      </c>
      <c r="Q5" s="195">
        <v>3.3872080102592683E-2</v>
      </c>
      <c r="R5" s="225">
        <v>250695.96</v>
      </c>
      <c r="S5" s="228">
        <v>3452390</v>
      </c>
      <c r="T5" s="227">
        <v>7.2615191215360948</v>
      </c>
      <c r="U5" s="195">
        <v>2.2432628489225115E-2</v>
      </c>
      <c r="V5" s="225">
        <v>223134.2</v>
      </c>
      <c r="W5" s="228">
        <v>6074595.2999999998</v>
      </c>
      <c r="X5" s="227">
        <v>3.6732356474842041</v>
      </c>
      <c r="Y5" s="196">
        <v>-5.3677305141545228E-2</v>
      </c>
      <c r="Z5" s="225">
        <v>86048.47</v>
      </c>
      <c r="AA5" s="228">
        <v>997450</v>
      </c>
      <c r="AB5" s="227">
        <v>8.6268454559125765</v>
      </c>
      <c r="AC5" s="195">
        <v>-9.630621644387416E-2</v>
      </c>
      <c r="AD5" s="225">
        <v>2481457.4000000004</v>
      </c>
      <c r="AE5" s="228">
        <v>38634554.329999998</v>
      </c>
      <c r="AF5" s="227">
        <v>7.4073208258759831</v>
      </c>
      <c r="AG5" s="218">
        <v>-1.284409613110804E-2</v>
      </c>
    </row>
    <row r="6" spans="1:33" x14ac:dyDescent="0.35">
      <c r="A6" s="233">
        <v>45292</v>
      </c>
      <c r="B6" s="143">
        <v>187807.26</v>
      </c>
      <c r="C6" s="144">
        <v>2786770</v>
      </c>
      <c r="D6" s="219">
        <f t="shared" ref="D6:D17" si="0">B6/C6*100</f>
        <v>6.7392450758404898</v>
      </c>
      <c r="E6" s="149">
        <f t="shared" ref="E6:E17" si="1">D6/D5-1</f>
        <v>0.11810373410719399</v>
      </c>
      <c r="F6" s="220">
        <v>174458.26</v>
      </c>
      <c r="G6" s="221">
        <v>1656881</v>
      </c>
      <c r="H6" s="222">
        <f t="shared" ref="H6:H17" si="2">F6/G6*100</f>
        <v>10.529317434384245</v>
      </c>
      <c r="I6" s="149">
        <f t="shared" ref="I6:I17" si="3">H6/H5-1</f>
        <v>0.12864380718777002</v>
      </c>
      <c r="J6" s="151">
        <v>1917919.43</v>
      </c>
      <c r="K6" s="147">
        <v>26272831.989999998</v>
      </c>
      <c r="L6" s="153">
        <f t="shared" ref="L6:L17" si="4">J6/K6*100</f>
        <v>7.3000102567169041</v>
      </c>
      <c r="M6" s="149">
        <f t="shared" ref="M6:M17" si="5">L6/L5-1</f>
        <v>-1.916958603156127E-2</v>
      </c>
      <c r="N6" s="143">
        <v>149541.43</v>
      </c>
      <c r="O6" s="147">
        <v>4818168</v>
      </c>
      <c r="P6" s="153">
        <f t="shared" ref="P6:P17" si="6">N6/O6*100</f>
        <v>3.1036989577781426</v>
      </c>
      <c r="Q6" s="149">
        <f t="shared" ref="Q6:Q17" si="7">P6/P5-1</f>
        <v>-7.2749125228643741E-2</v>
      </c>
      <c r="R6" s="143">
        <v>322819.92</v>
      </c>
      <c r="S6" s="147">
        <v>4797229</v>
      </c>
      <c r="T6" s="153">
        <f t="shared" ref="T6:T17" si="8">R6/S6*100</f>
        <v>6.7292997686789606</v>
      </c>
      <c r="U6" s="149">
        <f t="shared" ref="U6:U17" si="9">T6/T5-1</f>
        <v>-7.3293114560379902E-2</v>
      </c>
      <c r="V6" s="143">
        <v>244608.91</v>
      </c>
      <c r="W6" s="147">
        <v>6703535.9299999997</v>
      </c>
      <c r="X6" s="153">
        <f t="shared" ref="X6:X17" si="10">V6/W6*100</f>
        <v>3.6489535157902853</v>
      </c>
      <c r="Y6" s="223">
        <f t="shared" ref="Y6:Y17" si="11">X6/X5-1</f>
        <v>-6.6105564750656987E-3</v>
      </c>
      <c r="Z6" s="151">
        <v>95368.8</v>
      </c>
      <c r="AA6" s="147">
        <v>967013</v>
      </c>
      <c r="AB6" s="153">
        <f t="shared" ref="AB6:AB17" si="12">Z6/AA6*100</f>
        <v>9.8622045412005832</v>
      </c>
      <c r="AC6" s="149">
        <f t="shared" ref="AC6:AC17" si="13">AB6/AB5-1</f>
        <v>0.1431993990852507</v>
      </c>
      <c r="AD6" s="143">
        <f t="shared" ref="AD6:AD17" si="14">+B6+F6+J6+N6+R6+V6+Z6</f>
        <v>3092524.0100000002</v>
      </c>
      <c r="AE6" s="147">
        <f t="shared" ref="AE6:AE17" si="15">C6+G6+K6+O6+S6+W6+AA6</f>
        <v>48002428.919999994</v>
      </c>
      <c r="AF6" s="153">
        <f t="shared" ref="AF6:AF17" si="16">AD6/AE6*100</f>
        <v>6.4424323509836272</v>
      </c>
      <c r="AG6" s="224">
        <f t="shared" ref="AG6:AG17" si="17">AF6/AF5-1</f>
        <v>-0.13026146667249949</v>
      </c>
    </row>
    <row r="7" spans="1:33" x14ac:dyDescent="0.35">
      <c r="A7" s="233">
        <v>45323</v>
      </c>
      <c r="B7" s="143">
        <v>138145.54999999999</v>
      </c>
      <c r="C7" s="144">
        <v>2274569</v>
      </c>
      <c r="D7" s="219">
        <f t="shared" si="0"/>
        <v>6.0734824927271935</v>
      </c>
      <c r="E7" s="149">
        <f t="shared" si="1"/>
        <v>-9.8788896326086673E-2</v>
      </c>
      <c r="F7" s="146">
        <v>200568.12</v>
      </c>
      <c r="G7" s="147">
        <v>2155386</v>
      </c>
      <c r="H7" s="222">
        <f t="shared" si="2"/>
        <v>9.3054385618167696</v>
      </c>
      <c r="I7" s="149">
        <f t="shared" si="3"/>
        <v>-0.11623534765613686</v>
      </c>
      <c r="J7" s="150">
        <v>1764602.19</v>
      </c>
      <c r="K7" s="147">
        <v>24001437.100000001</v>
      </c>
      <c r="L7" s="153">
        <f t="shared" si="4"/>
        <v>7.352068889241635</v>
      </c>
      <c r="M7" s="149">
        <f t="shared" si="5"/>
        <v>7.131309504234018E-3</v>
      </c>
      <c r="N7" s="143">
        <v>160528.47</v>
      </c>
      <c r="O7" s="147">
        <v>4897947</v>
      </c>
      <c r="P7" s="153">
        <f t="shared" si="6"/>
        <v>3.2774644151927332</v>
      </c>
      <c r="Q7" s="149">
        <f t="shared" si="7"/>
        <v>5.5986569502534778E-2</v>
      </c>
      <c r="R7" s="143">
        <v>309728.37</v>
      </c>
      <c r="S7" s="147">
        <v>4215479</v>
      </c>
      <c r="T7" s="153">
        <f t="shared" si="8"/>
        <v>7.3474063089864758</v>
      </c>
      <c r="U7" s="149">
        <f t="shared" si="9"/>
        <v>9.1853025062792915E-2</v>
      </c>
      <c r="V7" s="143">
        <v>228835.68</v>
      </c>
      <c r="W7" s="147">
        <v>6001904.7199999997</v>
      </c>
      <c r="X7" s="153">
        <f t="shared" si="10"/>
        <v>3.8127176400760994</v>
      </c>
      <c r="Y7" s="223">
        <f t="shared" si="11"/>
        <v>4.4879750749673875E-2</v>
      </c>
      <c r="Z7" s="151">
        <v>65085.7</v>
      </c>
      <c r="AA7" s="147">
        <v>759037</v>
      </c>
      <c r="AB7" s="153">
        <f t="shared" si="12"/>
        <v>8.5747730347795947</v>
      </c>
      <c r="AC7" s="149">
        <f t="shared" si="13"/>
        <v>-0.13054195956315684</v>
      </c>
      <c r="AD7" s="143">
        <f t="shared" si="14"/>
        <v>2867494.0800000005</v>
      </c>
      <c r="AE7" s="147">
        <f t="shared" si="15"/>
        <v>44305759.82</v>
      </c>
      <c r="AF7" s="153">
        <f t="shared" si="16"/>
        <v>6.4720571132279483</v>
      </c>
      <c r="AG7" s="224">
        <f t="shared" si="17"/>
        <v>4.5983815786281301E-3</v>
      </c>
    </row>
    <row r="8" spans="1:33" x14ac:dyDescent="0.35">
      <c r="A8" s="233">
        <v>45352</v>
      </c>
      <c r="B8" s="150">
        <v>184980.09</v>
      </c>
      <c r="C8" s="144">
        <v>2782829</v>
      </c>
      <c r="D8" s="219">
        <f t="shared" si="0"/>
        <v>6.6471957134268758</v>
      </c>
      <c r="E8" s="149">
        <f t="shared" si="1"/>
        <v>9.4461986411698007E-2</v>
      </c>
      <c r="F8" s="164">
        <v>164851.54999999999</v>
      </c>
      <c r="G8" s="134">
        <v>1980404</v>
      </c>
      <c r="H8" s="222">
        <f t="shared" si="2"/>
        <v>8.3241373982278368</v>
      </c>
      <c r="I8" s="149">
        <f t="shared" si="3"/>
        <v>-0.10545458519446138</v>
      </c>
      <c r="J8" s="151">
        <v>1704520.91</v>
      </c>
      <c r="K8" s="147">
        <v>23289049.420000002</v>
      </c>
      <c r="L8" s="153">
        <f t="shared" si="4"/>
        <v>7.3189801750182371</v>
      </c>
      <c r="M8" s="149">
        <f t="shared" si="5"/>
        <v>-4.5005990452315903E-3</v>
      </c>
      <c r="N8" s="143">
        <v>157222.78</v>
      </c>
      <c r="O8" s="147">
        <v>4320020</v>
      </c>
      <c r="P8" s="153">
        <f t="shared" si="6"/>
        <v>3.6393993546326171</v>
      </c>
      <c r="Q8" s="149">
        <f t="shared" si="7"/>
        <v>0.11043138645903494</v>
      </c>
      <c r="R8" s="143">
        <v>308219.34000000003</v>
      </c>
      <c r="S8" s="147">
        <v>4311041</v>
      </c>
      <c r="T8" s="153">
        <f t="shared" si="8"/>
        <v>7.149533952472269</v>
      </c>
      <c r="U8" s="149">
        <f t="shared" si="9"/>
        <v>-2.6930912514283145E-2</v>
      </c>
      <c r="V8" s="143">
        <v>243238.93</v>
      </c>
      <c r="W8" s="147">
        <v>6311049.8799999999</v>
      </c>
      <c r="X8" s="153">
        <f t="shared" si="10"/>
        <v>3.8541753689958158</v>
      </c>
      <c r="Y8" s="223">
        <f t="shared" si="11"/>
        <v>1.0873537679252143E-2</v>
      </c>
      <c r="Z8" s="151">
        <v>76407.259999999995</v>
      </c>
      <c r="AA8" s="147">
        <v>804558</v>
      </c>
      <c r="AB8" s="153">
        <f t="shared" si="12"/>
        <v>9.4967994849345843</v>
      </c>
      <c r="AC8" s="149">
        <f t="shared" si="13"/>
        <v>0.10752779652770017</v>
      </c>
      <c r="AD8" s="143">
        <f t="shared" si="14"/>
        <v>2839440.8599999994</v>
      </c>
      <c r="AE8" s="147">
        <f t="shared" si="15"/>
        <v>43798951.300000004</v>
      </c>
      <c r="AF8" s="153">
        <f t="shared" si="16"/>
        <v>6.4828969089951682</v>
      </c>
      <c r="AG8" s="224">
        <f t="shared" si="17"/>
        <v>1.6748609565055972E-3</v>
      </c>
    </row>
    <row r="9" spans="1:33" x14ac:dyDescent="0.35">
      <c r="A9" s="233">
        <v>45383</v>
      </c>
      <c r="B9" s="143">
        <v>200367.23</v>
      </c>
      <c r="C9" s="154">
        <v>3330921</v>
      </c>
      <c r="D9" s="219">
        <f t="shared" si="0"/>
        <v>6.0153702234306969</v>
      </c>
      <c r="E9" s="149">
        <f t="shared" si="1"/>
        <v>-9.5051434805798585E-2</v>
      </c>
      <c r="F9" s="133">
        <v>158619.57999999999</v>
      </c>
      <c r="G9" s="134">
        <v>1856787</v>
      </c>
      <c r="H9" s="222">
        <f t="shared" si="2"/>
        <v>8.5426912187558397</v>
      </c>
      <c r="I9" s="149">
        <f t="shared" si="3"/>
        <v>2.6255431652837835E-2</v>
      </c>
      <c r="J9" s="151">
        <v>1891488.53</v>
      </c>
      <c r="K9" s="147">
        <v>25780811.010000002</v>
      </c>
      <c r="L9" s="153">
        <f t="shared" si="4"/>
        <v>7.3368077104568936</v>
      </c>
      <c r="M9" s="149">
        <f t="shared" si="5"/>
        <v>2.4357950168394371E-3</v>
      </c>
      <c r="N9" s="143">
        <v>157606.35</v>
      </c>
      <c r="O9" s="147">
        <v>4988200</v>
      </c>
      <c r="P9" s="153">
        <f t="shared" si="6"/>
        <v>3.1595836173369154</v>
      </c>
      <c r="Q9" s="149">
        <f t="shared" si="7"/>
        <v>-0.13183926536804513</v>
      </c>
      <c r="R9" s="143">
        <v>302944.53000000003</v>
      </c>
      <c r="S9" s="147">
        <v>4080322</v>
      </c>
      <c r="T9" s="153">
        <f t="shared" si="8"/>
        <v>7.424525074246592</v>
      </c>
      <c r="U9" s="149">
        <f t="shared" si="9"/>
        <v>3.8462803813839264E-2</v>
      </c>
      <c r="V9" s="143">
        <v>249597.36</v>
      </c>
      <c r="W9" s="147">
        <v>6958778.9900000002</v>
      </c>
      <c r="X9" s="153">
        <f t="shared" si="10"/>
        <v>3.5867982063905144</v>
      </c>
      <c r="Y9" s="223">
        <f t="shared" si="11"/>
        <v>-6.9373377443114448E-2</v>
      </c>
      <c r="Z9" s="151">
        <v>61769.88</v>
      </c>
      <c r="AA9" s="147">
        <v>759367</v>
      </c>
      <c r="AB9" s="153">
        <f t="shared" si="12"/>
        <v>8.1343908808257392</v>
      </c>
      <c r="AC9" s="149">
        <f t="shared" si="13"/>
        <v>-0.14345976307809027</v>
      </c>
      <c r="AD9" s="143">
        <f t="shared" si="14"/>
        <v>3022393.4599999995</v>
      </c>
      <c r="AE9" s="147">
        <f t="shared" si="15"/>
        <v>47755187.000000007</v>
      </c>
      <c r="AF9" s="153">
        <f t="shared" si="16"/>
        <v>6.3289323105362341</v>
      </c>
      <c r="AG9" s="224">
        <f t="shared" si="17"/>
        <v>-2.3749351658716722E-2</v>
      </c>
    </row>
    <row r="10" spans="1:33" x14ac:dyDescent="0.35">
      <c r="A10" s="233">
        <v>45413</v>
      </c>
      <c r="B10" s="150">
        <v>211516.88</v>
      </c>
      <c r="C10" s="147">
        <v>3138930</v>
      </c>
      <c r="D10" s="145">
        <f t="shared" si="0"/>
        <v>6.7385026107622661</v>
      </c>
      <c r="E10" s="149">
        <f t="shared" si="1"/>
        <v>0.12021411159613571</v>
      </c>
      <c r="F10" s="146">
        <v>175373.87</v>
      </c>
      <c r="G10" s="147">
        <v>1968242</v>
      </c>
      <c r="H10" s="148">
        <f t="shared" si="2"/>
        <v>8.9101782199546591</v>
      </c>
      <c r="I10" s="149">
        <f t="shared" si="3"/>
        <v>4.3017708563782175E-2</v>
      </c>
      <c r="J10" s="150">
        <v>1848781.3</v>
      </c>
      <c r="K10" s="147">
        <v>24645151.309999999</v>
      </c>
      <c r="L10" s="141">
        <f t="shared" si="4"/>
        <v>7.5016025535612751</v>
      </c>
      <c r="M10" s="149">
        <f t="shared" si="5"/>
        <v>2.2461382335195346E-2</v>
      </c>
      <c r="N10" s="143">
        <v>186507.79</v>
      </c>
      <c r="O10" s="147">
        <v>5972254</v>
      </c>
      <c r="P10" s="141">
        <f t="shared" si="6"/>
        <v>3.1229045181266573</v>
      </c>
      <c r="Q10" s="149">
        <f t="shared" si="7"/>
        <v>-1.1608839534740123E-2</v>
      </c>
      <c r="R10" s="143">
        <v>331148.63</v>
      </c>
      <c r="S10" s="147">
        <v>4554386</v>
      </c>
      <c r="T10" s="141">
        <f t="shared" si="8"/>
        <v>7.2709829601619189</v>
      </c>
      <c r="U10" s="149">
        <f t="shared" si="9"/>
        <v>-2.068039538545885E-2</v>
      </c>
      <c r="V10" s="143">
        <v>277299.25</v>
      </c>
      <c r="W10" s="147">
        <v>7911553.6600000001</v>
      </c>
      <c r="X10" s="141">
        <f t="shared" si="10"/>
        <v>3.5049910790847112</v>
      </c>
      <c r="Y10" s="223">
        <f t="shared" si="11"/>
        <v>-2.2807842147363977E-2</v>
      </c>
      <c r="Z10" s="150">
        <v>41754.400000000001</v>
      </c>
      <c r="AA10" s="147">
        <v>601333</v>
      </c>
      <c r="AB10" s="141">
        <f t="shared" si="12"/>
        <v>6.9436402126608714</v>
      </c>
      <c r="AC10" s="149">
        <f t="shared" si="13"/>
        <v>-0.14638473680576214</v>
      </c>
      <c r="AD10" s="139">
        <f t="shared" si="14"/>
        <v>3072382.1199999996</v>
      </c>
      <c r="AE10" s="140">
        <f t="shared" si="15"/>
        <v>48791849.969999999</v>
      </c>
      <c r="AF10" s="141">
        <f t="shared" si="16"/>
        <v>6.2969166405640999</v>
      </c>
      <c r="AG10" s="224">
        <f t="shared" si="17"/>
        <v>-5.0586210123997333E-3</v>
      </c>
    </row>
    <row r="11" spans="1:33" x14ac:dyDescent="0.35">
      <c r="A11" s="233">
        <v>45444</v>
      </c>
      <c r="B11" s="143">
        <v>204524.49</v>
      </c>
      <c r="C11" s="147">
        <v>3108414</v>
      </c>
      <c r="D11" s="145">
        <f t="shared" si="0"/>
        <v>6.5797055990611284</v>
      </c>
      <c r="E11" s="149">
        <f t="shared" si="1"/>
        <v>-2.3565622939363151E-2</v>
      </c>
      <c r="F11" s="133">
        <v>144821.25</v>
      </c>
      <c r="G11" s="134">
        <v>2200289</v>
      </c>
      <c r="H11" s="148">
        <f t="shared" si="2"/>
        <v>6.5819194660337796</v>
      </c>
      <c r="I11" s="149">
        <f t="shared" si="3"/>
        <v>-0.26130327547283638</v>
      </c>
      <c r="J11" s="151">
        <v>1679247.14</v>
      </c>
      <c r="K11" s="147">
        <v>22664080.719999999</v>
      </c>
      <c r="L11" s="141">
        <f t="shared" si="4"/>
        <v>7.4092885599288492</v>
      </c>
      <c r="M11" s="149">
        <f t="shared" si="5"/>
        <v>-1.2305903035158994E-2</v>
      </c>
      <c r="N11" s="143">
        <v>163297.75</v>
      </c>
      <c r="O11" s="147">
        <v>5314110</v>
      </c>
      <c r="P11" s="141">
        <f t="shared" si="6"/>
        <v>3.0729087278961105</v>
      </c>
      <c r="Q11" s="149">
        <f t="shared" si="7"/>
        <v>-1.6009388036153593E-2</v>
      </c>
      <c r="R11" s="143">
        <v>309489.83</v>
      </c>
      <c r="S11" s="147">
        <v>4010282</v>
      </c>
      <c r="T11" s="141">
        <f t="shared" si="8"/>
        <v>7.7174081523443991</v>
      </c>
      <c r="U11" s="149">
        <f t="shared" si="9"/>
        <v>6.1398189849772189E-2</v>
      </c>
      <c r="V11" s="143">
        <v>276251.86</v>
      </c>
      <c r="W11" s="147">
        <v>7336435.5</v>
      </c>
      <c r="X11" s="141">
        <f t="shared" si="10"/>
        <v>3.7654779354360848</v>
      </c>
      <c r="Y11" s="223">
        <f t="shared" si="11"/>
        <v>7.4318835761315816E-2</v>
      </c>
      <c r="Z11" s="151">
        <v>60529.04</v>
      </c>
      <c r="AA11" s="147">
        <v>591131</v>
      </c>
      <c r="AB11" s="141">
        <f t="shared" si="12"/>
        <v>10.239530662408164</v>
      </c>
      <c r="AC11" s="149">
        <f t="shared" si="13"/>
        <v>0.47466319521245404</v>
      </c>
      <c r="AD11" s="152">
        <f t="shared" si="14"/>
        <v>2838161.36</v>
      </c>
      <c r="AE11" s="140">
        <f t="shared" si="15"/>
        <v>45224742.219999999</v>
      </c>
      <c r="AF11" s="153">
        <f t="shared" si="16"/>
        <v>6.2756827804423914</v>
      </c>
      <c r="AG11" s="224">
        <f t="shared" si="17"/>
        <v>-3.3721043700851716E-3</v>
      </c>
    </row>
    <row r="12" spans="1:33" x14ac:dyDescent="0.35">
      <c r="A12" s="233">
        <v>45474</v>
      </c>
      <c r="B12" s="143">
        <v>230763.75</v>
      </c>
      <c r="C12" s="147">
        <v>3846944</v>
      </c>
      <c r="D12" s="145">
        <f t="shared" si="0"/>
        <v>5.9986251424507353</v>
      </c>
      <c r="E12" s="149">
        <f t="shared" si="1"/>
        <v>-8.8314051117014847E-2</v>
      </c>
      <c r="F12" s="133">
        <v>189962.93</v>
      </c>
      <c r="G12" s="134">
        <v>2683615</v>
      </c>
      <c r="H12" s="148">
        <f t="shared" si="2"/>
        <v>7.0786208155789856</v>
      </c>
      <c r="I12" s="149">
        <f t="shared" si="3"/>
        <v>7.5464513370066433E-2</v>
      </c>
      <c r="J12" s="151">
        <v>1599280.35</v>
      </c>
      <c r="K12" s="154">
        <v>22087985.149999999</v>
      </c>
      <c r="L12" s="153">
        <f t="shared" si="4"/>
        <v>7.2404990275901211</v>
      </c>
      <c r="M12" s="149">
        <f t="shared" si="5"/>
        <v>-2.2780801553820007E-2</v>
      </c>
      <c r="N12" s="143">
        <v>180939.68</v>
      </c>
      <c r="O12" s="147">
        <v>5939546</v>
      </c>
      <c r="P12" s="153">
        <f t="shared" si="6"/>
        <v>3.0463553948399422</v>
      </c>
      <c r="Q12" s="149">
        <f t="shared" si="7"/>
        <v>-8.6411069795581108E-3</v>
      </c>
      <c r="R12" s="143">
        <v>311001.51</v>
      </c>
      <c r="S12" s="147">
        <v>4136483</v>
      </c>
      <c r="T12" s="141">
        <f t="shared" si="8"/>
        <v>7.5185008617223863</v>
      </c>
      <c r="U12" s="149">
        <f t="shared" si="9"/>
        <v>-2.5773846179379389E-2</v>
      </c>
      <c r="V12" s="143">
        <v>285054.98</v>
      </c>
      <c r="W12" s="147">
        <v>7767610.0199999996</v>
      </c>
      <c r="X12" s="141">
        <f t="shared" si="10"/>
        <v>3.6697900546763029</v>
      </c>
      <c r="Y12" s="223">
        <f t="shared" si="11"/>
        <v>-2.5411881944462977E-2</v>
      </c>
      <c r="Z12" s="151">
        <v>52539.12</v>
      </c>
      <c r="AA12" s="147">
        <v>662849</v>
      </c>
      <c r="AB12" s="153">
        <f t="shared" si="12"/>
        <v>7.9262577148038247</v>
      </c>
      <c r="AC12" s="149">
        <f t="shared" si="13"/>
        <v>-0.22591591586291482</v>
      </c>
      <c r="AD12" s="152">
        <f t="shared" si="14"/>
        <v>2849542.32</v>
      </c>
      <c r="AE12" s="140">
        <f t="shared" si="15"/>
        <v>47125032.170000002</v>
      </c>
      <c r="AF12" s="153">
        <f t="shared" si="16"/>
        <v>6.0467700260033581</v>
      </c>
      <c r="AG12" s="224">
        <f t="shared" si="17"/>
        <v>-3.6476151272721968E-2</v>
      </c>
    </row>
    <row r="13" spans="1:33" x14ac:dyDescent="0.35">
      <c r="A13" s="233">
        <v>45505</v>
      </c>
      <c r="B13" s="143">
        <v>215451.53</v>
      </c>
      <c r="C13" s="147">
        <v>3717125</v>
      </c>
      <c r="D13" s="145">
        <f t="shared" si="0"/>
        <v>5.796187375996233</v>
      </c>
      <c r="E13" s="149">
        <f t="shared" si="1"/>
        <v>-3.374736071135731E-2</v>
      </c>
      <c r="F13" s="143">
        <v>147976.93</v>
      </c>
      <c r="G13" s="147">
        <v>2044458</v>
      </c>
      <c r="H13" s="148">
        <f t="shared" si="2"/>
        <v>7.237954020087475</v>
      </c>
      <c r="I13" s="149">
        <f t="shared" si="3"/>
        <v>2.2509074671413609E-2</v>
      </c>
      <c r="J13" s="143">
        <v>1814648.62</v>
      </c>
      <c r="K13" s="147">
        <v>24842530.34</v>
      </c>
      <c r="L13" s="153">
        <f t="shared" si="4"/>
        <v>7.3046046242646963</v>
      </c>
      <c r="M13" s="149">
        <f t="shared" si="5"/>
        <v>8.8537539236313023E-3</v>
      </c>
      <c r="N13" s="143">
        <v>155416.04999999999</v>
      </c>
      <c r="O13" s="147">
        <v>4988682</v>
      </c>
      <c r="P13" s="153">
        <f t="shared" si="6"/>
        <v>3.1153729582282454</v>
      </c>
      <c r="Q13" s="149">
        <f t="shared" si="7"/>
        <v>2.265578189111106E-2</v>
      </c>
      <c r="R13" s="143">
        <v>289325.34999999998</v>
      </c>
      <c r="S13" s="147">
        <v>3920521</v>
      </c>
      <c r="T13" s="141">
        <f t="shared" si="8"/>
        <v>7.3797678930938</v>
      </c>
      <c r="U13" s="149">
        <f t="shared" si="9"/>
        <v>-1.8452211575168298E-2</v>
      </c>
      <c r="V13" s="143">
        <v>297445.59999999998</v>
      </c>
      <c r="W13" s="147">
        <v>8744794.0299999993</v>
      </c>
      <c r="X13" s="141">
        <f t="shared" si="10"/>
        <v>3.4014020110660055</v>
      </c>
      <c r="Y13" s="223">
        <f t="shared" si="11"/>
        <v>-7.313444082946885E-2</v>
      </c>
      <c r="Z13" s="143">
        <v>62249.72</v>
      </c>
      <c r="AA13" s="147">
        <v>699346</v>
      </c>
      <c r="AB13" s="153">
        <f t="shared" si="12"/>
        <v>8.9011333445819378</v>
      </c>
      <c r="AC13" s="149">
        <f t="shared" si="13"/>
        <v>0.1229931784778262</v>
      </c>
      <c r="AD13" s="143">
        <f t="shared" si="14"/>
        <v>2982513.8000000003</v>
      </c>
      <c r="AE13" s="147">
        <f t="shared" si="15"/>
        <v>48957456.370000005</v>
      </c>
      <c r="AF13" s="153">
        <f t="shared" si="16"/>
        <v>6.0920522043862055</v>
      </c>
      <c r="AG13" s="224">
        <f t="shared" si="17"/>
        <v>7.4886556274038618E-3</v>
      </c>
    </row>
    <row r="14" spans="1:33" x14ac:dyDescent="0.35">
      <c r="A14" s="233">
        <v>45536</v>
      </c>
      <c r="B14" s="143">
        <v>215172.96</v>
      </c>
      <c r="C14" s="147">
        <v>3239362</v>
      </c>
      <c r="D14" s="145">
        <f t="shared" si="0"/>
        <v>6.6424487291015941</v>
      </c>
      <c r="E14" s="149">
        <f t="shared" si="1"/>
        <v>0.14600310483577283</v>
      </c>
      <c r="F14" s="133">
        <v>142125.82999999999</v>
      </c>
      <c r="G14" s="134">
        <v>2038622</v>
      </c>
      <c r="H14" s="148">
        <f t="shared" si="2"/>
        <v>6.9716617401362289</v>
      </c>
      <c r="I14" s="149">
        <f t="shared" si="3"/>
        <v>-3.6791098591149596E-2</v>
      </c>
      <c r="J14" s="151">
        <v>1600265.42</v>
      </c>
      <c r="K14" s="147">
        <v>22208805.850000001</v>
      </c>
      <c r="L14" s="153">
        <f t="shared" si="4"/>
        <v>7.2055446421042033</v>
      </c>
      <c r="M14" s="149">
        <f t="shared" si="5"/>
        <v>-1.3561306498565573E-2</v>
      </c>
      <c r="N14" s="143">
        <v>150652.21</v>
      </c>
      <c r="O14" s="147">
        <v>4460863</v>
      </c>
      <c r="P14" s="153">
        <f t="shared" si="6"/>
        <v>3.3771987617642591</v>
      </c>
      <c r="Q14" s="149">
        <f t="shared" si="7"/>
        <v>8.4043164990723174E-2</v>
      </c>
      <c r="R14" s="143">
        <v>289010.32</v>
      </c>
      <c r="S14" s="147">
        <v>3916158</v>
      </c>
      <c r="T14" s="141">
        <f t="shared" si="8"/>
        <v>7.3799453443911105</v>
      </c>
      <c r="U14" s="149">
        <f t="shared" si="9"/>
        <v>2.4045647489367994E-5</v>
      </c>
      <c r="V14" s="143">
        <v>277757.88</v>
      </c>
      <c r="W14" s="147">
        <v>7859486.79</v>
      </c>
      <c r="X14" s="153">
        <f t="shared" si="10"/>
        <v>3.5340460187986396</v>
      </c>
      <c r="Y14" s="223">
        <f t="shared" si="11"/>
        <v>3.8996862852757275E-2</v>
      </c>
      <c r="Z14" s="143">
        <v>59936.4</v>
      </c>
      <c r="AA14" s="147">
        <v>582797</v>
      </c>
      <c r="AB14" s="153">
        <f t="shared" si="12"/>
        <v>10.284267077558738</v>
      </c>
      <c r="AC14" s="149">
        <f t="shared" si="13"/>
        <v>0.15538849710848379</v>
      </c>
      <c r="AD14" s="152">
        <f t="shared" si="14"/>
        <v>2734921.0199999996</v>
      </c>
      <c r="AE14" s="140">
        <f t="shared" si="15"/>
        <v>44306094.640000001</v>
      </c>
      <c r="AF14" s="153">
        <f t="shared" si="16"/>
        <v>6.172787383365729</v>
      </c>
      <c r="AG14" s="224">
        <f t="shared" si="17"/>
        <v>1.3252542209240215E-2</v>
      </c>
    </row>
    <row r="15" spans="1:33" x14ac:dyDescent="0.35">
      <c r="A15" s="233">
        <v>45566</v>
      </c>
      <c r="B15" s="143">
        <v>256064.43</v>
      </c>
      <c r="C15" s="147">
        <v>3982301</v>
      </c>
      <c r="D15" s="145">
        <f t="shared" si="0"/>
        <v>6.430062167575981</v>
      </c>
      <c r="E15" s="149">
        <f t="shared" si="1"/>
        <v>-3.1974136374604556E-2</v>
      </c>
      <c r="F15" s="133">
        <v>165409.99</v>
      </c>
      <c r="G15" s="134">
        <v>2384465</v>
      </c>
      <c r="H15" s="148">
        <f t="shared" si="2"/>
        <v>6.9369854453724411</v>
      </c>
      <c r="I15" s="149">
        <f t="shared" si="3"/>
        <v>-4.9738923166846583E-3</v>
      </c>
      <c r="J15" s="151">
        <v>1677144.75</v>
      </c>
      <c r="K15" s="147">
        <v>22353580.739999998</v>
      </c>
      <c r="L15" s="175">
        <f t="shared" si="4"/>
        <v>7.5028013162959599</v>
      </c>
      <c r="M15" s="149">
        <f t="shared" si="5"/>
        <v>4.1253880026611123E-2</v>
      </c>
      <c r="N15" s="143">
        <v>159625.01</v>
      </c>
      <c r="O15" s="147">
        <v>4995587</v>
      </c>
      <c r="P15" s="153">
        <f t="shared" si="6"/>
        <v>3.1953203897760165</v>
      </c>
      <c r="Q15" s="149">
        <f t="shared" si="7"/>
        <v>-5.3854802402340307E-2</v>
      </c>
      <c r="R15" s="143">
        <v>305812.8</v>
      </c>
      <c r="S15" s="147">
        <v>4215007</v>
      </c>
      <c r="T15" s="141">
        <f t="shared" si="8"/>
        <v>7.2553331465404449</v>
      </c>
      <c r="U15" s="149">
        <f t="shared" si="9"/>
        <v>-1.6885246710583446E-2</v>
      </c>
      <c r="V15" s="143">
        <v>309742.07</v>
      </c>
      <c r="W15" s="147">
        <v>8637406.0099999998</v>
      </c>
      <c r="X15" s="153">
        <f t="shared" si="10"/>
        <v>3.5860543042829596</v>
      </c>
      <c r="Y15" s="223">
        <f t="shared" si="11"/>
        <v>1.4716357740581998E-2</v>
      </c>
      <c r="Z15" s="143">
        <v>51713</v>
      </c>
      <c r="AA15" s="147">
        <v>715819</v>
      </c>
      <c r="AB15" s="153">
        <f t="shared" si="12"/>
        <v>7.2243122912356332</v>
      </c>
      <c r="AC15" s="149">
        <f t="shared" si="13"/>
        <v>-0.29753746798352032</v>
      </c>
      <c r="AD15" s="152">
        <f t="shared" si="14"/>
        <v>2925512.0499999993</v>
      </c>
      <c r="AE15" s="140">
        <f t="shared" si="15"/>
        <v>47284165.749999993</v>
      </c>
      <c r="AF15" s="153">
        <f t="shared" si="16"/>
        <v>6.1870861071499386</v>
      </c>
      <c r="AG15" s="224">
        <f t="shared" si="17"/>
        <v>2.3164128125878758E-3</v>
      </c>
    </row>
    <row r="16" spans="1:33" x14ac:dyDescent="0.35">
      <c r="A16" s="233">
        <v>45597</v>
      </c>
      <c r="B16" s="143">
        <v>191635.81</v>
      </c>
      <c r="C16" s="147">
        <v>2853391</v>
      </c>
      <c r="D16" s="145">
        <f t="shared" si="0"/>
        <v>6.7160725606830605</v>
      </c>
      <c r="E16" s="149">
        <f t="shared" si="1"/>
        <v>4.4480190961341926E-2</v>
      </c>
      <c r="F16" s="155">
        <v>175008.3</v>
      </c>
      <c r="G16" s="134">
        <v>2458793</v>
      </c>
      <c r="H16" s="148">
        <f t="shared" si="2"/>
        <v>7.117650814851026</v>
      </c>
      <c r="I16" s="149">
        <f t="shared" si="3"/>
        <v>2.6043786728586094E-2</v>
      </c>
      <c r="J16" s="143">
        <v>1323161.55</v>
      </c>
      <c r="K16" s="147">
        <v>18662875.690000001</v>
      </c>
      <c r="L16" s="153">
        <f t="shared" si="4"/>
        <v>7.0898053010607605</v>
      </c>
      <c r="M16" s="149">
        <f t="shared" si="5"/>
        <v>-5.504557535572463E-2</v>
      </c>
      <c r="N16" s="143">
        <v>118762.48</v>
      </c>
      <c r="O16" s="147">
        <v>4001718</v>
      </c>
      <c r="P16" s="153">
        <f t="shared" si="6"/>
        <v>2.9677873353394717</v>
      </c>
      <c r="Q16" s="149">
        <f t="shared" si="7"/>
        <v>-7.1208212849195429E-2</v>
      </c>
      <c r="R16" s="143">
        <v>293859.27</v>
      </c>
      <c r="S16" s="147">
        <v>4038975</v>
      </c>
      <c r="T16" s="141">
        <f t="shared" si="8"/>
        <v>7.2755902178151644</v>
      </c>
      <c r="U16" s="149">
        <f t="shared" si="9"/>
        <v>2.7920249650257301E-3</v>
      </c>
      <c r="V16" s="143">
        <v>246496.55</v>
      </c>
      <c r="W16" s="147">
        <v>7167375.7699999996</v>
      </c>
      <c r="X16" s="153">
        <f t="shared" si="10"/>
        <v>3.439146459039359</v>
      </c>
      <c r="Y16" s="223">
        <f t="shared" si="11"/>
        <v>-4.0966430728096581E-2</v>
      </c>
      <c r="Z16" s="143">
        <v>75247.27</v>
      </c>
      <c r="AA16" s="147">
        <v>735218</v>
      </c>
      <c r="AB16" s="153">
        <f t="shared" si="12"/>
        <v>10.234688214924009</v>
      </c>
      <c r="AC16" s="149">
        <f t="shared" si="13"/>
        <v>0.41670069099040674</v>
      </c>
      <c r="AD16" s="152">
        <f t="shared" si="14"/>
        <v>2424171.23</v>
      </c>
      <c r="AE16" s="140">
        <f t="shared" si="15"/>
        <v>39918346.460000001</v>
      </c>
      <c r="AF16" s="153">
        <f t="shared" si="16"/>
        <v>6.0728247659985861</v>
      </c>
      <c r="AG16" s="224">
        <f t="shared" si="17"/>
        <v>-1.8467714716190797E-2</v>
      </c>
    </row>
    <row r="17" spans="1:33" x14ac:dyDescent="0.35">
      <c r="A17" s="234">
        <v>45627</v>
      </c>
      <c r="B17" s="162">
        <v>280519.89</v>
      </c>
      <c r="C17" s="161">
        <v>3618423</v>
      </c>
      <c r="D17" s="157">
        <f t="shared" si="0"/>
        <v>7.7525455149936873</v>
      </c>
      <c r="E17" s="235">
        <f t="shared" si="1"/>
        <v>0.15432724184344004</v>
      </c>
      <c r="F17" s="176">
        <v>187398.44</v>
      </c>
      <c r="G17" s="174">
        <v>2632680</v>
      </c>
      <c r="H17" s="159">
        <f t="shared" si="2"/>
        <v>7.1181624808180262</v>
      </c>
      <c r="I17" s="235">
        <f t="shared" si="3"/>
        <v>7.1886916106267407E-5</v>
      </c>
      <c r="J17" s="162">
        <v>1507807.57</v>
      </c>
      <c r="K17" s="161">
        <v>20394349.120000001</v>
      </c>
      <c r="L17" s="165">
        <f t="shared" si="4"/>
        <v>7.3932615408713769</v>
      </c>
      <c r="M17" s="235">
        <f t="shared" si="5"/>
        <v>4.280177338088742E-2</v>
      </c>
      <c r="N17" s="162">
        <v>157244.13</v>
      </c>
      <c r="O17" s="161">
        <v>5076849</v>
      </c>
      <c r="P17" s="165">
        <f t="shared" si="6"/>
        <v>3.0972780557389044</v>
      </c>
      <c r="Q17" s="235">
        <f t="shared" si="7"/>
        <v>4.3632075269510739E-2</v>
      </c>
      <c r="R17" s="162">
        <v>286832.38</v>
      </c>
      <c r="S17" s="161">
        <v>3881655</v>
      </c>
      <c r="T17" s="165">
        <f t="shared" si="8"/>
        <v>7.3894351764904398</v>
      </c>
      <c r="U17" s="235">
        <f t="shared" si="9"/>
        <v>1.5647522093329647E-2</v>
      </c>
      <c r="V17" s="162">
        <v>230430.37</v>
      </c>
      <c r="W17" s="161">
        <v>6345810.9299999997</v>
      </c>
      <c r="X17" s="165">
        <f t="shared" si="10"/>
        <v>3.6312202260964619</v>
      </c>
      <c r="Y17" s="236">
        <f t="shared" si="11"/>
        <v>5.584925484992409E-2</v>
      </c>
      <c r="Z17" s="162">
        <v>70937.820000000007</v>
      </c>
      <c r="AA17" s="161">
        <v>797457</v>
      </c>
      <c r="AB17" s="165">
        <f t="shared" si="12"/>
        <v>8.8955040836057631</v>
      </c>
      <c r="AC17" s="235">
        <f t="shared" si="13"/>
        <v>-0.13084757475713582</v>
      </c>
      <c r="AD17" s="162">
        <f t="shared" si="14"/>
        <v>2721170.6</v>
      </c>
      <c r="AE17" s="174">
        <f t="shared" si="15"/>
        <v>42747224.050000004</v>
      </c>
      <c r="AF17" s="165">
        <f t="shared" si="16"/>
        <v>6.3657247001983981</v>
      </c>
      <c r="AG17" s="237">
        <f t="shared" si="17"/>
        <v>4.823125077472068E-2</v>
      </c>
    </row>
    <row r="18" spans="1:33" x14ac:dyDescent="0.35">
      <c r="A18" s="177" t="s">
        <v>17</v>
      </c>
      <c r="B18" s="152"/>
      <c r="C18" s="147"/>
      <c r="D18" s="152"/>
      <c r="E18" s="152"/>
      <c r="F18" s="152"/>
      <c r="G18" s="147"/>
      <c r="H18" s="152"/>
      <c r="I18" s="152"/>
      <c r="J18" s="152"/>
      <c r="K18" s="147"/>
      <c r="L18" s="152"/>
      <c r="M18" s="152"/>
      <c r="N18" s="152"/>
      <c r="O18" s="147"/>
      <c r="P18" s="152"/>
      <c r="Q18" s="152"/>
      <c r="R18" s="152"/>
      <c r="S18" s="147"/>
      <c r="T18" s="152"/>
      <c r="U18" s="152"/>
      <c r="V18" s="152"/>
      <c r="W18" s="147"/>
      <c r="X18" s="152"/>
      <c r="Y18" s="152"/>
      <c r="Z18" s="152"/>
      <c r="AA18" s="147"/>
      <c r="AB18" s="152"/>
      <c r="AC18" s="152"/>
      <c r="AD18" s="152"/>
      <c r="AE18" s="147"/>
      <c r="AF18" s="152"/>
      <c r="AG18" s="180"/>
    </row>
    <row r="19" spans="1:33" ht="15" thickBot="1" x14ac:dyDescent="0.4">
      <c r="A19" s="166" t="s">
        <v>11</v>
      </c>
      <c r="B19" s="167">
        <f>AVERAGE(B6:B17)</f>
        <v>209745.82250000001</v>
      </c>
      <c r="C19" s="172">
        <f>AVERAGE(C6:C17)</f>
        <v>3223331.5833333335</v>
      </c>
      <c r="D19" s="229">
        <f>B19/C19*100</f>
        <v>6.5071128140995107</v>
      </c>
      <c r="E19" s="167"/>
      <c r="F19" s="167">
        <f t="shared" ref="F19:AE19" si="18">AVERAGE(F6:F17)</f>
        <v>168881.25416666665</v>
      </c>
      <c r="G19" s="230">
        <f t="shared" si="18"/>
        <v>2171718.5</v>
      </c>
      <c r="H19" s="231">
        <f>F19/G19*100</f>
        <v>7.7763878774650879</v>
      </c>
      <c r="I19" s="167"/>
      <c r="J19" s="167">
        <f t="shared" si="18"/>
        <v>1694072.3133333335</v>
      </c>
      <c r="K19" s="172">
        <f t="shared" si="18"/>
        <v>23100290.703333333</v>
      </c>
      <c r="L19" s="169">
        <f>J19/K19*100</f>
        <v>7.3335540885157853</v>
      </c>
      <c r="M19" s="167"/>
      <c r="N19" s="167">
        <f t="shared" si="18"/>
        <v>158112.01083333333</v>
      </c>
      <c r="O19" s="172">
        <f t="shared" si="18"/>
        <v>4981162</v>
      </c>
      <c r="P19" s="169">
        <f>N19/O19*100</f>
        <v>3.1741993300626103</v>
      </c>
      <c r="Q19" s="167"/>
      <c r="R19" s="167">
        <f t="shared" si="18"/>
        <v>305016.02083333331</v>
      </c>
      <c r="S19" s="172">
        <f t="shared" si="18"/>
        <v>4173128.1666666665</v>
      </c>
      <c r="T19" s="169">
        <f>R19/S19*100</f>
        <v>7.3090499177495509</v>
      </c>
      <c r="U19" s="167"/>
      <c r="V19" s="167">
        <f t="shared" si="18"/>
        <v>263896.61999999994</v>
      </c>
      <c r="W19" s="172">
        <f t="shared" si="18"/>
        <v>7312145.1858333321</v>
      </c>
      <c r="X19" s="169">
        <f>V19/W19*100</f>
        <v>3.6090177819674247</v>
      </c>
      <c r="Y19" s="167"/>
      <c r="Z19" s="167">
        <f t="shared" si="18"/>
        <v>64461.534166666679</v>
      </c>
      <c r="AA19" s="172">
        <f t="shared" si="18"/>
        <v>722993.75</v>
      </c>
      <c r="AB19" s="169">
        <f>Z19/AA19*100</f>
        <v>8.9159185908130851</v>
      </c>
      <c r="AC19" s="167"/>
      <c r="AD19" s="167">
        <f t="shared" si="18"/>
        <v>2864185.5758333332</v>
      </c>
      <c r="AE19" s="172">
        <f t="shared" si="18"/>
        <v>45684769.889166661</v>
      </c>
      <c r="AF19" s="169">
        <f>AD19/AE19*100</f>
        <v>6.2694538744136787</v>
      </c>
      <c r="AG19" s="173"/>
    </row>
    <row r="20" spans="1:33" ht="15.5" x14ac:dyDescent="0.35">
      <c r="A20" s="41" t="s">
        <v>14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71"/>
      <c r="U20" s="71"/>
      <c r="V20" s="71"/>
      <c r="W20" s="71"/>
      <c r="X20" s="71"/>
      <c r="Y20" s="71"/>
      <c r="Z20" s="71"/>
      <c r="AA20" s="71"/>
      <c r="AB20" s="71"/>
      <c r="AC20" s="71"/>
      <c r="AD20" s="71"/>
      <c r="AE20" s="71"/>
      <c r="AF20" s="71"/>
      <c r="AG20" s="71"/>
    </row>
    <row r="21" spans="1:33" ht="15.5" x14ac:dyDescent="0.35">
      <c r="A21" s="256" t="s">
        <v>77</v>
      </c>
      <c r="B21" s="256"/>
      <c r="C21" s="256"/>
      <c r="D21" s="256"/>
      <c r="E21" s="256"/>
      <c r="F21" s="256"/>
      <c r="G21" s="256"/>
      <c r="H21" s="256"/>
      <c r="I21" s="256"/>
      <c r="J21" s="256"/>
      <c r="K21" s="256"/>
      <c r="L21" s="256"/>
      <c r="M21" s="256"/>
      <c r="N21" s="256"/>
      <c r="O21" s="256"/>
      <c r="P21" s="256"/>
      <c r="Q21" s="256"/>
      <c r="R21" s="256"/>
      <c r="S21" s="256"/>
      <c r="T21" s="256"/>
      <c r="U21" s="256"/>
      <c r="V21" s="256"/>
      <c r="W21" s="256"/>
      <c r="X21" s="256"/>
      <c r="Y21" s="256"/>
      <c r="Z21" s="256"/>
      <c r="AA21" s="256"/>
      <c r="AB21" s="256"/>
      <c r="AC21" s="256"/>
      <c r="AD21" s="256"/>
      <c r="AE21" s="256"/>
      <c r="AF21" s="256"/>
      <c r="AG21" s="256"/>
    </row>
    <row r="22" spans="1:33" ht="15.5" x14ac:dyDescent="0.35">
      <c r="A22" s="94" t="s">
        <v>78</v>
      </c>
      <c r="B22" s="94"/>
      <c r="C22" s="94"/>
      <c r="D22" s="94"/>
      <c r="E22" s="94"/>
      <c r="F22" s="94"/>
      <c r="G22" s="94"/>
      <c r="H22" s="94"/>
      <c r="I22" s="94"/>
      <c r="J22" s="94"/>
      <c r="K22" s="94"/>
      <c r="L22" s="94"/>
      <c r="M22" s="94"/>
      <c r="N22" s="94"/>
      <c r="O22" s="94"/>
      <c r="P22" s="94"/>
      <c r="Q22" s="94"/>
      <c r="R22" s="94"/>
      <c r="S22" s="94"/>
      <c r="T22" s="94"/>
      <c r="U22" s="96"/>
      <c r="V22" s="96"/>
      <c r="W22" s="71"/>
      <c r="X22" s="71"/>
      <c r="Y22" s="71"/>
      <c r="Z22" s="71"/>
      <c r="AA22" s="71"/>
      <c r="AB22" s="71"/>
      <c r="AC22" s="71"/>
      <c r="AD22" s="71"/>
      <c r="AE22" s="71"/>
      <c r="AF22" s="71"/>
      <c r="AG22" s="71"/>
    </row>
    <row r="23" spans="1:33" ht="15.5" x14ac:dyDescent="0.35">
      <c r="A23" s="256" t="s">
        <v>79</v>
      </c>
      <c r="B23" s="256"/>
      <c r="C23" s="256"/>
      <c r="D23" s="256"/>
      <c r="E23" s="256"/>
      <c r="F23" s="256"/>
      <c r="G23" s="256"/>
      <c r="H23" s="256"/>
      <c r="I23" s="256"/>
      <c r="J23" s="256"/>
      <c r="K23" s="256"/>
      <c r="L23" s="256"/>
      <c r="M23" s="256"/>
      <c r="N23" s="256"/>
      <c r="O23" s="256"/>
      <c r="P23" s="256"/>
      <c r="Q23" s="256"/>
      <c r="R23" s="256"/>
      <c r="S23" s="256"/>
      <c r="T23" s="256"/>
      <c r="U23" s="96"/>
      <c r="V23" s="96"/>
      <c r="W23" s="71"/>
      <c r="X23" s="71"/>
      <c r="Y23" s="71"/>
      <c r="Z23" s="71"/>
      <c r="AA23" s="71"/>
      <c r="AB23" s="71"/>
      <c r="AC23" s="71"/>
      <c r="AD23" s="71"/>
      <c r="AE23" s="71"/>
      <c r="AF23" s="71"/>
      <c r="AG23" s="71"/>
    </row>
    <row r="24" spans="1:33" ht="15.5" x14ac:dyDescent="0.35">
      <c r="A24" s="94" t="s">
        <v>80</v>
      </c>
      <c r="B24" s="94"/>
      <c r="C24" s="94"/>
      <c r="D24" s="94"/>
      <c r="E24" s="94"/>
      <c r="F24" s="94"/>
      <c r="G24" s="94"/>
      <c r="H24" s="94"/>
      <c r="I24" s="94"/>
      <c r="J24" s="94"/>
      <c r="K24" s="94"/>
      <c r="L24" s="94"/>
      <c r="M24" s="94"/>
      <c r="N24" s="94"/>
      <c r="O24" s="94"/>
      <c r="P24" s="94"/>
      <c r="Q24" s="94"/>
      <c r="R24" s="94"/>
      <c r="S24" s="94"/>
      <c r="T24" s="94"/>
      <c r="U24" s="94"/>
      <c r="V24" s="113"/>
      <c r="W24" s="113"/>
      <c r="X24" s="96"/>
      <c r="Y24" s="71"/>
      <c r="Z24" s="71"/>
      <c r="AA24" s="71"/>
      <c r="AB24" s="71"/>
      <c r="AC24" s="71"/>
      <c r="AD24" s="71"/>
      <c r="AE24" s="181"/>
      <c r="AF24" s="71"/>
      <c r="AG24" s="71"/>
    </row>
    <row r="25" spans="1:33" ht="15.5" x14ac:dyDescent="0.35">
      <c r="A25" s="94" t="s">
        <v>81</v>
      </c>
      <c r="B25" s="94"/>
      <c r="C25" s="94"/>
      <c r="D25" s="94"/>
      <c r="E25" s="94"/>
      <c r="F25" s="94"/>
      <c r="G25" s="94"/>
      <c r="H25" s="94"/>
      <c r="I25" s="94"/>
      <c r="J25" s="94"/>
      <c r="K25" s="94"/>
      <c r="L25" s="94"/>
      <c r="M25" s="94"/>
      <c r="N25" s="94"/>
      <c r="O25" s="94"/>
      <c r="P25" s="94"/>
      <c r="Q25" s="94"/>
      <c r="R25" s="94"/>
      <c r="S25" s="94"/>
      <c r="T25" s="94"/>
      <c r="U25" s="94"/>
      <c r="V25" s="113"/>
      <c r="W25" s="113"/>
      <c r="X25" s="71"/>
      <c r="Y25" s="71"/>
      <c r="Z25" s="71"/>
      <c r="AA25" s="71"/>
      <c r="AB25" s="71"/>
      <c r="AC25" s="71"/>
      <c r="AD25" s="71"/>
      <c r="AE25" s="181"/>
      <c r="AF25" s="71"/>
      <c r="AG25" s="71"/>
    </row>
    <row r="26" spans="1:33" ht="15.5" x14ac:dyDescent="0.35">
      <c r="A26" s="41" t="s">
        <v>82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2"/>
      <c r="W26" s="42"/>
      <c r="X26" s="71"/>
      <c r="Y26" s="71"/>
      <c r="Z26" s="71"/>
      <c r="AA26" s="71"/>
      <c r="AB26" s="71"/>
      <c r="AC26" s="71"/>
      <c r="AD26" s="71"/>
      <c r="AE26" s="182"/>
      <c r="AF26" s="71"/>
      <c r="AG26" s="71"/>
    </row>
    <row r="27" spans="1:33" ht="15.5" x14ac:dyDescent="0.35">
      <c r="A27" s="94" t="s">
        <v>83</v>
      </c>
      <c r="B27" s="94"/>
      <c r="C27" s="94"/>
      <c r="D27" s="94"/>
      <c r="E27" s="94"/>
      <c r="F27" s="94"/>
      <c r="G27" s="94"/>
      <c r="H27" s="94"/>
      <c r="I27" s="94"/>
      <c r="J27" s="94"/>
      <c r="K27" s="94"/>
      <c r="L27" s="94"/>
      <c r="M27" s="94"/>
      <c r="N27" s="94"/>
      <c r="O27" s="94"/>
      <c r="P27" s="94"/>
      <c r="Q27" s="94"/>
      <c r="R27" s="94"/>
      <c r="S27" s="94"/>
      <c r="T27" s="94"/>
      <c r="U27" s="94"/>
      <c r="V27" s="113"/>
      <c r="W27" s="113"/>
      <c r="X27" s="71"/>
      <c r="Y27" s="71"/>
      <c r="Z27" s="71"/>
      <c r="AA27" s="71"/>
      <c r="AB27" s="71"/>
      <c r="AC27" s="71"/>
      <c r="AD27" s="71"/>
      <c r="AE27" s="181"/>
      <c r="AF27" s="71"/>
      <c r="AG27" s="71"/>
    </row>
    <row r="28" spans="1:33" ht="15.5" x14ac:dyDescent="0.35">
      <c r="A28" s="94" t="s">
        <v>84</v>
      </c>
      <c r="B28" s="94"/>
      <c r="C28" s="94"/>
      <c r="D28" s="94"/>
      <c r="E28" s="94"/>
      <c r="F28" s="94"/>
      <c r="G28" s="94"/>
      <c r="H28" s="94"/>
      <c r="I28" s="94"/>
      <c r="J28" s="94"/>
      <c r="K28" s="94"/>
      <c r="L28" s="94"/>
      <c r="M28" s="94"/>
      <c r="N28" s="94"/>
      <c r="O28" s="94"/>
      <c r="P28" s="94"/>
      <c r="Q28" s="94"/>
      <c r="R28" s="94"/>
      <c r="S28" s="94"/>
      <c r="T28" s="94"/>
      <c r="U28" s="94"/>
      <c r="V28" s="113"/>
      <c r="W28" s="113"/>
      <c r="X28" s="96"/>
      <c r="Y28" s="96"/>
      <c r="Z28" s="96"/>
      <c r="AA28" s="96"/>
      <c r="AB28" s="96"/>
      <c r="AC28" s="96"/>
      <c r="AD28" s="96"/>
      <c r="AE28" s="181"/>
      <c r="AF28" s="71"/>
      <c r="AG28" s="71"/>
    </row>
  </sheetData>
  <mergeCells count="11">
    <mergeCell ref="A21:AG21"/>
    <mergeCell ref="A23:T23"/>
    <mergeCell ref="A1:AF1"/>
    <mergeCell ref="B3:E3"/>
    <mergeCell ref="F3:I3"/>
    <mergeCell ref="J3:M3"/>
    <mergeCell ref="N3:Q3"/>
    <mergeCell ref="R3:U3"/>
    <mergeCell ref="V3:Y3"/>
    <mergeCell ref="Z3:AC3"/>
    <mergeCell ref="AD3:AG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FA83B9-2EFB-4067-825E-D38C62DF9CE0}">
  <dimension ref="A1"/>
  <sheetViews>
    <sheetView workbookViewId="0">
      <selection activeCell="L26" sqref="L26"/>
    </sheetView>
  </sheetViews>
  <sheetFormatPr defaultRowHeight="14.5" x14ac:dyDescent="0.3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7C39F5-E730-49E5-9A80-023FBCFE4955}">
  <dimension ref="A1:AG29"/>
  <sheetViews>
    <sheetView tabSelected="1" topLeftCell="A3" zoomScale="90" zoomScaleNormal="90" workbookViewId="0">
      <selection activeCell="A29" sqref="A29:XFD29"/>
    </sheetView>
  </sheetViews>
  <sheetFormatPr defaultRowHeight="14.5" x14ac:dyDescent="0.35"/>
  <cols>
    <col min="4" max="5" width="5.1796875" customWidth="1"/>
    <col min="8" max="9" width="5.1796875" customWidth="1"/>
    <col min="11" max="11" width="9.453125" bestFit="1" customWidth="1"/>
    <col min="12" max="13" width="5.1796875" customWidth="1"/>
    <col min="15" max="15" width="9.36328125" bestFit="1" customWidth="1"/>
    <col min="16" max="17" width="5.1796875" customWidth="1"/>
    <col min="20" max="21" width="5.1796875" customWidth="1"/>
    <col min="24" max="25" width="5.1796875" customWidth="1"/>
    <col min="28" max="29" width="5.1796875" customWidth="1"/>
    <col min="31" max="31" width="9.36328125" bestFit="1" customWidth="1"/>
    <col min="32" max="33" width="5.1796875" customWidth="1"/>
  </cols>
  <sheetData>
    <row r="1" spans="1:33" ht="20" x14ac:dyDescent="0.4">
      <c r="A1" s="245" t="s">
        <v>85</v>
      </c>
      <c r="B1" s="245"/>
      <c r="C1" s="245"/>
      <c r="D1" s="245"/>
      <c r="E1" s="245"/>
      <c r="F1" s="245"/>
      <c r="G1" s="245"/>
      <c r="H1" s="245"/>
      <c r="I1" s="245"/>
      <c r="J1" s="245"/>
      <c r="K1" s="245"/>
      <c r="L1" s="245"/>
      <c r="M1" s="245"/>
      <c r="N1" s="245"/>
      <c r="O1" s="245"/>
      <c r="P1" s="245"/>
      <c r="Q1" s="245"/>
      <c r="R1" s="245"/>
      <c r="S1" s="245"/>
      <c r="T1" s="245"/>
      <c r="U1" s="245"/>
      <c r="V1" s="245"/>
      <c r="W1" s="245"/>
      <c r="X1" s="245"/>
      <c r="Y1" s="245"/>
      <c r="Z1" s="245"/>
      <c r="AA1" s="245"/>
      <c r="AB1" s="245"/>
      <c r="AC1" s="245"/>
      <c r="AD1" s="245"/>
      <c r="AE1" s="245"/>
      <c r="AF1" s="245"/>
      <c r="AG1" s="50"/>
    </row>
    <row r="2" spans="1:33" ht="15" thickBot="1" x14ac:dyDescent="0.4">
      <c r="A2" s="50"/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0"/>
      <c r="T2" s="50"/>
      <c r="U2" s="50"/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</row>
    <row r="3" spans="1:33" x14ac:dyDescent="0.35">
      <c r="A3" s="44" t="s">
        <v>9</v>
      </c>
      <c r="B3" s="246" t="s">
        <v>0</v>
      </c>
      <c r="C3" s="247"/>
      <c r="D3" s="247"/>
      <c r="E3" s="248"/>
      <c r="F3" s="246" t="s">
        <v>46</v>
      </c>
      <c r="G3" s="247"/>
      <c r="H3" s="247"/>
      <c r="I3" s="248"/>
      <c r="J3" s="246" t="s">
        <v>1</v>
      </c>
      <c r="K3" s="247"/>
      <c r="L3" s="247"/>
      <c r="M3" s="248"/>
      <c r="N3" s="246" t="s">
        <v>2</v>
      </c>
      <c r="O3" s="247"/>
      <c r="P3" s="247"/>
      <c r="Q3" s="248"/>
      <c r="R3" s="246" t="s">
        <v>3</v>
      </c>
      <c r="S3" s="247"/>
      <c r="T3" s="247"/>
      <c r="U3" s="248"/>
      <c r="V3" s="246" t="s">
        <v>5</v>
      </c>
      <c r="W3" s="247"/>
      <c r="X3" s="247"/>
      <c r="Y3" s="248"/>
      <c r="Z3" s="246" t="s">
        <v>4</v>
      </c>
      <c r="AA3" s="247"/>
      <c r="AB3" s="247"/>
      <c r="AC3" s="248"/>
      <c r="AD3" s="249" t="s">
        <v>12</v>
      </c>
      <c r="AE3" s="249"/>
      <c r="AF3" s="249"/>
      <c r="AG3" s="250"/>
    </row>
    <row r="4" spans="1:33" ht="15" thickBot="1" x14ac:dyDescent="0.4">
      <c r="A4" s="45" t="s">
        <v>10</v>
      </c>
      <c r="B4" s="46" t="s">
        <v>34</v>
      </c>
      <c r="C4" s="46" t="s">
        <v>47</v>
      </c>
      <c r="D4" s="46" t="s">
        <v>48</v>
      </c>
      <c r="E4" s="46" t="s">
        <v>18</v>
      </c>
      <c r="F4" s="46" t="s">
        <v>34</v>
      </c>
      <c r="G4" s="46" t="s">
        <v>47</v>
      </c>
      <c r="H4" s="46" t="s">
        <v>48</v>
      </c>
      <c r="I4" s="46" t="s">
        <v>18</v>
      </c>
      <c r="J4" s="46" t="s">
        <v>34</v>
      </c>
      <c r="K4" s="46" t="s">
        <v>47</v>
      </c>
      <c r="L4" s="46" t="s">
        <v>48</v>
      </c>
      <c r="M4" s="46" t="s">
        <v>18</v>
      </c>
      <c r="N4" s="46" t="s">
        <v>34</v>
      </c>
      <c r="O4" s="46" t="s">
        <v>47</v>
      </c>
      <c r="P4" s="46" t="s">
        <v>48</v>
      </c>
      <c r="Q4" s="46" t="s">
        <v>18</v>
      </c>
      <c r="R4" s="46" t="s">
        <v>34</v>
      </c>
      <c r="S4" s="46" t="s">
        <v>47</v>
      </c>
      <c r="T4" s="46" t="s">
        <v>48</v>
      </c>
      <c r="U4" s="46" t="s">
        <v>18</v>
      </c>
      <c r="V4" s="46" t="s">
        <v>34</v>
      </c>
      <c r="W4" s="46" t="s">
        <v>47</v>
      </c>
      <c r="X4" s="46" t="s">
        <v>48</v>
      </c>
      <c r="Y4" s="46" t="s">
        <v>18</v>
      </c>
      <c r="Z4" s="46" t="s">
        <v>34</v>
      </c>
      <c r="AA4" s="46" t="s">
        <v>47</v>
      </c>
      <c r="AB4" s="46" t="s">
        <v>48</v>
      </c>
      <c r="AC4" s="46" t="s">
        <v>18</v>
      </c>
      <c r="AD4" s="46" t="s">
        <v>35</v>
      </c>
      <c r="AE4" s="46" t="s">
        <v>36</v>
      </c>
      <c r="AF4" s="46" t="s">
        <v>48</v>
      </c>
      <c r="AG4" s="47" t="s">
        <v>18</v>
      </c>
    </row>
    <row r="5" spans="1:33" x14ac:dyDescent="0.35">
      <c r="A5" s="121">
        <v>45992</v>
      </c>
      <c r="B5" s="225">
        <v>252444.87</v>
      </c>
      <c r="C5" s="226">
        <v>3386027</v>
      </c>
      <c r="D5" s="227">
        <v>7.4554889845828161</v>
      </c>
      <c r="E5" s="190">
        <v>8.266416360399309E-2</v>
      </c>
      <c r="F5" s="191">
        <v>200976.29</v>
      </c>
      <c r="G5" s="192">
        <v>2689968</v>
      </c>
      <c r="H5" s="193">
        <v>7.4713264247009636</v>
      </c>
      <c r="I5" s="195">
        <v>6.3219932143988355E-2</v>
      </c>
      <c r="J5" s="225">
        <v>1388730.93</v>
      </c>
      <c r="K5" s="228">
        <v>18912991.75</v>
      </c>
      <c r="L5" s="227">
        <v>7.3427353448721293</v>
      </c>
      <c r="M5" s="195">
        <v>1.7929452968982629E-2</v>
      </c>
      <c r="N5" s="225">
        <v>93931.96</v>
      </c>
      <c r="O5" s="228">
        <v>3072028</v>
      </c>
      <c r="P5" s="227">
        <v>3.0576531203491637</v>
      </c>
      <c r="Q5" s="195">
        <v>2.571498990658716E-2</v>
      </c>
      <c r="R5" s="225">
        <v>251290.87</v>
      </c>
      <c r="S5" s="228">
        <v>3379872</v>
      </c>
      <c r="T5" s="227">
        <v>7.4349226834625695</v>
      </c>
      <c r="U5" s="195">
        <v>-2.8180807202137004E-2</v>
      </c>
      <c r="V5" s="225">
        <v>202321.03</v>
      </c>
      <c r="W5" s="228">
        <v>5977630.04</v>
      </c>
      <c r="X5" s="227">
        <v>3.3846361960533775</v>
      </c>
      <c r="Y5" s="196">
        <v>-4.363135210445479E-2</v>
      </c>
      <c r="Z5" s="225">
        <v>97697.05</v>
      </c>
      <c r="AA5" s="228">
        <v>879931</v>
      </c>
      <c r="AB5" s="227">
        <v>11.102808061086607</v>
      </c>
      <c r="AC5" s="195">
        <v>2.9676277322995492E-2</v>
      </c>
      <c r="AD5" s="225">
        <v>2487392.9999999995</v>
      </c>
      <c r="AE5" s="228">
        <v>38298447.789999999</v>
      </c>
      <c r="AF5" s="227">
        <v>6.4947619121250018</v>
      </c>
      <c r="AG5" s="218"/>
    </row>
    <row r="6" spans="1:33" x14ac:dyDescent="0.35">
      <c r="A6" s="233">
        <v>46023</v>
      </c>
      <c r="B6" s="143">
        <v>294859.23</v>
      </c>
      <c r="C6" s="144">
        <v>3910249</v>
      </c>
      <c r="D6" s="219">
        <f t="shared" ref="D6:D8" si="0">B6/C6*100</f>
        <v>7.5406765656100161</v>
      </c>
      <c r="E6" s="149">
        <f t="shared" ref="E6:E8" si="1">D6/D5-1</f>
        <v>1.1426156111739916E-2</v>
      </c>
      <c r="F6" s="220">
        <v>196128.54</v>
      </c>
      <c r="G6" s="221">
        <v>2379240</v>
      </c>
      <c r="H6" s="222">
        <f t="shared" ref="H6:H8" si="2">F6/G6*100</f>
        <v>8.2433272809804805</v>
      </c>
      <c r="I6" s="149">
        <f t="shared" ref="I6:I8" si="3">H6/H5-1</f>
        <v>0.10332848712474996</v>
      </c>
      <c r="J6" s="151">
        <v>1588028.46</v>
      </c>
      <c r="K6" s="147">
        <v>20636083.489999998</v>
      </c>
      <c r="L6" s="153">
        <f t="shared" ref="L6:L8" si="4">J6/K6*100</f>
        <v>7.6953965648062033</v>
      </c>
      <c r="M6" s="149">
        <f t="shared" ref="M6:M8" si="5">L6/L5-1</f>
        <v>4.8028589261406296E-2</v>
      </c>
      <c r="N6" s="143">
        <v>66911.73</v>
      </c>
      <c r="O6" s="147">
        <v>1998698</v>
      </c>
      <c r="P6" s="153">
        <f t="shared" ref="P6:P8" si="6">N6/O6*100</f>
        <v>3.3477658955980343</v>
      </c>
      <c r="Q6" s="149">
        <f t="shared" ref="Q6:Q8" si="7">P6/P5-1</f>
        <v>9.4880865758814936E-2</v>
      </c>
      <c r="R6" s="143">
        <v>304343.52</v>
      </c>
      <c r="S6" s="147">
        <v>3978933</v>
      </c>
      <c r="T6" s="153">
        <f t="shared" ref="T6:T8" si="8">R6/S6*100</f>
        <v>7.6488727002942749</v>
      </c>
      <c r="U6" s="149">
        <f t="shared" ref="U6:U8" si="9">T6/T5-1</f>
        <v>2.8776360688671732E-2</v>
      </c>
      <c r="V6" s="143">
        <v>284864.93</v>
      </c>
      <c r="W6" s="147">
        <v>7899063.4299999997</v>
      </c>
      <c r="X6" s="153">
        <f t="shared" ref="X6:X8" si="10">V6/W6*100</f>
        <v>3.6063127296599009</v>
      </c>
      <c r="Y6" s="223">
        <f t="shared" ref="Y6:Y8" si="11">X6/X5-1</f>
        <v>6.549493675716378E-2</v>
      </c>
      <c r="Z6" s="151">
        <v>124908.22</v>
      </c>
      <c r="AA6" s="147">
        <v>1007535</v>
      </c>
      <c r="AB6" s="153">
        <f t="shared" ref="AB6:AB8" si="12">Z6/AA6*100</f>
        <v>12.397407534229581</v>
      </c>
      <c r="AC6" s="149">
        <f t="shared" ref="AC6:AC8" si="13">AB6/AB5-1</f>
        <v>0.11660108560106686</v>
      </c>
      <c r="AD6" s="143">
        <f t="shared" ref="AD6:AE8" si="14">B6+F6+J6+N6+R6+V6+Z6</f>
        <v>2860044.6300000004</v>
      </c>
      <c r="AE6" s="147">
        <f t="shared" si="14"/>
        <v>41809801.920000002</v>
      </c>
      <c r="AF6" s="153">
        <f t="shared" ref="AF6:AF8" si="15">AD6/AE6*100</f>
        <v>6.840607940387966</v>
      </c>
      <c r="AG6" s="224">
        <f t="shared" ref="AG6:AG8" si="16">AF6/AF5-1</f>
        <v>5.3249993293412068E-2</v>
      </c>
    </row>
    <row r="7" spans="1:33" x14ac:dyDescent="0.35">
      <c r="A7" s="233">
        <v>46054</v>
      </c>
      <c r="B7" s="143">
        <v>245446.82</v>
      </c>
      <c r="C7" s="144">
        <v>3126388</v>
      </c>
      <c r="D7" s="219">
        <f t="shared" si="0"/>
        <v>7.8508112236868879</v>
      </c>
      <c r="E7" s="149">
        <f t="shared" si="1"/>
        <v>4.1128227073319978E-2</v>
      </c>
      <c r="F7" s="146">
        <v>174143.04</v>
      </c>
      <c r="G7" s="147">
        <v>2110460</v>
      </c>
      <c r="H7" s="222">
        <f t="shared" si="2"/>
        <v>8.2514257555224937</v>
      </c>
      <c r="I7" s="149">
        <f t="shared" si="3"/>
        <v>9.8242787966196232E-4</v>
      </c>
      <c r="J7" s="150">
        <v>1673313.09</v>
      </c>
      <c r="K7" s="147">
        <v>21588511.52</v>
      </c>
      <c r="L7" s="153">
        <f t="shared" si="4"/>
        <v>7.7509423864160878</v>
      </c>
      <c r="M7" s="149">
        <f t="shared" si="5"/>
        <v>7.2180583732248671E-3</v>
      </c>
      <c r="N7" s="143">
        <v>75777.289999999994</v>
      </c>
      <c r="O7" s="147">
        <v>1845346</v>
      </c>
      <c r="P7" s="153">
        <f t="shared" si="6"/>
        <v>4.1064001005773436</v>
      </c>
      <c r="Q7" s="149">
        <f t="shared" si="7"/>
        <v>0.22660909652518857</v>
      </c>
      <c r="R7" s="143">
        <v>320126.21999999997</v>
      </c>
      <c r="S7" s="147">
        <v>4237418</v>
      </c>
      <c r="T7" s="153">
        <f t="shared" si="8"/>
        <v>7.5547472541061564</v>
      </c>
      <c r="U7" s="149">
        <f t="shared" si="9"/>
        <v>-1.2305793268659992E-2</v>
      </c>
      <c r="V7" s="143">
        <v>313409.27</v>
      </c>
      <c r="W7" s="147">
        <v>7917674.8200000003</v>
      </c>
      <c r="X7" s="153">
        <f t="shared" si="10"/>
        <v>3.958349858071085</v>
      </c>
      <c r="Y7" s="223">
        <f t="shared" si="11"/>
        <v>9.7616916446506607E-2</v>
      </c>
      <c r="Z7" s="151">
        <v>122629.2</v>
      </c>
      <c r="AA7" s="147">
        <v>882442</v>
      </c>
      <c r="AB7" s="153">
        <f t="shared" si="12"/>
        <v>13.896573372527598</v>
      </c>
      <c r="AC7" s="149">
        <f t="shared" si="13"/>
        <v>0.12092575275587092</v>
      </c>
      <c r="AD7" s="143">
        <f t="shared" si="14"/>
        <v>2924844.93</v>
      </c>
      <c r="AE7" s="147">
        <f t="shared" si="14"/>
        <v>41708240.340000004</v>
      </c>
      <c r="AF7" s="153">
        <f t="shared" si="15"/>
        <v>7.0126308522178231</v>
      </c>
      <c r="AG7" s="224">
        <f t="shared" si="16"/>
        <v>2.5147313415553096E-2</v>
      </c>
    </row>
    <row r="8" spans="1:33" x14ac:dyDescent="0.35">
      <c r="A8" s="234">
        <v>46082</v>
      </c>
      <c r="B8" s="242">
        <v>358203.61</v>
      </c>
      <c r="C8" s="238">
        <v>4174134</v>
      </c>
      <c r="D8" s="239">
        <f t="shared" si="0"/>
        <v>8.5815072060456128</v>
      </c>
      <c r="E8" s="235">
        <f t="shared" si="1"/>
        <v>9.3072672560782443E-2</v>
      </c>
      <c r="F8" s="243">
        <v>269784.09000000003</v>
      </c>
      <c r="G8" s="244">
        <v>3271468</v>
      </c>
      <c r="H8" s="240">
        <f t="shared" si="2"/>
        <v>8.2465758491295045</v>
      </c>
      <c r="I8" s="235">
        <f t="shared" si="3"/>
        <v>-5.8776586455300261E-4</v>
      </c>
      <c r="J8" s="241">
        <v>2045370.8</v>
      </c>
      <c r="K8" s="161">
        <v>23779209.219999999</v>
      </c>
      <c r="L8" s="165">
        <f t="shared" si="4"/>
        <v>8.6015089109006126</v>
      </c>
      <c r="M8" s="235">
        <f t="shared" si="5"/>
        <v>0.1097371754401355</v>
      </c>
      <c r="N8" s="162">
        <v>160735.67000000001</v>
      </c>
      <c r="O8" s="161">
        <v>3994024</v>
      </c>
      <c r="P8" s="165">
        <f t="shared" si="6"/>
        <v>4.0244042098895756</v>
      </c>
      <c r="Q8" s="235">
        <f t="shared" si="7"/>
        <v>-1.996782794648766E-2</v>
      </c>
      <c r="R8" s="162">
        <v>380852.69</v>
      </c>
      <c r="S8" s="161">
        <v>4423448</v>
      </c>
      <c r="T8" s="165">
        <f t="shared" si="8"/>
        <v>8.6098602266828959</v>
      </c>
      <c r="U8" s="235">
        <f t="shared" si="9"/>
        <v>0.13966224641112435</v>
      </c>
      <c r="V8" s="162">
        <v>291399.03000000003</v>
      </c>
      <c r="W8" s="161">
        <v>8185574.8300000001</v>
      </c>
      <c r="X8" s="165">
        <f t="shared" si="10"/>
        <v>3.5599091823341138</v>
      </c>
      <c r="Y8" s="236">
        <f t="shared" si="11"/>
        <v>-0.10065827681313966</v>
      </c>
      <c r="Z8" s="241">
        <v>131338.26999999999</v>
      </c>
      <c r="AA8" s="161">
        <v>843136</v>
      </c>
      <c r="AB8" s="165">
        <f t="shared" si="12"/>
        <v>15.577352882571732</v>
      </c>
      <c r="AC8" s="235">
        <f t="shared" si="13"/>
        <v>0.12094920560538314</v>
      </c>
      <c r="AD8" s="162">
        <f t="shared" si="14"/>
        <v>3637684.1599999997</v>
      </c>
      <c r="AE8" s="161">
        <f t="shared" si="14"/>
        <v>48670994.049999997</v>
      </c>
      <c r="AF8" s="165">
        <f t="shared" si="15"/>
        <v>7.474028897505125</v>
      </c>
      <c r="AG8" s="237">
        <f t="shared" si="16"/>
        <v>6.5795284966608358E-2</v>
      </c>
    </row>
    <row r="9" spans="1:33" x14ac:dyDescent="0.35">
      <c r="A9" s="233">
        <v>46113</v>
      </c>
      <c r="B9" s="143"/>
      <c r="C9" s="154"/>
      <c r="D9" s="219"/>
      <c r="E9" s="149"/>
      <c r="F9" s="133"/>
      <c r="G9" s="134"/>
      <c r="H9" s="222"/>
      <c r="I9" s="149"/>
      <c r="J9" s="151"/>
      <c r="K9" s="147"/>
      <c r="L9" s="153"/>
      <c r="M9" s="149"/>
      <c r="N9" s="143"/>
      <c r="O9" s="147"/>
      <c r="P9" s="153"/>
      <c r="Q9" s="149"/>
      <c r="R9" s="143"/>
      <c r="S9" s="147"/>
      <c r="T9" s="153"/>
      <c r="U9" s="149"/>
      <c r="V9" s="143"/>
      <c r="W9" s="147"/>
      <c r="X9" s="153"/>
      <c r="Y9" s="223"/>
      <c r="Z9" s="151"/>
      <c r="AA9" s="147"/>
      <c r="AB9" s="153"/>
      <c r="AC9" s="149"/>
      <c r="AD9" s="143"/>
      <c r="AE9" s="147"/>
      <c r="AF9" s="153"/>
      <c r="AG9" s="224"/>
    </row>
    <row r="10" spans="1:33" x14ac:dyDescent="0.35">
      <c r="A10" s="233">
        <v>46143</v>
      </c>
      <c r="B10" s="150"/>
      <c r="C10" s="147"/>
      <c r="D10" s="145"/>
      <c r="E10" s="149"/>
      <c r="F10" s="146"/>
      <c r="G10" s="147"/>
      <c r="H10" s="148"/>
      <c r="I10" s="149"/>
      <c r="J10" s="150"/>
      <c r="K10" s="147"/>
      <c r="L10" s="141"/>
      <c r="M10" s="149"/>
      <c r="N10" s="143"/>
      <c r="O10" s="147"/>
      <c r="P10" s="141"/>
      <c r="Q10" s="149"/>
      <c r="R10" s="143"/>
      <c r="S10" s="147"/>
      <c r="T10" s="141"/>
      <c r="U10" s="149"/>
      <c r="V10" s="143"/>
      <c r="W10" s="147"/>
      <c r="X10" s="141"/>
      <c r="Y10" s="223"/>
      <c r="Z10" s="150"/>
      <c r="AA10" s="147"/>
      <c r="AB10" s="141"/>
      <c r="AC10" s="149"/>
      <c r="AD10" s="139"/>
      <c r="AE10" s="140"/>
      <c r="AF10" s="141"/>
      <c r="AG10" s="224"/>
    </row>
    <row r="11" spans="1:33" x14ac:dyDescent="0.35">
      <c r="A11" s="233">
        <v>46174</v>
      </c>
      <c r="B11" s="143"/>
      <c r="C11" s="147"/>
      <c r="D11" s="145"/>
      <c r="E11" s="149"/>
      <c r="F11" s="133"/>
      <c r="G11" s="134"/>
      <c r="H11" s="148"/>
      <c r="I11" s="149"/>
      <c r="J11" s="151"/>
      <c r="K11" s="147"/>
      <c r="L11" s="141"/>
      <c r="M11" s="149"/>
      <c r="N11" s="143"/>
      <c r="O11" s="147"/>
      <c r="P11" s="141"/>
      <c r="Q11" s="149"/>
      <c r="R11" s="143"/>
      <c r="S11" s="147"/>
      <c r="T11" s="141"/>
      <c r="U11" s="149"/>
      <c r="V11" s="143"/>
      <c r="W11" s="147"/>
      <c r="X11" s="141"/>
      <c r="Y11" s="223"/>
      <c r="Z11" s="151"/>
      <c r="AA11" s="147"/>
      <c r="AB11" s="141"/>
      <c r="AC11" s="149"/>
      <c r="AD11" s="152"/>
      <c r="AE11" s="140"/>
      <c r="AF11" s="153"/>
      <c r="AG11" s="224"/>
    </row>
    <row r="12" spans="1:33" x14ac:dyDescent="0.35">
      <c r="A12" s="233">
        <v>46204</v>
      </c>
      <c r="B12" s="143"/>
      <c r="C12" s="147"/>
      <c r="D12" s="145"/>
      <c r="E12" s="149"/>
      <c r="F12" s="133"/>
      <c r="G12" s="134"/>
      <c r="H12" s="148"/>
      <c r="I12" s="149"/>
      <c r="J12" s="151"/>
      <c r="K12" s="154"/>
      <c r="L12" s="153"/>
      <c r="M12" s="149"/>
      <c r="N12" s="143"/>
      <c r="O12" s="147"/>
      <c r="P12" s="153"/>
      <c r="Q12" s="149"/>
      <c r="R12" s="143"/>
      <c r="S12" s="147"/>
      <c r="T12" s="141"/>
      <c r="U12" s="149"/>
      <c r="V12" s="143"/>
      <c r="W12" s="147"/>
      <c r="X12" s="141"/>
      <c r="Y12" s="223"/>
      <c r="Z12" s="151"/>
      <c r="AA12" s="147"/>
      <c r="AB12" s="153"/>
      <c r="AC12" s="149"/>
      <c r="AD12" s="152"/>
      <c r="AE12" s="140"/>
      <c r="AF12" s="153"/>
      <c r="AG12" s="224"/>
    </row>
    <row r="13" spans="1:33" x14ac:dyDescent="0.35">
      <c r="A13" s="233">
        <v>46235</v>
      </c>
      <c r="B13" s="143"/>
      <c r="C13" s="147"/>
      <c r="D13" s="145"/>
      <c r="E13" s="149"/>
      <c r="F13" s="143"/>
      <c r="G13" s="147"/>
      <c r="H13" s="148"/>
      <c r="I13" s="149"/>
      <c r="J13" s="143"/>
      <c r="K13" s="147"/>
      <c r="L13" s="153"/>
      <c r="M13" s="149"/>
      <c r="N13" s="143"/>
      <c r="O13" s="147"/>
      <c r="P13" s="153"/>
      <c r="Q13" s="149"/>
      <c r="R13" s="143"/>
      <c r="S13" s="147"/>
      <c r="T13" s="141"/>
      <c r="U13" s="149"/>
      <c r="V13" s="143"/>
      <c r="W13" s="147"/>
      <c r="X13" s="141"/>
      <c r="Y13" s="223"/>
      <c r="Z13" s="143"/>
      <c r="AA13" s="147"/>
      <c r="AB13" s="153"/>
      <c r="AC13" s="149"/>
      <c r="AD13" s="143"/>
      <c r="AE13" s="147"/>
      <c r="AF13" s="153"/>
      <c r="AG13" s="224"/>
    </row>
    <row r="14" spans="1:33" x14ac:dyDescent="0.35">
      <c r="A14" s="233">
        <v>46266</v>
      </c>
      <c r="B14" s="143"/>
      <c r="C14" s="147"/>
      <c r="D14" s="145"/>
      <c r="E14" s="149"/>
      <c r="F14" s="133"/>
      <c r="G14" s="134"/>
      <c r="H14" s="148"/>
      <c r="I14" s="149"/>
      <c r="J14" s="151"/>
      <c r="K14" s="147"/>
      <c r="L14" s="153"/>
      <c r="M14" s="149"/>
      <c r="N14" s="143"/>
      <c r="O14" s="147"/>
      <c r="P14" s="153"/>
      <c r="Q14" s="149"/>
      <c r="R14" s="143"/>
      <c r="S14" s="147"/>
      <c r="T14" s="141"/>
      <c r="U14" s="149"/>
      <c r="V14" s="143"/>
      <c r="W14" s="147"/>
      <c r="X14" s="153"/>
      <c r="Y14" s="223"/>
      <c r="Z14" s="143"/>
      <c r="AA14" s="147"/>
      <c r="AB14" s="153"/>
      <c r="AC14" s="149"/>
      <c r="AD14" s="152"/>
      <c r="AE14" s="140"/>
      <c r="AF14" s="153"/>
      <c r="AG14" s="224"/>
    </row>
    <row r="15" spans="1:33" x14ac:dyDescent="0.35">
      <c r="A15" s="233">
        <v>46296</v>
      </c>
      <c r="B15" s="143"/>
      <c r="C15" s="147"/>
      <c r="D15" s="145"/>
      <c r="E15" s="149"/>
      <c r="F15" s="133"/>
      <c r="G15" s="134"/>
      <c r="H15" s="148"/>
      <c r="I15" s="149"/>
      <c r="J15" s="151"/>
      <c r="K15" s="147"/>
      <c r="L15" s="175"/>
      <c r="M15" s="149"/>
      <c r="N15" s="143"/>
      <c r="O15" s="147"/>
      <c r="P15" s="153"/>
      <c r="Q15" s="149"/>
      <c r="R15" s="143"/>
      <c r="S15" s="147"/>
      <c r="T15" s="141"/>
      <c r="U15" s="149"/>
      <c r="V15" s="143"/>
      <c r="W15" s="147"/>
      <c r="X15" s="153"/>
      <c r="Y15" s="223"/>
      <c r="Z15" s="143"/>
      <c r="AA15" s="147"/>
      <c r="AB15" s="153"/>
      <c r="AC15" s="149"/>
      <c r="AD15" s="152"/>
      <c r="AE15" s="140"/>
      <c r="AF15" s="153"/>
      <c r="AG15" s="224"/>
    </row>
    <row r="16" spans="1:33" x14ac:dyDescent="0.35">
      <c r="A16" s="233">
        <v>46327</v>
      </c>
      <c r="B16" s="143"/>
      <c r="C16" s="147"/>
      <c r="D16" s="145"/>
      <c r="E16" s="149"/>
      <c r="F16" s="155"/>
      <c r="G16" s="134"/>
      <c r="H16" s="148"/>
      <c r="I16" s="149"/>
      <c r="J16" s="143"/>
      <c r="K16" s="147"/>
      <c r="L16" s="153"/>
      <c r="M16" s="149"/>
      <c r="N16" s="143"/>
      <c r="O16" s="147"/>
      <c r="P16" s="153"/>
      <c r="Q16" s="149"/>
      <c r="R16" s="143"/>
      <c r="S16" s="147"/>
      <c r="T16" s="141"/>
      <c r="U16" s="149"/>
      <c r="V16" s="143"/>
      <c r="W16" s="147"/>
      <c r="X16" s="153"/>
      <c r="Y16" s="223"/>
      <c r="Z16" s="143"/>
      <c r="AA16" s="147"/>
      <c r="AB16" s="153"/>
      <c r="AC16" s="149"/>
      <c r="AD16" s="152"/>
      <c r="AE16" s="140"/>
      <c r="AF16" s="153"/>
      <c r="AG16" s="224"/>
    </row>
    <row r="17" spans="1:33" x14ac:dyDescent="0.35">
      <c r="A17" s="233">
        <v>46357</v>
      </c>
      <c r="B17" s="143"/>
      <c r="C17" s="147"/>
      <c r="D17" s="145"/>
      <c r="E17" s="149"/>
      <c r="F17" s="155"/>
      <c r="G17" s="140"/>
      <c r="H17" s="148"/>
      <c r="I17" s="149"/>
      <c r="J17" s="143"/>
      <c r="K17" s="147"/>
      <c r="L17" s="153"/>
      <c r="M17" s="149"/>
      <c r="N17" s="143"/>
      <c r="O17" s="147"/>
      <c r="P17" s="153"/>
      <c r="Q17" s="149"/>
      <c r="R17" s="143"/>
      <c r="S17" s="147"/>
      <c r="T17" s="153"/>
      <c r="U17" s="149"/>
      <c r="V17" s="143"/>
      <c r="W17" s="147"/>
      <c r="X17" s="153"/>
      <c r="Y17" s="223"/>
      <c r="Z17" s="143"/>
      <c r="AA17" s="147"/>
      <c r="AB17" s="153"/>
      <c r="AC17" s="149"/>
      <c r="AD17" s="143"/>
      <c r="AE17" s="140"/>
      <c r="AF17" s="153"/>
      <c r="AG17" s="224"/>
    </row>
    <row r="18" spans="1:33" x14ac:dyDescent="0.35">
      <c r="A18" s="177" t="s">
        <v>17</v>
      </c>
      <c r="B18" s="152"/>
      <c r="C18" s="147"/>
      <c r="D18" s="152"/>
      <c r="E18" s="152"/>
      <c r="F18" s="152"/>
      <c r="G18" s="147"/>
      <c r="H18" s="152"/>
      <c r="I18" s="152"/>
      <c r="J18" s="152"/>
      <c r="K18" s="147"/>
      <c r="L18" s="152"/>
      <c r="M18" s="152"/>
      <c r="N18" s="152"/>
      <c r="O18" s="147"/>
      <c r="P18" s="152"/>
      <c r="Q18" s="152"/>
      <c r="R18" s="152"/>
      <c r="S18" s="147"/>
      <c r="T18" s="152"/>
      <c r="U18" s="152"/>
      <c r="V18" s="152"/>
      <c r="W18" s="147"/>
      <c r="X18" s="152"/>
      <c r="Y18" s="152"/>
      <c r="Z18" s="152"/>
      <c r="AA18" s="147"/>
      <c r="AB18" s="152"/>
      <c r="AC18" s="152"/>
      <c r="AD18" s="152"/>
      <c r="AE18" s="147"/>
      <c r="AF18" s="152"/>
      <c r="AG18" s="180"/>
    </row>
    <row r="19" spans="1:33" ht="15" thickBot="1" x14ac:dyDescent="0.4">
      <c r="A19" s="166" t="s">
        <v>11</v>
      </c>
      <c r="B19" s="167">
        <f>AVERAGE(B6:B17)</f>
        <v>299503.22000000003</v>
      </c>
      <c r="C19" s="172">
        <f>AVERAGE(C6:C17)</f>
        <v>3736923.6666666665</v>
      </c>
      <c r="D19" s="229">
        <f>B19/C19*100</f>
        <v>8.0146999702339841</v>
      </c>
      <c r="E19" s="167"/>
      <c r="F19" s="167">
        <f t="shared" ref="F19:AE19" si="17">AVERAGE(F6:F17)</f>
        <v>213351.89</v>
      </c>
      <c r="G19" s="230">
        <f t="shared" si="17"/>
        <v>2587056</v>
      </c>
      <c r="H19" s="231">
        <f>F19/G19*100</f>
        <v>8.246898791522101</v>
      </c>
      <c r="I19" s="167"/>
      <c r="J19" s="167">
        <f t="shared" si="17"/>
        <v>1768904.1166666665</v>
      </c>
      <c r="K19" s="172">
        <f t="shared" si="17"/>
        <v>22001268.076666664</v>
      </c>
      <c r="L19" s="169">
        <f>J19/K19*100</f>
        <v>8.040009832627188</v>
      </c>
      <c r="M19" s="167"/>
      <c r="N19" s="167">
        <f t="shared" si="17"/>
        <v>101141.56333333334</v>
      </c>
      <c r="O19" s="172">
        <f t="shared" si="17"/>
        <v>2612689.3333333335</v>
      </c>
      <c r="P19" s="169">
        <f>N19/O19*100</f>
        <v>3.8711668487693656</v>
      </c>
      <c r="Q19" s="167"/>
      <c r="R19" s="167">
        <f t="shared" si="17"/>
        <v>335107.47666666663</v>
      </c>
      <c r="S19" s="172">
        <f t="shared" si="17"/>
        <v>4213266.333333333</v>
      </c>
      <c r="T19" s="169">
        <f>R19/S19*100</f>
        <v>7.9536267151083653</v>
      </c>
      <c r="U19" s="167"/>
      <c r="V19" s="167">
        <f t="shared" si="17"/>
        <v>296557.74333333335</v>
      </c>
      <c r="W19" s="172">
        <f t="shared" si="17"/>
        <v>8000771.0266666664</v>
      </c>
      <c r="X19" s="169">
        <f>V19/W19*100</f>
        <v>3.7066145543336115</v>
      </c>
      <c r="Y19" s="167"/>
      <c r="Z19" s="167">
        <f t="shared" si="17"/>
        <v>126291.89666666665</v>
      </c>
      <c r="AA19" s="172">
        <f t="shared" si="17"/>
        <v>911037.66666666663</v>
      </c>
      <c r="AB19" s="169">
        <f>Z19/AA19*100</f>
        <v>13.862423178258638</v>
      </c>
      <c r="AC19" s="167"/>
      <c r="AD19" s="167">
        <f t="shared" si="17"/>
        <v>3140857.9066666667</v>
      </c>
      <c r="AE19" s="172">
        <f t="shared" si="17"/>
        <v>44063012.103333332</v>
      </c>
      <c r="AF19" s="169">
        <f>AD19/AE19*100</f>
        <v>7.1281053126848386</v>
      </c>
      <c r="AG19" s="173"/>
    </row>
    <row r="20" spans="1:33" ht="15.5" x14ac:dyDescent="0.35">
      <c r="A20" s="41" t="s">
        <v>14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71"/>
      <c r="U20" s="71"/>
      <c r="V20" s="71"/>
      <c r="W20" s="71"/>
      <c r="X20" s="71"/>
      <c r="Y20" s="71"/>
      <c r="Z20" s="71"/>
      <c r="AA20" s="71"/>
      <c r="AB20" s="71"/>
      <c r="AC20" s="71"/>
      <c r="AD20" s="71"/>
      <c r="AE20" s="71"/>
      <c r="AF20" s="71"/>
      <c r="AG20" s="71"/>
    </row>
    <row r="21" spans="1:33" ht="15.5" x14ac:dyDescent="0.35">
      <c r="A21" s="41" t="s">
        <v>86</v>
      </c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41"/>
      <c r="AA21" s="41"/>
      <c r="AB21" s="41"/>
      <c r="AC21" s="41"/>
      <c r="AD21" s="41"/>
      <c r="AE21" s="41"/>
      <c r="AF21" s="41"/>
      <c r="AG21" s="41"/>
    </row>
    <row r="22" spans="1:33" ht="15.5" x14ac:dyDescent="0.35">
      <c r="A22" s="94" t="s">
        <v>90</v>
      </c>
      <c r="B22" s="94"/>
      <c r="C22" s="94"/>
      <c r="D22" s="94"/>
      <c r="E22" s="94"/>
      <c r="F22" s="94"/>
      <c r="G22" s="94"/>
      <c r="H22" s="94"/>
      <c r="I22" s="94"/>
      <c r="J22" s="94"/>
      <c r="K22" s="94"/>
      <c r="L22" s="94"/>
      <c r="M22" s="94"/>
      <c r="N22" s="94"/>
      <c r="O22" s="94"/>
      <c r="P22" s="94"/>
      <c r="Q22" s="94"/>
      <c r="R22" s="94"/>
      <c r="S22" s="94"/>
      <c r="T22" s="94"/>
      <c r="U22" s="96"/>
      <c r="V22" s="96"/>
      <c r="W22" s="71"/>
      <c r="X22" s="71"/>
      <c r="Y22" s="71"/>
      <c r="Z22" s="71"/>
      <c r="AA22" s="71"/>
      <c r="AB22" s="71"/>
      <c r="AC22" s="71"/>
      <c r="AD22" s="71"/>
      <c r="AE22" s="71"/>
      <c r="AF22" s="71"/>
      <c r="AG22" s="71"/>
    </row>
    <row r="23" spans="1:33" ht="15.5" x14ac:dyDescent="0.35">
      <c r="A23" s="94" t="s">
        <v>87</v>
      </c>
      <c r="B23" s="94"/>
      <c r="C23" s="94"/>
      <c r="D23" s="94"/>
      <c r="E23" s="94"/>
      <c r="F23" s="94"/>
      <c r="G23" s="94"/>
      <c r="H23" s="94"/>
      <c r="I23" s="94"/>
      <c r="J23" s="94"/>
      <c r="K23" s="94"/>
      <c r="L23" s="94"/>
      <c r="M23" s="94"/>
      <c r="N23" s="94"/>
      <c r="O23" s="94"/>
      <c r="P23" s="94"/>
      <c r="Q23" s="94"/>
      <c r="R23" s="94"/>
      <c r="S23" s="94"/>
      <c r="T23" s="94"/>
      <c r="U23" s="96"/>
      <c r="V23" s="96"/>
      <c r="W23" s="96"/>
      <c r="X23" s="71"/>
      <c r="Y23" s="71"/>
      <c r="Z23" s="71"/>
      <c r="AA23" s="71"/>
      <c r="AB23" s="71"/>
      <c r="AC23" s="71"/>
      <c r="AD23" s="71"/>
      <c r="AE23" s="71"/>
      <c r="AF23" s="71"/>
      <c r="AG23" s="71"/>
    </row>
    <row r="24" spans="1:33" ht="15.5" x14ac:dyDescent="0.35">
      <c r="A24" s="94" t="s">
        <v>91</v>
      </c>
      <c r="B24" s="94"/>
      <c r="C24" s="94"/>
      <c r="D24" s="94"/>
      <c r="E24" s="94"/>
      <c r="F24" s="94"/>
      <c r="G24" s="94"/>
      <c r="H24" s="94"/>
      <c r="I24" s="94"/>
      <c r="J24" s="94"/>
      <c r="K24" s="94"/>
      <c r="L24" s="94"/>
      <c r="M24" s="94"/>
      <c r="N24" s="94"/>
      <c r="O24" s="94"/>
      <c r="P24" s="94"/>
      <c r="Q24" s="94"/>
      <c r="R24" s="94"/>
      <c r="S24" s="94"/>
      <c r="T24" s="94"/>
      <c r="U24" s="94"/>
      <c r="V24" s="113"/>
      <c r="W24" s="113"/>
      <c r="X24" s="96"/>
      <c r="Y24" s="71"/>
      <c r="Z24" s="71"/>
      <c r="AA24" s="71"/>
      <c r="AB24" s="71"/>
      <c r="AC24" s="71"/>
      <c r="AD24" s="71"/>
      <c r="AE24" s="181"/>
      <c r="AF24" s="71"/>
      <c r="AG24" s="71"/>
    </row>
    <row r="25" spans="1:33" ht="15.5" x14ac:dyDescent="0.35">
      <c r="A25" s="94" t="s">
        <v>88</v>
      </c>
      <c r="B25" s="94"/>
      <c r="C25" s="94"/>
      <c r="D25" s="94"/>
      <c r="E25" s="94"/>
      <c r="F25" s="94"/>
      <c r="G25" s="94"/>
      <c r="H25" s="94"/>
      <c r="I25" s="94"/>
      <c r="J25" s="94"/>
      <c r="K25" s="94"/>
      <c r="L25" s="94"/>
      <c r="M25" s="94"/>
      <c r="N25" s="94"/>
      <c r="O25" s="94"/>
      <c r="P25" s="94"/>
      <c r="Q25" s="94"/>
      <c r="R25" s="94"/>
      <c r="S25" s="94"/>
      <c r="T25" s="94"/>
      <c r="U25" s="94"/>
      <c r="V25" s="113"/>
      <c r="W25" s="113"/>
      <c r="X25" s="71"/>
      <c r="Y25" s="71"/>
      <c r="Z25" s="71"/>
      <c r="AA25" s="71"/>
      <c r="AB25" s="71"/>
      <c r="AC25" s="71"/>
      <c r="AD25" s="71"/>
      <c r="AE25" s="181"/>
      <c r="AF25" s="71"/>
      <c r="AG25" s="71"/>
    </row>
    <row r="26" spans="1:33" ht="15.5" x14ac:dyDescent="0.35">
      <c r="A26" s="41" t="s">
        <v>92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2"/>
      <c r="W26" s="42"/>
      <c r="X26" s="71"/>
      <c r="Y26" s="71"/>
      <c r="Z26" s="71"/>
      <c r="AA26" s="71"/>
      <c r="AB26" s="71"/>
      <c r="AC26" s="71"/>
      <c r="AD26" s="71"/>
      <c r="AE26" s="182"/>
      <c r="AF26" s="71"/>
      <c r="AG26" s="71"/>
    </row>
    <row r="27" spans="1:33" ht="15.5" x14ac:dyDescent="0.35">
      <c r="A27" s="94" t="s">
        <v>89</v>
      </c>
      <c r="B27" s="94"/>
      <c r="C27" s="94"/>
      <c r="D27" s="94"/>
      <c r="E27" s="94"/>
      <c r="F27" s="94"/>
      <c r="G27" s="94"/>
      <c r="H27" s="94"/>
      <c r="I27" s="94"/>
      <c r="J27" s="94"/>
      <c r="K27" s="94"/>
      <c r="L27" s="94"/>
      <c r="M27" s="94"/>
      <c r="N27" s="94"/>
      <c r="O27" s="94"/>
      <c r="P27" s="94"/>
      <c r="Q27" s="94"/>
      <c r="R27" s="94"/>
      <c r="S27" s="94"/>
      <c r="T27" s="94"/>
      <c r="U27" s="94"/>
      <c r="V27" s="113"/>
      <c r="W27" s="113"/>
      <c r="X27" s="71"/>
      <c r="Y27" s="71"/>
      <c r="Z27" s="71"/>
      <c r="AA27" s="71"/>
      <c r="AB27" s="71"/>
      <c r="AC27" s="71"/>
      <c r="AD27" s="71"/>
      <c r="AE27" s="181"/>
      <c r="AF27" s="71"/>
      <c r="AG27" s="71"/>
    </row>
    <row r="29" spans="1:33" ht="15.5" x14ac:dyDescent="0.35">
      <c r="A29" s="94" t="s">
        <v>93</v>
      </c>
      <c r="B29" s="94"/>
      <c r="C29" s="94"/>
      <c r="D29" s="94"/>
      <c r="E29" s="94"/>
      <c r="F29" s="94"/>
      <c r="G29" s="94"/>
      <c r="H29" s="94"/>
      <c r="I29" s="94"/>
      <c r="J29" s="94"/>
      <c r="K29" s="94"/>
      <c r="L29" s="94"/>
      <c r="M29" s="94"/>
      <c r="N29" s="94"/>
      <c r="O29" s="94"/>
      <c r="P29" s="94"/>
      <c r="Q29" s="94"/>
      <c r="R29" s="94"/>
      <c r="S29" s="94"/>
      <c r="T29" s="94"/>
      <c r="U29" s="94"/>
      <c r="V29" s="113"/>
      <c r="W29" s="113"/>
      <c r="X29" s="96"/>
      <c r="Y29" s="96"/>
      <c r="Z29" s="96"/>
      <c r="AA29" s="96"/>
      <c r="AB29" s="96"/>
      <c r="AC29" s="96"/>
      <c r="AD29" s="96"/>
      <c r="AE29" s="181"/>
      <c r="AF29" s="71"/>
      <c r="AG29" s="71"/>
    </row>
  </sheetData>
  <mergeCells count="9">
    <mergeCell ref="A1:AF1"/>
    <mergeCell ref="B3:E3"/>
    <mergeCell ref="F3:I3"/>
    <mergeCell ref="J3:M3"/>
    <mergeCell ref="N3:Q3"/>
    <mergeCell ref="R3:U3"/>
    <mergeCell ref="V3:Y3"/>
    <mergeCell ref="Z3:AC3"/>
    <mergeCell ref="AD3:AG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2018</vt:lpstr>
      <vt:lpstr>2019</vt:lpstr>
      <vt:lpstr>2020</vt:lpstr>
      <vt:lpstr>2021</vt:lpstr>
      <vt:lpstr>2022</vt:lpstr>
      <vt:lpstr>2023</vt:lpstr>
      <vt:lpstr>2024</vt:lpstr>
      <vt:lpstr>2025</vt:lpstr>
      <vt:lpstr>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Mei Hua Zhang / Inteplast World Pak</dc:creator>
  <cp:lastModifiedBy>Mei Hua Zhang / Inteplast AmTopp</cp:lastModifiedBy>
  <cp:lastPrinted>2020-02-03T21:04:55Z</cp:lastPrinted>
  <dcterms:created xsi:type="dcterms:W3CDTF">2018-10-11T18:21:48Z</dcterms:created>
  <dcterms:modified xsi:type="dcterms:W3CDTF">2026-04-01T19:28:20Z</dcterms:modified>
</cp:coreProperties>
</file>