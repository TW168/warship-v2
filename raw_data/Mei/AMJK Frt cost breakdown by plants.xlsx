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meihua\Desktop\FRT Analysis\2026\"/>
    </mc:Choice>
  </mc:AlternateContent>
  <xr:revisionPtr revIDLastSave="0" documentId="13_ncr:1_{6D096875-0EAD-4619-9E4D-E151768281AA}" xr6:coauthVersionLast="47" xr6:coauthVersionMax="47" xr10:uidLastSave="{00000000-0000-0000-0000-000000000000}"/>
  <bookViews>
    <workbookView xWindow="-110" yWindow="-110" windowWidth="19420" windowHeight="11500" activeTab="8" xr2:uid="{00000000-000D-0000-FFFF-FFFF00000000}"/>
  </bookViews>
  <sheets>
    <sheet name="2018" sheetId="2" r:id="rId1"/>
    <sheet name="2019" sheetId="3" r:id="rId2"/>
    <sheet name="2020" sheetId="4" r:id="rId3"/>
    <sheet name="2021" sheetId="5" r:id="rId4"/>
    <sheet name="2022" sheetId="6" r:id="rId5"/>
    <sheet name="2023" sheetId="7" r:id="rId6"/>
    <sheet name="2024" sheetId="8" r:id="rId7"/>
    <sheet name="2025" sheetId="9" r:id="rId8"/>
    <sheet name="2026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0" l="1"/>
  <c r="H13" i="10"/>
  <c r="H14" i="10"/>
  <c r="H15" i="10"/>
  <c r="H11" i="10"/>
  <c r="G15" i="10"/>
  <c r="H5" i="10"/>
  <c r="H6" i="10"/>
  <c r="H7" i="10"/>
  <c r="H4" i="10"/>
  <c r="G8" i="10"/>
  <c r="H8" i="10" s="1"/>
  <c r="F12" i="10"/>
  <c r="F13" i="10"/>
  <c r="F14" i="10"/>
  <c r="F11" i="10"/>
  <c r="E15" i="10"/>
  <c r="F5" i="10"/>
  <c r="F6" i="10"/>
  <c r="F7" i="10"/>
  <c r="F4" i="10"/>
  <c r="E8" i="10"/>
  <c r="Y21" i="10" l="1"/>
  <c r="Z21" i="10" s="1"/>
  <c r="W21" i="10"/>
  <c r="U21" i="10"/>
  <c r="S21" i="10"/>
  <c r="Q21" i="10"/>
  <c r="O21" i="10"/>
  <c r="M21" i="10"/>
  <c r="K21" i="10"/>
  <c r="I21" i="10"/>
  <c r="G21" i="10"/>
  <c r="E21" i="10"/>
  <c r="C21" i="10"/>
  <c r="Y20" i="10"/>
  <c r="W20" i="10"/>
  <c r="U20" i="10"/>
  <c r="S20" i="10"/>
  <c r="Q20" i="10"/>
  <c r="R20" i="10" s="1"/>
  <c r="O20" i="10"/>
  <c r="M20" i="10"/>
  <c r="K20" i="10"/>
  <c r="I20" i="10"/>
  <c r="G20" i="10"/>
  <c r="E20" i="10"/>
  <c r="C20" i="10"/>
  <c r="Y19" i="10"/>
  <c r="W19" i="10"/>
  <c r="U19" i="10"/>
  <c r="S19" i="10"/>
  <c r="Q19" i="10"/>
  <c r="O19" i="10"/>
  <c r="M19" i="10"/>
  <c r="K19" i="10"/>
  <c r="L19" i="10" s="1"/>
  <c r="I19" i="10"/>
  <c r="G19" i="10"/>
  <c r="E19" i="10"/>
  <c r="C19" i="10"/>
  <c r="Y18" i="10"/>
  <c r="W18" i="10"/>
  <c r="U18" i="10"/>
  <c r="S18" i="10"/>
  <c r="Q18" i="10"/>
  <c r="O18" i="10"/>
  <c r="M18" i="10"/>
  <c r="K18" i="10"/>
  <c r="I18" i="10"/>
  <c r="G18" i="10"/>
  <c r="E18" i="10"/>
  <c r="C18" i="10"/>
  <c r="AA18" i="10" s="1"/>
  <c r="N17" i="10"/>
  <c r="C15" i="10"/>
  <c r="F15" i="10" s="1"/>
  <c r="AA14" i="10"/>
  <c r="D14" i="10"/>
  <c r="AA13" i="10"/>
  <c r="D13" i="10"/>
  <c r="AA12" i="10"/>
  <c r="D12" i="10"/>
  <c r="AA11" i="10"/>
  <c r="D11" i="10"/>
  <c r="Z10" i="10"/>
  <c r="Z17" i="10" s="1"/>
  <c r="Y10" i="10"/>
  <c r="Y17" i="10" s="1"/>
  <c r="X10" i="10"/>
  <c r="X17" i="10" s="1"/>
  <c r="W10" i="10"/>
  <c r="W17" i="10" s="1"/>
  <c r="V10" i="10"/>
  <c r="V17" i="10" s="1"/>
  <c r="U10" i="10"/>
  <c r="U17" i="10" s="1"/>
  <c r="T10" i="10"/>
  <c r="T17" i="10" s="1"/>
  <c r="S10" i="10"/>
  <c r="S17" i="10" s="1"/>
  <c r="R10" i="10"/>
  <c r="R17" i="10" s="1"/>
  <c r="Q10" i="10"/>
  <c r="Q17" i="10" s="1"/>
  <c r="P10" i="10"/>
  <c r="P17" i="10" s="1"/>
  <c r="O10" i="10"/>
  <c r="O17" i="10" s="1"/>
  <c r="N10" i="10"/>
  <c r="M10" i="10"/>
  <c r="M17" i="10" s="1"/>
  <c r="L10" i="10"/>
  <c r="L17" i="10" s="1"/>
  <c r="K10" i="10"/>
  <c r="K17" i="10" s="1"/>
  <c r="J10" i="10"/>
  <c r="J17" i="10" s="1"/>
  <c r="I10" i="10"/>
  <c r="I17" i="10" s="1"/>
  <c r="H10" i="10"/>
  <c r="H17" i="10" s="1"/>
  <c r="G10" i="10"/>
  <c r="G17" i="10" s="1"/>
  <c r="F10" i="10"/>
  <c r="F17" i="10" s="1"/>
  <c r="E10" i="10"/>
  <c r="E17" i="10" s="1"/>
  <c r="D10" i="10"/>
  <c r="D17" i="10" s="1"/>
  <c r="C10" i="10"/>
  <c r="C17" i="10" s="1"/>
  <c r="O22" i="10"/>
  <c r="M22" i="10"/>
  <c r="K22" i="10"/>
  <c r="C8" i="10"/>
  <c r="AB8" i="10" s="1"/>
  <c r="AA7" i="10"/>
  <c r="D7" i="10"/>
  <c r="AA6" i="10"/>
  <c r="D6" i="10"/>
  <c r="AA5" i="10"/>
  <c r="D5" i="10"/>
  <c r="AA4" i="10"/>
  <c r="D4" i="10"/>
  <c r="D19" i="10" l="1"/>
  <c r="AA19" i="10"/>
  <c r="D21" i="10"/>
  <c r="AA21" i="10"/>
  <c r="AA20" i="10"/>
  <c r="F8" i="10"/>
  <c r="N20" i="10"/>
  <c r="P18" i="10"/>
  <c r="T19" i="10"/>
  <c r="R18" i="10"/>
  <c r="J18" i="10"/>
  <c r="R19" i="10"/>
  <c r="N18" i="10"/>
  <c r="V19" i="10"/>
  <c r="Z19" i="10"/>
  <c r="Z18" i="10"/>
  <c r="P21" i="10"/>
  <c r="R21" i="10"/>
  <c r="T21" i="10"/>
  <c r="V21" i="10"/>
  <c r="J19" i="10"/>
  <c r="P20" i="10"/>
  <c r="X21" i="10"/>
  <c r="P19" i="10"/>
  <c r="L18" i="10"/>
  <c r="X20" i="10"/>
  <c r="Z20" i="10"/>
  <c r="H21" i="10"/>
  <c r="T18" i="10"/>
  <c r="J21" i="10"/>
  <c r="H20" i="10"/>
  <c r="N21" i="10"/>
  <c r="J20" i="10"/>
  <c r="N22" i="10"/>
  <c r="L20" i="10"/>
  <c r="H19" i="10"/>
  <c r="F19" i="10"/>
  <c r="P22" i="10"/>
  <c r="V18" i="10"/>
  <c r="T20" i="10"/>
  <c r="X18" i="10"/>
  <c r="X19" i="10"/>
  <c r="V20" i="10"/>
  <c r="D18" i="10"/>
  <c r="AA15" i="10"/>
  <c r="AB12" i="10" s="1"/>
  <c r="F18" i="10"/>
  <c r="D20" i="10"/>
  <c r="AA8" i="10"/>
  <c r="AB4" i="10" s="1"/>
  <c r="D15" i="10"/>
  <c r="H18" i="10"/>
  <c r="F20" i="10"/>
  <c r="F21" i="10"/>
  <c r="N19" i="10"/>
  <c r="L21" i="10"/>
  <c r="Q22" i="10"/>
  <c r="R22" i="10" s="1"/>
  <c r="C22" i="10"/>
  <c r="S22" i="10"/>
  <c r="T22" i="10" s="1"/>
  <c r="D8" i="10"/>
  <c r="E22" i="10"/>
  <c r="F22" i="10" s="1"/>
  <c r="U22" i="10"/>
  <c r="G22" i="10"/>
  <c r="W22" i="10"/>
  <c r="X22" i="10" s="1"/>
  <c r="I22" i="10"/>
  <c r="Y22" i="10"/>
  <c r="Y19" i="9"/>
  <c r="Y20" i="9"/>
  <c r="Y21" i="9"/>
  <c r="Y22" i="9"/>
  <c r="Y18" i="9"/>
  <c r="Z12" i="9"/>
  <c r="Z13" i="9"/>
  <c r="Z14" i="9"/>
  <c r="Z11" i="9"/>
  <c r="Y15" i="9"/>
  <c r="Z5" i="9"/>
  <c r="Z6" i="9"/>
  <c r="Z7" i="9"/>
  <c r="Z4" i="9"/>
  <c r="Y8" i="9"/>
  <c r="AA22" i="10" l="1"/>
  <c r="AB11" i="10"/>
  <c r="Z22" i="10"/>
  <c r="AB5" i="10"/>
  <c r="AB6" i="10"/>
  <c r="H22" i="10"/>
  <c r="V22" i="10"/>
  <c r="D22" i="10"/>
  <c r="AB7" i="10"/>
  <c r="AB15" i="10"/>
  <c r="AB14" i="10"/>
  <c r="AB13" i="10"/>
  <c r="J22" i="10"/>
  <c r="L22" i="10"/>
  <c r="X12" i="9"/>
  <c r="X13" i="9"/>
  <c r="X14" i="9"/>
  <c r="X11" i="9"/>
  <c r="X5" i="9"/>
  <c r="X6" i="9"/>
  <c r="X7" i="9"/>
  <c r="X4" i="9"/>
  <c r="W15" i="9"/>
  <c r="Z15" i="9" s="1"/>
  <c r="W8" i="9"/>
  <c r="Z8" i="9" s="1"/>
  <c r="X15" i="9" l="1"/>
  <c r="V12" i="9"/>
  <c r="V13" i="9"/>
  <c r="V14" i="9"/>
  <c r="V11" i="9"/>
  <c r="V5" i="9"/>
  <c r="V6" i="9"/>
  <c r="V7" i="9"/>
  <c r="V4" i="9"/>
  <c r="U15" i="9"/>
  <c r="U8" i="9"/>
  <c r="X8" i="9" s="1"/>
  <c r="T12" i="9" l="1"/>
  <c r="T13" i="9"/>
  <c r="T14" i="9"/>
  <c r="T11" i="9"/>
  <c r="T5" i="9"/>
  <c r="T6" i="9"/>
  <c r="T7" i="9"/>
  <c r="T4" i="9"/>
  <c r="S15" i="9"/>
  <c r="V15" i="9" s="1"/>
  <c r="S8" i="9"/>
  <c r="V8" i="9" s="1"/>
  <c r="R12" i="9" l="1"/>
  <c r="R13" i="9"/>
  <c r="R14" i="9"/>
  <c r="R11" i="9"/>
  <c r="R5" i="9"/>
  <c r="R6" i="9"/>
  <c r="R7" i="9"/>
  <c r="R4" i="9"/>
  <c r="Q15" i="9"/>
  <c r="T15" i="9" s="1"/>
  <c r="Q8" i="9"/>
  <c r="T8" i="9" s="1"/>
  <c r="P12" i="9"/>
  <c r="P13" i="9"/>
  <c r="P14" i="9"/>
  <c r="P11" i="9"/>
  <c r="P5" i="9"/>
  <c r="P6" i="9"/>
  <c r="P7" i="9"/>
  <c r="P4" i="9"/>
  <c r="R8" i="9" l="1"/>
  <c r="O15" i="9"/>
  <c r="O8" i="9"/>
  <c r="P8" i="9" l="1"/>
  <c r="R15" i="9"/>
  <c r="N12" i="9"/>
  <c r="N13" i="9"/>
  <c r="N14" i="9"/>
  <c r="N11" i="9"/>
  <c r="N5" i="9"/>
  <c r="N6" i="9"/>
  <c r="N7" i="9"/>
  <c r="N4" i="9"/>
  <c r="M15" i="9"/>
  <c r="P15" i="9" s="1"/>
  <c r="M8" i="9"/>
  <c r="N8" i="9" l="1"/>
  <c r="L12" i="9"/>
  <c r="L13" i="9"/>
  <c r="L14" i="9"/>
  <c r="L11" i="9"/>
  <c r="K15" i="9"/>
  <c r="N15" i="9" s="1"/>
  <c r="K8" i="9"/>
  <c r="L5" i="9"/>
  <c r="L6" i="9"/>
  <c r="L7" i="9"/>
  <c r="L4" i="9"/>
  <c r="J12" i="9" l="1"/>
  <c r="J13" i="9"/>
  <c r="J14" i="9"/>
  <c r="J11" i="9"/>
  <c r="J5" i="9"/>
  <c r="J6" i="9"/>
  <c r="J7" i="9"/>
  <c r="J4" i="9"/>
  <c r="I15" i="9"/>
  <c r="L15" i="9" s="1"/>
  <c r="I8" i="9"/>
  <c r="L8" i="9" s="1"/>
  <c r="H12" i="9" l="1"/>
  <c r="H13" i="9"/>
  <c r="H14" i="9"/>
  <c r="H11" i="9"/>
  <c r="H5" i="9"/>
  <c r="H6" i="9"/>
  <c r="H7" i="9"/>
  <c r="H4" i="9"/>
  <c r="G15" i="9"/>
  <c r="J15" i="9" s="1"/>
  <c r="G8" i="9"/>
  <c r="J8" i="9" s="1"/>
  <c r="F12" i="9" l="1"/>
  <c r="F13" i="9"/>
  <c r="F14" i="9"/>
  <c r="F11" i="9"/>
  <c r="F5" i="9"/>
  <c r="F6" i="9"/>
  <c r="F7" i="9"/>
  <c r="F4" i="9"/>
  <c r="E15" i="9"/>
  <c r="H15" i="9" s="1"/>
  <c r="E8" i="9"/>
  <c r="H8" i="9" s="1"/>
  <c r="D12" i="9" l="1"/>
  <c r="D13" i="9"/>
  <c r="D14" i="9"/>
  <c r="D11" i="9"/>
  <c r="D5" i="9"/>
  <c r="D6" i="9"/>
  <c r="D7" i="9"/>
  <c r="D4" i="9"/>
  <c r="C15" i="9"/>
  <c r="F15" i="9" s="1"/>
  <c r="C8" i="9"/>
  <c r="F8" i="9" s="1"/>
  <c r="W22" i="9"/>
  <c r="Z22" i="9" s="1"/>
  <c r="U22" i="9"/>
  <c r="W21" i="9"/>
  <c r="Z21" i="9" s="1"/>
  <c r="U21" i="9"/>
  <c r="S21" i="9"/>
  <c r="Q21" i="9"/>
  <c r="O21" i="9"/>
  <c r="M21" i="9"/>
  <c r="K21" i="9"/>
  <c r="I21" i="9"/>
  <c r="G21" i="9"/>
  <c r="E21" i="9"/>
  <c r="C21" i="9"/>
  <c r="W20" i="9"/>
  <c r="Z20" i="9" s="1"/>
  <c r="U20" i="9"/>
  <c r="S20" i="9"/>
  <c r="Q20" i="9"/>
  <c r="O20" i="9"/>
  <c r="M20" i="9"/>
  <c r="K20" i="9"/>
  <c r="I20" i="9"/>
  <c r="G20" i="9"/>
  <c r="E20" i="9"/>
  <c r="C20" i="9"/>
  <c r="W19" i="9"/>
  <c r="Z19" i="9" s="1"/>
  <c r="U19" i="9"/>
  <c r="S19" i="9"/>
  <c r="Q19" i="9"/>
  <c r="O19" i="9"/>
  <c r="M19" i="9"/>
  <c r="K19" i="9"/>
  <c r="I19" i="9"/>
  <c r="G19" i="9"/>
  <c r="E19" i="9"/>
  <c r="C19" i="9"/>
  <c r="AA19" i="9" s="1"/>
  <c r="W18" i="9"/>
  <c r="Z18" i="9" s="1"/>
  <c r="U18" i="9"/>
  <c r="S18" i="9"/>
  <c r="Q18" i="9"/>
  <c r="O18" i="9"/>
  <c r="M18" i="9"/>
  <c r="K18" i="9"/>
  <c r="I18" i="9"/>
  <c r="G18" i="9"/>
  <c r="E18" i="9"/>
  <c r="C18" i="9"/>
  <c r="T17" i="9"/>
  <c r="R17" i="9"/>
  <c r="C17" i="9"/>
  <c r="AA14" i="9"/>
  <c r="AA13" i="9"/>
  <c r="AA12" i="9"/>
  <c r="AA11" i="9"/>
  <c r="Z10" i="9"/>
  <c r="Z17" i="9" s="1"/>
  <c r="Y10" i="9"/>
  <c r="Y17" i="9" s="1"/>
  <c r="X10" i="9"/>
  <c r="X17" i="9" s="1"/>
  <c r="W10" i="9"/>
  <c r="W17" i="9" s="1"/>
  <c r="V10" i="9"/>
  <c r="V17" i="9" s="1"/>
  <c r="U10" i="9"/>
  <c r="U17" i="9" s="1"/>
  <c r="T10" i="9"/>
  <c r="S10" i="9"/>
  <c r="S17" i="9" s="1"/>
  <c r="R10" i="9"/>
  <c r="Q10" i="9"/>
  <c r="Q17" i="9" s="1"/>
  <c r="P10" i="9"/>
  <c r="P17" i="9" s="1"/>
  <c r="O10" i="9"/>
  <c r="O17" i="9" s="1"/>
  <c r="N10" i="9"/>
  <c r="N17" i="9" s="1"/>
  <c r="M10" i="9"/>
  <c r="M17" i="9" s="1"/>
  <c r="L10" i="9"/>
  <c r="L17" i="9" s="1"/>
  <c r="K10" i="9"/>
  <c r="K17" i="9" s="1"/>
  <c r="J10" i="9"/>
  <c r="J17" i="9" s="1"/>
  <c r="I10" i="9"/>
  <c r="I17" i="9" s="1"/>
  <c r="H10" i="9"/>
  <c r="H17" i="9" s="1"/>
  <c r="G10" i="9"/>
  <c r="G17" i="9" s="1"/>
  <c r="F10" i="9"/>
  <c r="F17" i="9" s="1"/>
  <c r="E10" i="9"/>
  <c r="E17" i="9" s="1"/>
  <c r="D10" i="9"/>
  <c r="D17" i="9" s="1"/>
  <c r="C10" i="9"/>
  <c r="S22" i="9"/>
  <c r="G22" i="9"/>
  <c r="AA7" i="9"/>
  <c r="AA6" i="9"/>
  <c r="AA5" i="9"/>
  <c r="AA4" i="9"/>
  <c r="D8" i="9" l="1"/>
  <c r="AA21" i="9"/>
  <c r="D20" i="9"/>
  <c r="AA20" i="9"/>
  <c r="D18" i="9"/>
  <c r="AA18" i="9"/>
  <c r="D15" i="9"/>
  <c r="J18" i="9"/>
  <c r="F21" i="9"/>
  <c r="V19" i="9"/>
  <c r="P18" i="9"/>
  <c r="L21" i="9"/>
  <c r="N21" i="9"/>
  <c r="N19" i="9"/>
  <c r="H21" i="9"/>
  <c r="R18" i="9"/>
  <c r="X19" i="9"/>
  <c r="T18" i="9"/>
  <c r="J21" i="9"/>
  <c r="V18" i="9"/>
  <c r="H20" i="9"/>
  <c r="J20" i="9"/>
  <c r="F19" i="9"/>
  <c r="P21" i="9"/>
  <c r="H19" i="9"/>
  <c r="N20" i="9"/>
  <c r="J19" i="9"/>
  <c r="P20" i="9"/>
  <c r="T21" i="9"/>
  <c r="F18" i="9"/>
  <c r="L19" i="9"/>
  <c r="R20" i="9"/>
  <c r="V21" i="9"/>
  <c r="H18" i="9"/>
  <c r="T20" i="9"/>
  <c r="X21" i="9"/>
  <c r="V20" i="9"/>
  <c r="P19" i="9"/>
  <c r="X20" i="9"/>
  <c r="L18" i="9"/>
  <c r="R19" i="9"/>
  <c r="V22" i="9"/>
  <c r="N18" i="9"/>
  <c r="R21" i="9"/>
  <c r="T19" i="9"/>
  <c r="X18" i="9"/>
  <c r="E22" i="9"/>
  <c r="F20" i="9"/>
  <c r="AB8" i="9"/>
  <c r="AA8" i="9"/>
  <c r="L20" i="9"/>
  <c r="X22" i="9"/>
  <c r="D19" i="9"/>
  <c r="I22" i="9"/>
  <c r="J22" i="9" s="1"/>
  <c r="D21" i="9"/>
  <c r="K22" i="9"/>
  <c r="M22" i="9"/>
  <c r="O22" i="9"/>
  <c r="Q22" i="9"/>
  <c r="Y19" i="8"/>
  <c r="Y20" i="8"/>
  <c r="Y21" i="8"/>
  <c r="Y18" i="8"/>
  <c r="Z12" i="8"/>
  <c r="Z13" i="8"/>
  <c r="Z14" i="8"/>
  <c r="Z11" i="8"/>
  <c r="Y15" i="8"/>
  <c r="Z5" i="8"/>
  <c r="Z6" i="8"/>
  <c r="Z7" i="8"/>
  <c r="Z4" i="8"/>
  <c r="Y8" i="8"/>
  <c r="Y22" i="8" l="1"/>
  <c r="R22" i="9"/>
  <c r="P22" i="9"/>
  <c r="N22" i="9"/>
  <c r="AB5" i="9"/>
  <c r="AB6" i="9"/>
  <c r="AB7" i="9"/>
  <c r="AB4" i="9"/>
  <c r="L22" i="9"/>
  <c r="T22" i="9"/>
  <c r="H22" i="9"/>
  <c r="X12" i="8"/>
  <c r="X13" i="8"/>
  <c r="X14" i="8"/>
  <c r="X11" i="8"/>
  <c r="X5" i="8"/>
  <c r="X6" i="8"/>
  <c r="X7" i="8"/>
  <c r="X4" i="8"/>
  <c r="W19" i="8"/>
  <c r="Z19" i="8" s="1"/>
  <c r="W20" i="8"/>
  <c r="Z20" i="8" s="1"/>
  <c r="W21" i="8"/>
  <c r="W18" i="8"/>
  <c r="Z18" i="8" s="1"/>
  <c r="W15" i="8"/>
  <c r="Z15" i="8" s="1"/>
  <c r="W8" i="8"/>
  <c r="Z8" i="8" s="1"/>
  <c r="Z21" i="8" l="1"/>
  <c r="W22" i="8"/>
  <c r="Z22" i="8"/>
  <c r="V12" i="8"/>
  <c r="V13" i="8"/>
  <c r="V14" i="8"/>
  <c r="V11" i="8"/>
  <c r="V5" i="8"/>
  <c r="V6" i="8"/>
  <c r="V7" i="8"/>
  <c r="V4" i="8"/>
  <c r="U19" i="8"/>
  <c r="X19" i="8" s="1"/>
  <c r="U20" i="8"/>
  <c r="X20" i="8" s="1"/>
  <c r="U21" i="8"/>
  <c r="X21" i="8" s="1"/>
  <c r="U18" i="8"/>
  <c r="X18" i="8" s="1"/>
  <c r="U15" i="8"/>
  <c r="X15" i="8" s="1"/>
  <c r="U8" i="8"/>
  <c r="U22" i="8" l="1"/>
  <c r="X8" i="8"/>
  <c r="X22" i="8"/>
  <c r="T12" i="8"/>
  <c r="T13" i="8"/>
  <c r="T14" i="8"/>
  <c r="T11" i="8"/>
  <c r="T5" i="8"/>
  <c r="T6" i="8"/>
  <c r="T7" i="8"/>
  <c r="T4" i="8"/>
  <c r="S19" i="8"/>
  <c r="V19" i="8" s="1"/>
  <c r="S20" i="8"/>
  <c r="V20" i="8" s="1"/>
  <c r="S21" i="8"/>
  <c r="V21" i="8" s="1"/>
  <c r="S18" i="8"/>
  <c r="V18" i="8" s="1"/>
  <c r="S15" i="8"/>
  <c r="V15" i="8" s="1"/>
  <c r="S8" i="8"/>
  <c r="V8" i="8" s="1"/>
  <c r="S22" i="8" l="1"/>
  <c r="V22" i="8"/>
  <c r="R12" i="8"/>
  <c r="R13" i="8"/>
  <c r="R14" i="8"/>
  <c r="R11" i="8"/>
  <c r="R5" i="8"/>
  <c r="R6" i="8"/>
  <c r="R7" i="8"/>
  <c r="R4" i="8"/>
  <c r="Q19" i="8"/>
  <c r="T19" i="8" s="1"/>
  <c r="Q20" i="8"/>
  <c r="T20" i="8" s="1"/>
  <c r="Q21" i="8"/>
  <c r="T21" i="8" s="1"/>
  <c r="Q18" i="8"/>
  <c r="T18" i="8" s="1"/>
  <c r="Q15" i="8"/>
  <c r="T15" i="8" s="1"/>
  <c r="Q8" i="8"/>
  <c r="R18" i="8" l="1"/>
  <c r="Q22" i="8"/>
  <c r="T8" i="8"/>
  <c r="O19" i="8"/>
  <c r="R19" i="8" s="1"/>
  <c r="O20" i="8"/>
  <c r="R20" i="8" s="1"/>
  <c r="O21" i="8"/>
  <c r="R21" i="8" s="1"/>
  <c r="O22" i="8"/>
  <c r="O18" i="8"/>
  <c r="P12" i="8"/>
  <c r="P13" i="8"/>
  <c r="P14" i="8"/>
  <c r="P11" i="8"/>
  <c r="O15" i="8"/>
  <c r="R15" i="8" s="1"/>
  <c r="P5" i="8"/>
  <c r="P6" i="8"/>
  <c r="P7" i="8"/>
  <c r="P4" i="8"/>
  <c r="O8" i="8"/>
  <c r="R8" i="8" s="1"/>
  <c r="R22" i="8" l="1"/>
  <c r="T22" i="8"/>
  <c r="M10" i="8"/>
  <c r="M19" i="8"/>
  <c r="P19" i="8" s="1"/>
  <c r="M20" i="8"/>
  <c r="P20" i="8" s="1"/>
  <c r="M21" i="8"/>
  <c r="P21" i="8" s="1"/>
  <c r="M18" i="8"/>
  <c r="P18" i="8" s="1"/>
  <c r="N12" i="8"/>
  <c r="N13" i="8"/>
  <c r="N14" i="8"/>
  <c r="N11" i="8"/>
  <c r="M15" i="8"/>
  <c r="P15" i="8" s="1"/>
  <c r="N5" i="8"/>
  <c r="N6" i="8"/>
  <c r="N7" i="8"/>
  <c r="N4" i="8"/>
  <c r="M8" i="8"/>
  <c r="M22" i="8" s="1"/>
  <c r="P22" i="8" l="1"/>
  <c r="P8" i="8"/>
  <c r="L12" i="8"/>
  <c r="L13" i="8"/>
  <c r="L14" i="8"/>
  <c r="L11" i="8"/>
  <c r="L5" i="8"/>
  <c r="L6" i="8"/>
  <c r="L7" i="8"/>
  <c r="L4" i="8"/>
  <c r="K19" i="8"/>
  <c r="N19" i="8" s="1"/>
  <c r="K20" i="8"/>
  <c r="N20" i="8" s="1"/>
  <c r="K21" i="8"/>
  <c r="K18" i="8"/>
  <c r="N18" i="8" s="1"/>
  <c r="K15" i="8"/>
  <c r="N15" i="8" s="1"/>
  <c r="K8" i="8"/>
  <c r="N8" i="8" s="1"/>
  <c r="N21" i="8" l="1"/>
  <c r="K22" i="8"/>
  <c r="I19" i="8"/>
  <c r="L19" i="8" s="1"/>
  <c r="I20" i="8"/>
  <c r="L20" i="8" s="1"/>
  <c r="I21" i="8"/>
  <c r="L21" i="8" s="1"/>
  <c r="I22" i="8"/>
  <c r="I18" i="8"/>
  <c r="L18" i="8" s="1"/>
  <c r="J12" i="8"/>
  <c r="J13" i="8"/>
  <c r="J14" i="8"/>
  <c r="J11" i="8"/>
  <c r="I15" i="8"/>
  <c r="L15" i="8" s="1"/>
  <c r="J5" i="8"/>
  <c r="J6" i="8"/>
  <c r="J7" i="8"/>
  <c r="J4" i="8"/>
  <c r="I8" i="8"/>
  <c r="L8" i="8" s="1"/>
  <c r="L22" i="8" l="1"/>
  <c r="N22" i="8"/>
  <c r="H12" i="8"/>
  <c r="H13" i="8"/>
  <c r="H14" i="8"/>
  <c r="H11" i="8"/>
  <c r="H5" i="8"/>
  <c r="H6" i="8"/>
  <c r="H7" i="8"/>
  <c r="H4" i="8"/>
  <c r="G19" i="8"/>
  <c r="J19" i="8" s="1"/>
  <c r="G20" i="8"/>
  <c r="J20" i="8" s="1"/>
  <c r="G21" i="8"/>
  <c r="J21" i="8" s="1"/>
  <c r="G18" i="8"/>
  <c r="J18" i="8" s="1"/>
  <c r="G15" i="8"/>
  <c r="G8" i="8"/>
  <c r="J8" i="8" s="1"/>
  <c r="J15" i="8" l="1"/>
  <c r="G22" i="8"/>
  <c r="F12" i="8"/>
  <c r="F13" i="8"/>
  <c r="F14" i="8"/>
  <c r="F11" i="8"/>
  <c r="F5" i="8"/>
  <c r="F6" i="8"/>
  <c r="F7" i="8"/>
  <c r="F4" i="8"/>
  <c r="E19" i="8"/>
  <c r="H19" i="8" s="1"/>
  <c r="E20" i="8"/>
  <c r="H20" i="8" s="1"/>
  <c r="E21" i="8"/>
  <c r="H21" i="8" s="1"/>
  <c r="E18" i="8"/>
  <c r="H18" i="8" s="1"/>
  <c r="E15" i="8"/>
  <c r="H15" i="8" s="1"/>
  <c r="E8" i="8"/>
  <c r="E22" i="8" l="1"/>
  <c r="J22" i="8"/>
  <c r="H22" i="8"/>
  <c r="F21" i="8"/>
  <c r="F20" i="8"/>
  <c r="H8" i="8"/>
  <c r="D4" i="8"/>
  <c r="D5" i="8"/>
  <c r="D6" i="8"/>
  <c r="D7" i="8"/>
  <c r="C8" i="8"/>
  <c r="D11" i="8"/>
  <c r="D12" i="8"/>
  <c r="D13" i="8"/>
  <c r="D14" i="8"/>
  <c r="C15" i="8"/>
  <c r="F15" i="8" s="1"/>
  <c r="D15" i="8"/>
  <c r="C21" i="8"/>
  <c r="C20" i="8"/>
  <c r="AA20" i="8" s="1"/>
  <c r="C19" i="8"/>
  <c r="F19" i="8" s="1"/>
  <c r="C18" i="8"/>
  <c r="L17" i="8"/>
  <c r="J17" i="8"/>
  <c r="I17" i="8"/>
  <c r="H17" i="8"/>
  <c r="AA14" i="8"/>
  <c r="AA13" i="8"/>
  <c r="AA12" i="8"/>
  <c r="AA11" i="8"/>
  <c r="Z10" i="8"/>
  <c r="Z17" i="8" s="1"/>
  <c r="Y10" i="8"/>
  <c r="Y17" i="8" s="1"/>
  <c r="X10" i="8"/>
  <c r="X17" i="8" s="1"/>
  <c r="W10" i="8"/>
  <c r="W17" i="8" s="1"/>
  <c r="V10" i="8"/>
  <c r="V17" i="8" s="1"/>
  <c r="U10" i="8"/>
  <c r="U17" i="8" s="1"/>
  <c r="T10" i="8"/>
  <c r="T17" i="8" s="1"/>
  <c r="S10" i="8"/>
  <c r="S17" i="8" s="1"/>
  <c r="R10" i="8"/>
  <c r="R17" i="8" s="1"/>
  <c r="Q10" i="8"/>
  <c r="Q17" i="8" s="1"/>
  <c r="P10" i="8"/>
  <c r="P17" i="8" s="1"/>
  <c r="O10" i="8"/>
  <c r="O17" i="8" s="1"/>
  <c r="N10" i="8"/>
  <c r="N17" i="8" s="1"/>
  <c r="M17" i="8"/>
  <c r="L10" i="8"/>
  <c r="K10" i="8"/>
  <c r="K17" i="8" s="1"/>
  <c r="J10" i="8"/>
  <c r="I10" i="8"/>
  <c r="H10" i="8"/>
  <c r="G10" i="8"/>
  <c r="G17" i="8" s="1"/>
  <c r="F10" i="8"/>
  <c r="F17" i="8" s="1"/>
  <c r="E10" i="8"/>
  <c r="E17" i="8" s="1"/>
  <c r="D10" i="8"/>
  <c r="D17" i="8" s="1"/>
  <c r="C10" i="8"/>
  <c r="C17" i="8" s="1"/>
  <c r="AA7" i="8"/>
  <c r="AA6" i="8"/>
  <c r="AA5" i="8"/>
  <c r="AA4" i="8"/>
  <c r="D8" i="8" l="1"/>
  <c r="AA8" i="8"/>
  <c r="D19" i="8"/>
  <c r="AA19" i="8"/>
  <c r="D18" i="8"/>
  <c r="AA18" i="8"/>
  <c r="F18" i="8"/>
  <c r="D21" i="8"/>
  <c r="AA21" i="8"/>
  <c r="F8" i="8"/>
  <c r="AB8" i="8"/>
  <c r="AA15" i="8"/>
  <c r="AB13" i="8" s="1"/>
  <c r="D20" i="8"/>
  <c r="C22" i="8"/>
  <c r="AA22" i="8" s="1"/>
  <c r="Y19" i="7"/>
  <c r="Y20" i="7"/>
  <c r="Y21" i="7"/>
  <c r="Y22" i="7"/>
  <c r="Y18" i="7"/>
  <c r="Z12" i="7"/>
  <c r="Z13" i="7"/>
  <c r="Z14" i="7"/>
  <c r="Z11" i="7"/>
  <c r="Y15" i="7"/>
  <c r="Z5" i="7"/>
  <c r="Z6" i="7"/>
  <c r="Z7" i="7"/>
  <c r="Z4" i="7"/>
  <c r="Y8" i="7"/>
  <c r="Z15" i="7" l="1"/>
  <c r="Z21" i="7"/>
  <c r="F22" i="8"/>
  <c r="AB14" i="8"/>
  <c r="AB15" i="8"/>
  <c r="AB11" i="8"/>
  <c r="D22" i="8"/>
  <c r="AB12" i="8"/>
  <c r="W19" i="7"/>
  <c r="Z19" i="7" s="1"/>
  <c r="W20" i="7"/>
  <c r="Z20" i="7" s="1"/>
  <c r="W21" i="7"/>
  <c r="W22" i="7"/>
  <c r="W18" i="7"/>
  <c r="X12" i="7"/>
  <c r="X13" i="7"/>
  <c r="X14" i="7"/>
  <c r="X11" i="7"/>
  <c r="X5" i="7"/>
  <c r="X6" i="7"/>
  <c r="X7" i="7"/>
  <c r="X4" i="7"/>
  <c r="W15" i="7"/>
  <c r="W8" i="7"/>
  <c r="Z8" i="7" s="1"/>
  <c r="Z22" i="7" l="1"/>
  <c r="Z18" i="7"/>
  <c r="U19" i="7"/>
  <c r="X19" i="7" s="1"/>
  <c r="U20" i="7"/>
  <c r="X20" i="7" s="1"/>
  <c r="U21" i="7"/>
  <c r="X21" i="7" s="1"/>
  <c r="U18" i="7"/>
  <c r="X18" i="7" s="1"/>
  <c r="V12" i="7"/>
  <c r="V13" i="7"/>
  <c r="V14" i="7"/>
  <c r="V11" i="7"/>
  <c r="U15" i="7"/>
  <c r="X15" i="7" s="1"/>
  <c r="V5" i="7"/>
  <c r="V6" i="7"/>
  <c r="V7" i="7"/>
  <c r="V4" i="7"/>
  <c r="U8" i="7"/>
  <c r="X8" i="7" s="1"/>
  <c r="U22" i="7" l="1"/>
  <c r="V18" i="7"/>
  <c r="S19" i="7"/>
  <c r="V19" i="7" s="1"/>
  <c r="S20" i="7"/>
  <c r="V20" i="7" s="1"/>
  <c r="S21" i="7"/>
  <c r="S22" i="7"/>
  <c r="S18" i="7"/>
  <c r="T12" i="7"/>
  <c r="T13" i="7"/>
  <c r="T14" i="7"/>
  <c r="T11" i="7"/>
  <c r="S15" i="7"/>
  <c r="V15" i="7" s="1"/>
  <c r="T5" i="7"/>
  <c r="T6" i="7"/>
  <c r="T7" i="7"/>
  <c r="T4" i="7"/>
  <c r="S8" i="7"/>
  <c r="V8" i="7" s="1"/>
  <c r="T21" i="7" l="1"/>
  <c r="V21" i="7"/>
  <c r="X22" i="7"/>
  <c r="V22" i="7"/>
  <c r="Q19" i="7"/>
  <c r="Q20" i="7"/>
  <c r="T20" i="7" s="1"/>
  <c r="Q21" i="7"/>
  <c r="Q18" i="7"/>
  <c r="T18" i="7" s="1"/>
  <c r="R12" i="7"/>
  <c r="R13" i="7"/>
  <c r="R14" i="7"/>
  <c r="R11" i="7"/>
  <c r="Q15" i="7"/>
  <c r="T15" i="7" s="1"/>
  <c r="R5" i="7"/>
  <c r="R6" i="7"/>
  <c r="R7" i="7"/>
  <c r="R4" i="7"/>
  <c r="Q8" i="7"/>
  <c r="Q22" i="7" s="1"/>
  <c r="T22" i="7" l="1"/>
  <c r="T19" i="7"/>
  <c r="T8" i="7"/>
  <c r="O19" i="7"/>
  <c r="R19" i="7" s="1"/>
  <c r="O20" i="7"/>
  <c r="O21" i="7"/>
  <c r="R21" i="7" s="1"/>
  <c r="O18" i="7"/>
  <c r="R18" i="7" s="1"/>
  <c r="P12" i="7"/>
  <c r="P13" i="7"/>
  <c r="P14" i="7"/>
  <c r="P11" i="7"/>
  <c r="O15" i="7"/>
  <c r="R15" i="7" s="1"/>
  <c r="P5" i="7"/>
  <c r="P6" i="7"/>
  <c r="P7" i="7"/>
  <c r="P4" i="7"/>
  <c r="O8" i="7"/>
  <c r="O22" i="7" s="1"/>
  <c r="R22" i="7" l="1"/>
  <c r="R20" i="7"/>
  <c r="R8" i="7"/>
  <c r="N12" i="7"/>
  <c r="N13" i="7"/>
  <c r="N14" i="7"/>
  <c r="N11" i="7"/>
  <c r="N5" i="7"/>
  <c r="N6" i="7"/>
  <c r="N7" i="7"/>
  <c r="N4" i="7"/>
  <c r="M19" i="7"/>
  <c r="P19" i="7" s="1"/>
  <c r="M20" i="7"/>
  <c r="P20" i="7" s="1"/>
  <c r="M21" i="7"/>
  <c r="P21" i="7" s="1"/>
  <c r="M18" i="7"/>
  <c r="P18" i="7" s="1"/>
  <c r="M15" i="7"/>
  <c r="M8" i="7"/>
  <c r="M22" i="7" l="1"/>
  <c r="P8" i="7"/>
  <c r="P15" i="7"/>
  <c r="K19" i="7"/>
  <c r="N19" i="7" s="1"/>
  <c r="K20" i="7"/>
  <c r="N20" i="7" s="1"/>
  <c r="K21" i="7"/>
  <c r="N21" i="7" s="1"/>
  <c r="K22" i="7"/>
  <c r="K18" i="7"/>
  <c r="N18" i="7" s="1"/>
  <c r="L12" i="7"/>
  <c r="L13" i="7"/>
  <c r="L14" i="7"/>
  <c r="L11" i="7"/>
  <c r="K15" i="7"/>
  <c r="N15" i="7" s="1"/>
  <c r="K8" i="7"/>
  <c r="L5" i="7"/>
  <c r="L6" i="7"/>
  <c r="L7" i="7"/>
  <c r="L4" i="7"/>
  <c r="L20" i="7" l="1"/>
  <c r="L8" i="7"/>
  <c r="L19" i="7"/>
  <c r="P22" i="7"/>
  <c r="N22" i="7"/>
  <c r="N8" i="7"/>
  <c r="AA4" i="7"/>
  <c r="I19" i="7"/>
  <c r="I20" i="7"/>
  <c r="I21" i="7"/>
  <c r="L21" i="7" s="1"/>
  <c r="I18" i="7"/>
  <c r="L18" i="7" s="1"/>
  <c r="J12" i="7"/>
  <c r="J13" i="7"/>
  <c r="J14" i="7"/>
  <c r="J11" i="7"/>
  <c r="J5" i="7"/>
  <c r="J6" i="7"/>
  <c r="J7" i="7"/>
  <c r="J4" i="7"/>
  <c r="I15" i="7"/>
  <c r="I8" i="7"/>
  <c r="L15" i="7" l="1"/>
  <c r="I22" i="7"/>
  <c r="AA12" i="6"/>
  <c r="AA13" i="6"/>
  <c r="AA14" i="6"/>
  <c r="AA11" i="6"/>
  <c r="AA5" i="6"/>
  <c r="AA6" i="6"/>
  <c r="AA7" i="6"/>
  <c r="AA4" i="6"/>
  <c r="AA12" i="7"/>
  <c r="AA13" i="7"/>
  <c r="AA14" i="7"/>
  <c r="AA11" i="7"/>
  <c r="AA5" i="7"/>
  <c r="AA6" i="7"/>
  <c r="AA7" i="7"/>
  <c r="H12" i="7"/>
  <c r="H13" i="7"/>
  <c r="H14" i="7"/>
  <c r="H11" i="7"/>
  <c r="G19" i="7"/>
  <c r="J19" i="7" s="1"/>
  <c r="G20" i="7"/>
  <c r="J20" i="7" s="1"/>
  <c r="G21" i="7"/>
  <c r="J21" i="7" s="1"/>
  <c r="G18" i="7"/>
  <c r="J18" i="7" s="1"/>
  <c r="G15" i="7"/>
  <c r="J15" i="7" s="1"/>
  <c r="H5" i="7"/>
  <c r="H6" i="7"/>
  <c r="H7" i="7"/>
  <c r="H4" i="7"/>
  <c r="G8" i="7"/>
  <c r="J8" i="7" s="1"/>
  <c r="G22" i="7" l="1"/>
  <c r="L22" i="7"/>
  <c r="J22" i="7"/>
  <c r="F12" i="7"/>
  <c r="F13" i="7"/>
  <c r="F14" i="7"/>
  <c r="F11" i="7"/>
  <c r="F5" i="7"/>
  <c r="F6" i="7"/>
  <c r="F7" i="7"/>
  <c r="F4" i="7"/>
  <c r="E19" i="7"/>
  <c r="H19" i="7" s="1"/>
  <c r="E20" i="7"/>
  <c r="H20" i="7" s="1"/>
  <c r="E21" i="7"/>
  <c r="H21" i="7" s="1"/>
  <c r="E18" i="7"/>
  <c r="H18" i="7" s="1"/>
  <c r="E15" i="7"/>
  <c r="H15" i="7" s="1"/>
  <c r="E8" i="7"/>
  <c r="E22" i="7" l="1"/>
  <c r="H8" i="7"/>
  <c r="H22" i="7"/>
  <c r="C21" i="7"/>
  <c r="C20" i="7"/>
  <c r="C19" i="7"/>
  <c r="C18" i="7"/>
  <c r="F18" i="7" s="1"/>
  <c r="C15" i="7"/>
  <c r="D14" i="7"/>
  <c r="D13" i="7"/>
  <c r="D12" i="7"/>
  <c r="D11" i="7"/>
  <c r="Z10" i="7"/>
  <c r="Z17" i="7" s="1"/>
  <c r="Y10" i="7"/>
  <c r="Y17" i="7" s="1"/>
  <c r="X10" i="7"/>
  <c r="X17" i="7" s="1"/>
  <c r="W10" i="7"/>
  <c r="W17" i="7" s="1"/>
  <c r="V10" i="7"/>
  <c r="V17" i="7" s="1"/>
  <c r="U10" i="7"/>
  <c r="U17" i="7" s="1"/>
  <c r="T10" i="7"/>
  <c r="T17" i="7" s="1"/>
  <c r="S10" i="7"/>
  <c r="S17" i="7" s="1"/>
  <c r="R10" i="7"/>
  <c r="R17" i="7" s="1"/>
  <c r="Q10" i="7"/>
  <c r="Q17" i="7" s="1"/>
  <c r="P10" i="7"/>
  <c r="P17" i="7" s="1"/>
  <c r="O10" i="7"/>
  <c r="O17" i="7" s="1"/>
  <c r="N10" i="7"/>
  <c r="N17" i="7" s="1"/>
  <c r="M10" i="7"/>
  <c r="M17" i="7" s="1"/>
  <c r="L10" i="7"/>
  <c r="L17" i="7" s="1"/>
  <c r="K10" i="7"/>
  <c r="K17" i="7" s="1"/>
  <c r="J10" i="7"/>
  <c r="J17" i="7" s="1"/>
  <c r="I10" i="7"/>
  <c r="I17" i="7" s="1"/>
  <c r="H10" i="7"/>
  <c r="H17" i="7" s="1"/>
  <c r="G10" i="7"/>
  <c r="G17" i="7" s="1"/>
  <c r="F10" i="7"/>
  <c r="F17" i="7" s="1"/>
  <c r="E10" i="7"/>
  <c r="E17" i="7" s="1"/>
  <c r="D10" i="7"/>
  <c r="D17" i="7" s="1"/>
  <c r="C10" i="7"/>
  <c r="C17" i="7" s="1"/>
  <c r="C8" i="7"/>
  <c r="AA8" i="7" s="1"/>
  <c r="D7" i="7"/>
  <c r="D6" i="7"/>
  <c r="D5" i="7"/>
  <c r="D4" i="7"/>
  <c r="D19" i="7" l="1"/>
  <c r="AA19" i="7"/>
  <c r="F19" i="7"/>
  <c r="D15" i="7"/>
  <c r="AA15" i="7"/>
  <c r="AB15" i="7" s="1"/>
  <c r="F15" i="7"/>
  <c r="D18" i="7"/>
  <c r="AA18" i="7"/>
  <c r="D20" i="7"/>
  <c r="AA20" i="7"/>
  <c r="F20" i="7"/>
  <c r="F22" i="7"/>
  <c r="D21" i="7"/>
  <c r="AA21" i="7"/>
  <c r="F21" i="7"/>
  <c r="F8" i="7"/>
  <c r="C22" i="7"/>
  <c r="AA22" i="7" s="1"/>
  <c r="D8" i="7"/>
  <c r="AB8" i="7"/>
  <c r="D22" i="7"/>
  <c r="AB5" i="7"/>
  <c r="Y19" i="6"/>
  <c r="Y20" i="6"/>
  <c r="Y21" i="6"/>
  <c r="Y18" i="6"/>
  <c r="Z12" i="6"/>
  <c r="Z13" i="6"/>
  <c r="Z14" i="6"/>
  <c r="Z11" i="6"/>
  <c r="Z5" i="6"/>
  <c r="Z6" i="6"/>
  <c r="Z7" i="6"/>
  <c r="Z4" i="6"/>
  <c r="Y15" i="6"/>
  <c r="Y8" i="6"/>
  <c r="Y22" i="6" l="1"/>
  <c r="AB13" i="7"/>
  <c r="AB4" i="7"/>
  <c r="AB12" i="7"/>
  <c r="AB7" i="7"/>
  <c r="AB6" i="7"/>
  <c r="AB11" i="7"/>
  <c r="AB14" i="7"/>
  <c r="X12" i="6"/>
  <c r="X13" i="6"/>
  <c r="X14" i="6"/>
  <c r="X11" i="6"/>
  <c r="X5" i="6"/>
  <c r="X6" i="6"/>
  <c r="X7" i="6"/>
  <c r="X4" i="6"/>
  <c r="W19" i="6"/>
  <c r="Z19" i="6" s="1"/>
  <c r="W20" i="6"/>
  <c r="Z20" i="6" s="1"/>
  <c r="W21" i="6"/>
  <c r="W18" i="6"/>
  <c r="W15" i="6"/>
  <c r="Z15" i="6" s="1"/>
  <c r="W8" i="6"/>
  <c r="W22" i="6" s="1"/>
  <c r="Z22" i="6" l="1"/>
  <c r="Z18" i="6"/>
  <c r="Z8" i="6"/>
  <c r="Z21" i="6"/>
  <c r="V12" i="6"/>
  <c r="V13" i="6"/>
  <c r="V14" i="6"/>
  <c r="V11" i="6"/>
  <c r="V5" i="6"/>
  <c r="V6" i="6"/>
  <c r="V7" i="6"/>
  <c r="V4" i="6"/>
  <c r="U19" i="6"/>
  <c r="U20" i="6"/>
  <c r="X20" i="6" s="1"/>
  <c r="U21" i="6"/>
  <c r="X21" i="6" s="1"/>
  <c r="U18" i="6"/>
  <c r="X18" i="6" s="1"/>
  <c r="U15" i="6"/>
  <c r="X15" i="6" s="1"/>
  <c r="U8" i="6"/>
  <c r="U22" i="6" s="1"/>
  <c r="X22" i="6" l="1"/>
  <c r="X19" i="6"/>
  <c r="X8" i="6"/>
  <c r="T12" i="6"/>
  <c r="T13" i="6"/>
  <c r="T14" i="6"/>
  <c r="T11" i="6"/>
  <c r="T5" i="6"/>
  <c r="T6" i="6"/>
  <c r="T7" i="6"/>
  <c r="T4" i="6"/>
  <c r="S19" i="6"/>
  <c r="V19" i="6" s="1"/>
  <c r="S20" i="6"/>
  <c r="S21" i="6"/>
  <c r="V21" i="6" s="1"/>
  <c r="S18" i="6"/>
  <c r="S15" i="6"/>
  <c r="V15" i="6" s="1"/>
  <c r="S8" i="6"/>
  <c r="V20" i="6" l="1"/>
  <c r="V18" i="6"/>
  <c r="S22" i="6"/>
  <c r="V8" i="6"/>
  <c r="V22" i="6" l="1"/>
  <c r="R12" i="6"/>
  <c r="R13" i="6"/>
  <c r="R14" i="6"/>
  <c r="R11" i="6"/>
  <c r="R5" i="6"/>
  <c r="R6" i="6"/>
  <c r="R7" i="6"/>
  <c r="R4" i="6"/>
  <c r="Q19" i="6"/>
  <c r="T19" i="6" s="1"/>
  <c r="Q20" i="6"/>
  <c r="T20" i="6" s="1"/>
  <c r="Q21" i="6"/>
  <c r="T21" i="6" s="1"/>
  <c r="Q18" i="6"/>
  <c r="T18" i="6" s="1"/>
  <c r="Q15" i="6"/>
  <c r="T15" i="6" s="1"/>
  <c r="Q8" i="6"/>
  <c r="T8" i="6" s="1"/>
  <c r="Q22" i="6" l="1"/>
  <c r="O19" i="6"/>
  <c r="R19" i="6" s="1"/>
  <c r="O20" i="6"/>
  <c r="R20" i="6" s="1"/>
  <c r="O21" i="6"/>
  <c r="R21" i="6" s="1"/>
  <c r="O18" i="6"/>
  <c r="R18" i="6" s="1"/>
  <c r="P12" i="6"/>
  <c r="P13" i="6"/>
  <c r="P14" i="6"/>
  <c r="P11" i="6"/>
  <c r="O15" i="6"/>
  <c r="O22" i="6" s="1"/>
  <c r="P5" i="6"/>
  <c r="P6" i="6"/>
  <c r="P7" i="6"/>
  <c r="P4" i="6"/>
  <c r="O8" i="6"/>
  <c r="R8" i="6" s="1"/>
  <c r="R15" i="6" l="1"/>
  <c r="R22" i="6"/>
  <c r="T22" i="6"/>
  <c r="N12" i="6"/>
  <c r="N13" i="6"/>
  <c r="N14" i="6"/>
  <c r="N11" i="6"/>
  <c r="N5" i="6"/>
  <c r="N6" i="6"/>
  <c r="N7" i="6"/>
  <c r="N4" i="6"/>
  <c r="M19" i="6"/>
  <c r="P19" i="6" s="1"/>
  <c r="M20" i="6"/>
  <c r="P20" i="6" s="1"/>
  <c r="M21" i="6"/>
  <c r="P21" i="6" s="1"/>
  <c r="M22" i="6"/>
  <c r="P22" i="6" s="1"/>
  <c r="M18" i="6"/>
  <c r="M15" i="6"/>
  <c r="P15" i="6" s="1"/>
  <c r="M8" i="6"/>
  <c r="P8" i="6" s="1"/>
  <c r="P18" i="6" l="1"/>
  <c r="L12" i="6"/>
  <c r="L13" i="6"/>
  <c r="L14" i="6"/>
  <c r="L11" i="6"/>
  <c r="L5" i="6"/>
  <c r="L6" i="6"/>
  <c r="L7" i="6"/>
  <c r="L4" i="6"/>
  <c r="K19" i="6"/>
  <c r="N19" i="6" s="1"/>
  <c r="K20" i="6"/>
  <c r="N20" i="6" s="1"/>
  <c r="K21" i="6"/>
  <c r="N21" i="6" s="1"/>
  <c r="K18" i="6"/>
  <c r="N18" i="6" s="1"/>
  <c r="K15" i="6"/>
  <c r="N15" i="6" s="1"/>
  <c r="K8" i="6"/>
  <c r="K22" i="6" s="1"/>
  <c r="N22" i="6" s="1"/>
  <c r="N8" i="6" l="1"/>
  <c r="J12" i="6"/>
  <c r="J13" i="6"/>
  <c r="J14" i="6"/>
  <c r="J11" i="6"/>
  <c r="I19" i="6"/>
  <c r="L19" i="6" s="1"/>
  <c r="I20" i="6"/>
  <c r="L20" i="6" s="1"/>
  <c r="I21" i="6"/>
  <c r="L21" i="6" s="1"/>
  <c r="I18" i="6"/>
  <c r="L18" i="6" s="1"/>
  <c r="I15" i="6"/>
  <c r="L15" i="6" s="1"/>
  <c r="J5" i="6"/>
  <c r="J6" i="6"/>
  <c r="J7" i="6"/>
  <c r="J4" i="6"/>
  <c r="I8" i="6"/>
  <c r="L8" i="6" s="1"/>
  <c r="I22" i="6" l="1"/>
  <c r="H12" i="6"/>
  <c r="H13" i="6"/>
  <c r="H14" i="6"/>
  <c r="H11" i="6"/>
  <c r="H5" i="6"/>
  <c r="H6" i="6"/>
  <c r="H7" i="6"/>
  <c r="H4" i="6"/>
  <c r="G19" i="6"/>
  <c r="J19" i="6" s="1"/>
  <c r="G20" i="6"/>
  <c r="J20" i="6" s="1"/>
  <c r="G21" i="6"/>
  <c r="J21" i="6" s="1"/>
  <c r="G18" i="6"/>
  <c r="J18" i="6" s="1"/>
  <c r="G15" i="6"/>
  <c r="J15" i="6" s="1"/>
  <c r="G8" i="6"/>
  <c r="L22" i="6" l="1"/>
  <c r="G22" i="6"/>
  <c r="J22" i="6" s="1"/>
  <c r="J8" i="6"/>
  <c r="F12" i="6"/>
  <c r="F13" i="6"/>
  <c r="F14" i="6"/>
  <c r="F11" i="6"/>
  <c r="F5" i="6"/>
  <c r="F6" i="6"/>
  <c r="F7" i="6"/>
  <c r="F4" i="6"/>
  <c r="E19" i="6"/>
  <c r="H19" i="6" s="1"/>
  <c r="E20" i="6"/>
  <c r="H20" i="6" s="1"/>
  <c r="E21" i="6"/>
  <c r="H21" i="6" s="1"/>
  <c r="E18" i="6"/>
  <c r="H18" i="6" s="1"/>
  <c r="E15" i="6"/>
  <c r="H15" i="6" s="1"/>
  <c r="E8" i="6"/>
  <c r="E22" i="6" l="1"/>
  <c r="H22" i="6"/>
  <c r="H8" i="6"/>
  <c r="D12" i="6"/>
  <c r="D13" i="6"/>
  <c r="D14" i="6"/>
  <c r="D11" i="6"/>
  <c r="D5" i="6"/>
  <c r="D6" i="6"/>
  <c r="D7" i="6"/>
  <c r="D4" i="6"/>
  <c r="C19" i="6"/>
  <c r="AA19" i="6" s="1"/>
  <c r="C20" i="6"/>
  <c r="AA20" i="6" s="1"/>
  <c r="C21" i="6"/>
  <c r="AA21" i="6" s="1"/>
  <c r="C18" i="6"/>
  <c r="AA18" i="6" s="1"/>
  <c r="C15" i="6"/>
  <c r="AA15" i="6" s="1"/>
  <c r="C10" i="6"/>
  <c r="C17" i="6" s="1"/>
  <c r="D10" i="6"/>
  <c r="D17" i="6" s="1"/>
  <c r="E10" i="6"/>
  <c r="E17" i="6" s="1"/>
  <c r="F10" i="6"/>
  <c r="F17" i="6" s="1"/>
  <c r="G10" i="6"/>
  <c r="G17" i="6" s="1"/>
  <c r="H10" i="6"/>
  <c r="H17" i="6" s="1"/>
  <c r="I10" i="6"/>
  <c r="I17" i="6" s="1"/>
  <c r="J10" i="6"/>
  <c r="J17" i="6" s="1"/>
  <c r="K10" i="6"/>
  <c r="K17" i="6" s="1"/>
  <c r="L10" i="6"/>
  <c r="L17" i="6" s="1"/>
  <c r="M10" i="6"/>
  <c r="M17" i="6" s="1"/>
  <c r="N10" i="6"/>
  <c r="N17" i="6" s="1"/>
  <c r="O10" i="6"/>
  <c r="O17" i="6" s="1"/>
  <c r="P10" i="6"/>
  <c r="P17" i="6" s="1"/>
  <c r="Q10" i="6"/>
  <c r="Q17" i="6" s="1"/>
  <c r="R10" i="6"/>
  <c r="R17" i="6" s="1"/>
  <c r="S10" i="6"/>
  <c r="S17" i="6" s="1"/>
  <c r="T10" i="6"/>
  <c r="T17" i="6" s="1"/>
  <c r="U10" i="6"/>
  <c r="U17" i="6" s="1"/>
  <c r="V10" i="6"/>
  <c r="V17" i="6" s="1"/>
  <c r="W10" i="6"/>
  <c r="W17" i="6" s="1"/>
  <c r="X10" i="6"/>
  <c r="X17" i="6" s="1"/>
  <c r="Y10" i="6"/>
  <c r="Y17" i="6" s="1"/>
  <c r="Z10" i="6"/>
  <c r="Z17" i="6" s="1"/>
  <c r="B10" i="6"/>
  <c r="B17" i="6" s="1"/>
  <c r="C8" i="6"/>
  <c r="AA8" i="6" s="1"/>
  <c r="B8" i="6"/>
  <c r="D18" i="6" l="1"/>
  <c r="D21" i="6"/>
  <c r="D19" i="6"/>
  <c r="C22" i="6"/>
  <c r="AA22" i="6" s="1"/>
  <c r="F21" i="6"/>
  <c r="F8" i="6"/>
  <c r="F20" i="6"/>
  <c r="D8" i="6"/>
  <c r="AB5" i="6"/>
  <c r="AB6" i="6"/>
  <c r="AB7" i="6"/>
  <c r="AB4" i="6"/>
  <c r="F19" i="6"/>
  <c r="AB8" i="6"/>
  <c r="D22" i="6"/>
  <c r="F15" i="6"/>
  <c r="AB11" i="6"/>
  <c r="AB12" i="6"/>
  <c r="AB13" i="6"/>
  <c r="AB14" i="6"/>
  <c r="AB15" i="6"/>
  <c r="F18" i="6"/>
  <c r="D20" i="6"/>
  <c r="D15" i="6"/>
  <c r="F22" i="6"/>
  <c r="Y20" i="5" l="1"/>
  <c r="Y21" i="5"/>
  <c r="Y22" i="5"/>
  <c r="Y19" i="5"/>
  <c r="Z12" i="5"/>
  <c r="Z13" i="5"/>
  <c r="Z14" i="5"/>
  <c r="Z11" i="5"/>
  <c r="Y15" i="5"/>
  <c r="Z5" i="5"/>
  <c r="Z6" i="5"/>
  <c r="Z7" i="5"/>
  <c r="Z4" i="5"/>
  <c r="Y8" i="5"/>
  <c r="Y23" i="5" s="1"/>
  <c r="X12" i="5" l="1"/>
  <c r="X13" i="5"/>
  <c r="X14" i="5"/>
  <c r="X11" i="5"/>
  <c r="W20" i="5"/>
  <c r="W21" i="5"/>
  <c r="W22" i="5"/>
  <c r="Z22" i="5" s="1"/>
  <c r="W19" i="5"/>
  <c r="Z19" i="5" s="1"/>
  <c r="W15" i="5"/>
  <c r="Z15" i="5" s="1"/>
  <c r="X5" i="5"/>
  <c r="X6" i="5"/>
  <c r="X7" i="5"/>
  <c r="X4" i="5"/>
  <c r="W8" i="5"/>
  <c r="W23" i="5" l="1"/>
  <c r="Z8" i="5"/>
  <c r="Z23" i="5"/>
  <c r="Z21" i="5"/>
  <c r="Z20" i="5"/>
  <c r="V12" i="5"/>
  <c r="V13" i="5"/>
  <c r="V14" i="5"/>
  <c r="V11" i="5"/>
  <c r="V5" i="5"/>
  <c r="V6" i="5"/>
  <c r="V7" i="5"/>
  <c r="V4" i="5"/>
  <c r="U20" i="5"/>
  <c r="X20" i="5" s="1"/>
  <c r="U21" i="5"/>
  <c r="X21" i="5" s="1"/>
  <c r="U22" i="5"/>
  <c r="X22" i="5" s="1"/>
  <c r="U19" i="5"/>
  <c r="X19" i="5" s="1"/>
  <c r="U15" i="5"/>
  <c r="X15" i="5" s="1"/>
  <c r="U8" i="5"/>
  <c r="X8" i="5" s="1"/>
  <c r="U23" i="5" l="1"/>
  <c r="X23" i="5"/>
  <c r="T12" i="5"/>
  <c r="T13" i="5"/>
  <c r="T14" i="5"/>
  <c r="T11" i="5"/>
  <c r="T5" i="5"/>
  <c r="T6" i="5"/>
  <c r="T7" i="5"/>
  <c r="T4" i="5"/>
  <c r="S20" i="5"/>
  <c r="V20" i="5" s="1"/>
  <c r="S21" i="5"/>
  <c r="V21" i="5" s="1"/>
  <c r="S22" i="5"/>
  <c r="V22" i="5" s="1"/>
  <c r="S19" i="5"/>
  <c r="V19" i="5" s="1"/>
  <c r="S15" i="5"/>
  <c r="V15" i="5" s="1"/>
  <c r="S8" i="5"/>
  <c r="V8" i="5" s="1"/>
  <c r="S23" i="5" l="1"/>
  <c r="R12" i="5"/>
  <c r="R13" i="5"/>
  <c r="R14" i="5"/>
  <c r="R11" i="5"/>
  <c r="R5" i="5"/>
  <c r="R6" i="5"/>
  <c r="R7" i="5"/>
  <c r="R4" i="5"/>
  <c r="Q20" i="5"/>
  <c r="T20" i="5" s="1"/>
  <c r="Q21" i="5"/>
  <c r="Q22" i="5"/>
  <c r="T22" i="5" s="1"/>
  <c r="Q19" i="5"/>
  <c r="T19" i="5" s="1"/>
  <c r="Q15" i="5"/>
  <c r="Q8" i="5"/>
  <c r="Q23" i="5" l="1"/>
  <c r="T8" i="5"/>
  <c r="T15" i="5"/>
  <c r="T21" i="5"/>
  <c r="R22" i="5"/>
  <c r="V23" i="5"/>
  <c r="AA4" i="5"/>
  <c r="P12" i="5"/>
  <c r="P13" i="5"/>
  <c r="P14" i="5"/>
  <c r="P11" i="5"/>
  <c r="P5" i="5"/>
  <c r="P6" i="5"/>
  <c r="P7" i="5"/>
  <c r="P4" i="5"/>
  <c r="O20" i="5"/>
  <c r="R20" i="5" s="1"/>
  <c r="O21" i="5"/>
  <c r="R21" i="5" s="1"/>
  <c r="O22" i="5"/>
  <c r="O19" i="5"/>
  <c r="R19" i="5" s="1"/>
  <c r="O15" i="5"/>
  <c r="R15" i="5" s="1"/>
  <c r="O8" i="5"/>
  <c r="R8" i="5" s="1"/>
  <c r="O23" i="5" l="1"/>
  <c r="T23" i="5"/>
  <c r="R23" i="5" l="1"/>
  <c r="N12" i="5"/>
  <c r="N13" i="5"/>
  <c r="N14" i="5"/>
  <c r="N11" i="5"/>
  <c r="N5" i="5"/>
  <c r="N6" i="5"/>
  <c r="N7" i="5"/>
  <c r="N4" i="5"/>
  <c r="M20" i="5"/>
  <c r="P20" i="5" s="1"/>
  <c r="M21" i="5"/>
  <c r="P21" i="5" s="1"/>
  <c r="M22" i="5"/>
  <c r="P22" i="5" s="1"/>
  <c r="M19" i="5"/>
  <c r="P19" i="5" s="1"/>
  <c r="M15" i="5"/>
  <c r="P15" i="5" s="1"/>
  <c r="M8" i="5"/>
  <c r="P8" i="5" s="1"/>
  <c r="M23" i="5" l="1"/>
  <c r="L12" i="5"/>
  <c r="L13" i="5"/>
  <c r="L14" i="5"/>
  <c r="L11" i="5"/>
  <c r="L5" i="5"/>
  <c r="L6" i="5"/>
  <c r="L7" i="5"/>
  <c r="L4" i="5"/>
  <c r="K20" i="5"/>
  <c r="N20" i="5" s="1"/>
  <c r="K21" i="5"/>
  <c r="N21" i="5" s="1"/>
  <c r="K22" i="5"/>
  <c r="N22" i="5" s="1"/>
  <c r="K19" i="5"/>
  <c r="K15" i="5"/>
  <c r="N15" i="5" s="1"/>
  <c r="K8" i="5"/>
  <c r="N8" i="5" s="1"/>
  <c r="K23" i="5" l="1"/>
  <c r="N23" i="5"/>
  <c r="P23" i="5"/>
  <c r="N19" i="5"/>
  <c r="L22" i="5"/>
  <c r="I20" i="5"/>
  <c r="I21" i="5"/>
  <c r="L21" i="5" s="1"/>
  <c r="I23" i="5"/>
  <c r="L23" i="5" s="1"/>
  <c r="I19" i="5"/>
  <c r="L19" i="5" s="1"/>
  <c r="J12" i="5"/>
  <c r="J13" i="5"/>
  <c r="J14" i="5"/>
  <c r="J11" i="5"/>
  <c r="J5" i="5"/>
  <c r="J6" i="5"/>
  <c r="J7" i="5"/>
  <c r="J4" i="5"/>
  <c r="I15" i="5"/>
  <c r="L15" i="5" s="1"/>
  <c r="I8" i="5"/>
  <c r="L20" i="5" l="1"/>
  <c r="L8" i="5"/>
  <c r="G20" i="5"/>
  <c r="J20" i="5" s="1"/>
  <c r="G21" i="5"/>
  <c r="J21" i="5" s="1"/>
  <c r="G22" i="5"/>
  <c r="G19" i="5"/>
  <c r="J19" i="5" s="1"/>
  <c r="H12" i="5"/>
  <c r="H13" i="5"/>
  <c r="H14" i="5"/>
  <c r="H11" i="5"/>
  <c r="H5" i="5"/>
  <c r="H6" i="5"/>
  <c r="H7" i="5"/>
  <c r="H4" i="5"/>
  <c r="G15" i="5"/>
  <c r="J15" i="5" s="1"/>
  <c r="G8" i="5"/>
  <c r="J8" i="5" s="1"/>
  <c r="G23" i="5" l="1"/>
  <c r="J23" i="5"/>
  <c r="H8" i="5"/>
  <c r="F12" i="5"/>
  <c r="F13" i="5"/>
  <c r="F14" i="5"/>
  <c r="F11" i="5"/>
  <c r="F5" i="5"/>
  <c r="F6" i="5"/>
  <c r="F7" i="5"/>
  <c r="F4" i="5"/>
  <c r="E20" i="5"/>
  <c r="H20" i="5" s="1"/>
  <c r="E21" i="5"/>
  <c r="H21" i="5" s="1"/>
  <c r="E22" i="5"/>
  <c r="H22" i="5" s="1"/>
  <c r="E23" i="5"/>
  <c r="H23" i="5" s="1"/>
  <c r="E19" i="5"/>
  <c r="E15" i="5"/>
  <c r="H15" i="5" s="1"/>
  <c r="E8" i="5"/>
  <c r="H19" i="5" l="1"/>
  <c r="C8" i="5"/>
  <c r="C15" i="5"/>
  <c r="D15" i="5" s="1"/>
  <c r="AA12" i="5"/>
  <c r="AA13" i="5"/>
  <c r="AA14" i="5"/>
  <c r="AA11" i="5"/>
  <c r="D12" i="5"/>
  <c r="D13" i="5"/>
  <c r="D14" i="5"/>
  <c r="D11" i="5"/>
  <c r="D5" i="5"/>
  <c r="D6" i="5"/>
  <c r="D7" i="5"/>
  <c r="D4" i="5"/>
  <c r="C22" i="5"/>
  <c r="C21" i="5"/>
  <c r="C20" i="5"/>
  <c r="C19" i="5"/>
  <c r="AA7" i="5"/>
  <c r="AA6" i="5"/>
  <c r="AA5" i="5"/>
  <c r="C23" i="5" l="1"/>
  <c r="AA23" i="5" s="1"/>
  <c r="D21" i="5"/>
  <c r="AA21" i="5"/>
  <c r="F23" i="5"/>
  <c r="D19" i="5"/>
  <c r="AA19" i="5"/>
  <c r="D22" i="5"/>
  <c r="AA22" i="5"/>
  <c r="F22" i="5"/>
  <c r="F21" i="5"/>
  <c r="AA15" i="5"/>
  <c r="AB11" i="5" s="1"/>
  <c r="F15" i="5"/>
  <c r="F8" i="5"/>
  <c r="AA20" i="5"/>
  <c r="F20" i="5"/>
  <c r="F19" i="5"/>
  <c r="D20" i="5"/>
  <c r="D23" i="5"/>
  <c r="AA8" i="5"/>
  <c r="AB5" i="5" s="1"/>
  <c r="D8" i="5"/>
  <c r="Y20" i="4"/>
  <c r="Y21" i="4"/>
  <c r="Y22" i="4"/>
  <c r="Y19" i="4"/>
  <c r="Z12" i="4"/>
  <c r="Z13" i="4"/>
  <c r="Z14" i="4"/>
  <c r="Z11" i="4"/>
  <c r="Z5" i="4"/>
  <c r="Z6" i="4"/>
  <c r="Z7" i="4"/>
  <c r="Z4" i="4"/>
  <c r="Y15" i="4"/>
  <c r="Y8" i="4"/>
  <c r="AB13" i="5" l="1"/>
  <c r="AB14" i="5"/>
  <c r="AB15" i="5"/>
  <c r="AB12" i="5"/>
  <c r="Y23" i="4"/>
  <c r="AB6" i="5"/>
  <c r="AB7" i="5"/>
  <c r="AB4" i="5"/>
  <c r="AB8" i="5"/>
  <c r="X12" i="4"/>
  <c r="X13" i="4"/>
  <c r="X14" i="4"/>
  <c r="X11" i="4"/>
  <c r="X5" i="4"/>
  <c r="X6" i="4"/>
  <c r="X7" i="4"/>
  <c r="X4" i="4"/>
  <c r="W20" i="4"/>
  <c r="W21" i="4"/>
  <c r="W22" i="4"/>
  <c r="Z22" i="4" s="1"/>
  <c r="W19" i="4"/>
  <c r="Z19" i="4" s="1"/>
  <c r="W15" i="4"/>
  <c r="Z15" i="4" s="1"/>
  <c r="W8" i="4"/>
  <c r="Z8" i="4" s="1"/>
  <c r="Z21" i="4" l="1"/>
  <c r="Z20" i="4"/>
  <c r="X8" i="4"/>
  <c r="W23" i="4"/>
  <c r="V12" i="4"/>
  <c r="V13" i="4"/>
  <c r="V14" i="4"/>
  <c r="V11" i="4"/>
  <c r="V5" i="4"/>
  <c r="V6" i="4"/>
  <c r="V7" i="4"/>
  <c r="V4" i="4"/>
  <c r="U20" i="4"/>
  <c r="X20" i="4" s="1"/>
  <c r="U21" i="4"/>
  <c r="X21" i="4" s="1"/>
  <c r="U22" i="4"/>
  <c r="X22" i="4" s="1"/>
  <c r="U19" i="4"/>
  <c r="U15" i="4"/>
  <c r="U8" i="4"/>
  <c r="Z23" i="4" l="1"/>
  <c r="X19" i="4"/>
  <c r="X15" i="4"/>
  <c r="U23" i="4"/>
  <c r="X23" i="4" l="1"/>
  <c r="T12" i="4"/>
  <c r="T13" i="4"/>
  <c r="T14" i="4"/>
  <c r="T11" i="4"/>
  <c r="T5" i="4"/>
  <c r="T6" i="4"/>
  <c r="T7" i="4"/>
  <c r="T4" i="4"/>
  <c r="S20" i="4"/>
  <c r="V20" i="4" s="1"/>
  <c r="S21" i="4"/>
  <c r="V21" i="4" s="1"/>
  <c r="S22" i="4"/>
  <c r="S19" i="4"/>
  <c r="V19" i="4" s="1"/>
  <c r="S15" i="4"/>
  <c r="S8" i="4"/>
  <c r="V22" i="4" l="1"/>
  <c r="S23" i="4"/>
  <c r="V8" i="4"/>
  <c r="V15" i="4"/>
  <c r="V23" i="4" l="1"/>
  <c r="R12" i="4"/>
  <c r="R13" i="4"/>
  <c r="R14" i="4"/>
  <c r="R11" i="4"/>
  <c r="R5" i="4"/>
  <c r="R6" i="4"/>
  <c r="R7" i="4"/>
  <c r="R4" i="4"/>
  <c r="Q20" i="4"/>
  <c r="T20" i="4" s="1"/>
  <c r="Q21" i="4"/>
  <c r="T21" i="4" s="1"/>
  <c r="Q22" i="4"/>
  <c r="T22" i="4" s="1"/>
  <c r="Q19" i="4"/>
  <c r="T19" i="4" s="1"/>
  <c r="Q15" i="4"/>
  <c r="T15" i="4" s="1"/>
  <c r="Q8" i="4"/>
  <c r="T8" i="4" s="1"/>
  <c r="Q23" i="4" l="1"/>
  <c r="P12" i="4"/>
  <c r="P13" i="4"/>
  <c r="P14" i="4"/>
  <c r="P11" i="4"/>
  <c r="P5" i="4"/>
  <c r="P6" i="4"/>
  <c r="P7" i="4"/>
  <c r="P4" i="4"/>
  <c r="O20" i="4"/>
  <c r="R20" i="4" s="1"/>
  <c r="O21" i="4"/>
  <c r="R21" i="4" s="1"/>
  <c r="O22" i="4"/>
  <c r="R22" i="4" s="1"/>
  <c r="O19" i="4"/>
  <c r="R19" i="4" s="1"/>
  <c r="O15" i="4"/>
  <c r="R15" i="4" s="1"/>
  <c r="O8" i="4"/>
  <c r="R8" i="4" s="1"/>
  <c r="T23" i="4" l="1"/>
  <c r="O23" i="4"/>
  <c r="N12" i="4"/>
  <c r="N13" i="4"/>
  <c r="N14" i="4"/>
  <c r="N11" i="4"/>
  <c r="N5" i="4"/>
  <c r="N6" i="4"/>
  <c r="N7" i="4"/>
  <c r="N4" i="4"/>
  <c r="M20" i="4"/>
  <c r="P20" i="4" s="1"/>
  <c r="M21" i="4"/>
  <c r="P21" i="4" s="1"/>
  <c r="M22" i="4"/>
  <c r="M19" i="4"/>
  <c r="P19" i="4" s="1"/>
  <c r="M15" i="4"/>
  <c r="P15" i="4" s="1"/>
  <c r="M8" i="4"/>
  <c r="M23" i="4" l="1"/>
  <c r="P8" i="4"/>
  <c r="P23" i="4"/>
  <c r="P22" i="4"/>
  <c r="R23" i="4"/>
  <c r="N20" i="4"/>
  <c r="L12" i="4"/>
  <c r="L13" i="4"/>
  <c r="L14" i="4"/>
  <c r="L11" i="4"/>
  <c r="L5" i="4"/>
  <c r="L6" i="4"/>
  <c r="L7" i="4"/>
  <c r="L4" i="4"/>
  <c r="K15" i="4"/>
  <c r="K8" i="4"/>
  <c r="N8" i="4" s="1"/>
  <c r="K20" i="4"/>
  <c r="K21" i="4"/>
  <c r="N21" i="4" s="1"/>
  <c r="K22" i="4"/>
  <c r="N22" i="4" s="1"/>
  <c r="K19" i="4"/>
  <c r="N19" i="4" s="1"/>
  <c r="K23" i="4" l="1"/>
  <c r="N15" i="4"/>
  <c r="J12" i="4"/>
  <c r="J13" i="4"/>
  <c r="J14" i="4"/>
  <c r="J11" i="4"/>
  <c r="J5" i="4"/>
  <c r="J6" i="4"/>
  <c r="J7" i="4"/>
  <c r="J4" i="4"/>
  <c r="I20" i="4"/>
  <c r="L20" i="4" s="1"/>
  <c r="I21" i="4"/>
  <c r="I22" i="4"/>
  <c r="I19" i="4"/>
  <c r="L19" i="4" s="1"/>
  <c r="I15" i="4"/>
  <c r="L15" i="4" s="1"/>
  <c r="I8" i="4"/>
  <c r="L8" i="4" s="1"/>
  <c r="N23" i="4" l="1"/>
  <c r="L22" i="4"/>
  <c r="I23" i="4"/>
  <c r="L23" i="4" s="1"/>
  <c r="L21" i="4"/>
  <c r="AA4" i="4"/>
  <c r="H12" i="4"/>
  <c r="H13" i="4"/>
  <c r="H14" i="4"/>
  <c r="H11" i="4"/>
  <c r="H5" i="4"/>
  <c r="H6" i="4"/>
  <c r="H7" i="4"/>
  <c r="H4" i="4"/>
  <c r="G20" i="4"/>
  <c r="J20" i="4" s="1"/>
  <c r="G21" i="4"/>
  <c r="J21" i="4" s="1"/>
  <c r="G22" i="4"/>
  <c r="J22" i="4" s="1"/>
  <c r="G19" i="4"/>
  <c r="G15" i="4"/>
  <c r="J15" i="4" s="1"/>
  <c r="G8" i="4"/>
  <c r="G23" i="4" s="1"/>
  <c r="J19" i="4" l="1"/>
  <c r="J8" i="4"/>
  <c r="J23" i="4"/>
  <c r="E20" i="4"/>
  <c r="H20" i="4" s="1"/>
  <c r="E21" i="4"/>
  <c r="E22" i="4"/>
  <c r="H22" i="4" s="1"/>
  <c r="E19" i="4"/>
  <c r="H19" i="4" s="1"/>
  <c r="F12" i="4"/>
  <c r="F13" i="4"/>
  <c r="F14" i="4"/>
  <c r="F11" i="4"/>
  <c r="D12" i="4"/>
  <c r="D13" i="4"/>
  <c r="D14" i="4"/>
  <c r="D11" i="4"/>
  <c r="F5" i="4"/>
  <c r="F6" i="4"/>
  <c r="F7" i="4"/>
  <c r="F4" i="4"/>
  <c r="D5" i="4"/>
  <c r="D6" i="4"/>
  <c r="D7" i="4"/>
  <c r="D4" i="4"/>
  <c r="E15" i="4"/>
  <c r="H15" i="4" s="1"/>
  <c r="E8" i="4"/>
  <c r="H8" i="4" s="1"/>
  <c r="B22" i="4"/>
  <c r="B21" i="4"/>
  <c r="B20" i="4"/>
  <c r="B19" i="4"/>
  <c r="B15" i="4"/>
  <c r="B8" i="4"/>
  <c r="B23" i="4" l="1"/>
  <c r="H21" i="4"/>
  <c r="E23" i="4"/>
  <c r="AA12" i="4"/>
  <c r="AA13" i="4"/>
  <c r="AA14" i="4"/>
  <c r="AA11" i="4"/>
  <c r="C15" i="4"/>
  <c r="D15" i="4" s="1"/>
  <c r="C8" i="4"/>
  <c r="D8" i="4" s="1"/>
  <c r="C19" i="4"/>
  <c r="C20" i="4"/>
  <c r="F20" i="4" s="1"/>
  <c r="C21" i="4"/>
  <c r="C22" i="4"/>
  <c r="AA7" i="4"/>
  <c r="AA6" i="4"/>
  <c r="AA5" i="4"/>
  <c r="AA21" i="4" l="1"/>
  <c r="D21" i="4"/>
  <c r="AA19" i="4"/>
  <c r="D19" i="4"/>
  <c r="H23" i="4"/>
  <c r="AA20" i="4"/>
  <c r="D20" i="4"/>
  <c r="C23" i="4"/>
  <c r="F23" i="4" s="1"/>
  <c r="AA15" i="4"/>
  <c r="AB14" i="4" s="1"/>
  <c r="F8" i="4"/>
  <c r="F15" i="4"/>
  <c r="AA22" i="4"/>
  <c r="F22" i="4"/>
  <c r="D22" i="4"/>
  <c r="F19" i="4"/>
  <c r="F21" i="4"/>
  <c r="AA8" i="4"/>
  <c r="AB5" i="4" s="1"/>
  <c r="W20" i="3"/>
  <c r="W21" i="3"/>
  <c r="W22" i="3"/>
  <c r="W19" i="3"/>
  <c r="X12" i="3"/>
  <c r="X13" i="3"/>
  <c r="X14" i="3"/>
  <c r="X11" i="3"/>
  <c r="W15" i="3"/>
  <c r="X5" i="3"/>
  <c r="X6" i="3"/>
  <c r="X7" i="3"/>
  <c r="X4" i="3"/>
  <c r="W8" i="3"/>
  <c r="AB11" i="4" l="1"/>
  <c r="AB13" i="4"/>
  <c r="AB15" i="4"/>
  <c r="W23" i="3"/>
  <c r="AA23" i="4"/>
  <c r="D23" i="4"/>
  <c r="AB12" i="4"/>
  <c r="AB4" i="4"/>
  <c r="AB6" i="4"/>
  <c r="AB8" i="4"/>
  <c r="AB7" i="4"/>
  <c r="U20" i="3"/>
  <c r="X20" i="3" s="1"/>
  <c r="U21" i="3"/>
  <c r="X21" i="3" s="1"/>
  <c r="U22" i="3"/>
  <c r="X22" i="3" s="1"/>
  <c r="U19" i="3"/>
  <c r="X19" i="3" s="1"/>
  <c r="V12" i="3"/>
  <c r="V13" i="3"/>
  <c r="V14" i="3"/>
  <c r="V11" i="3"/>
  <c r="U15" i="3"/>
  <c r="X15" i="3" s="1"/>
  <c r="V5" i="3"/>
  <c r="V6" i="3"/>
  <c r="V7" i="3"/>
  <c r="V4" i="3"/>
  <c r="U8" i="3"/>
  <c r="X8" i="3" s="1"/>
  <c r="U23" i="3" l="1"/>
  <c r="T12" i="3"/>
  <c r="T13" i="3"/>
  <c r="T14" i="3"/>
  <c r="T11" i="3"/>
  <c r="S20" i="3"/>
  <c r="V20" i="3" s="1"/>
  <c r="S21" i="3"/>
  <c r="V21" i="3" s="1"/>
  <c r="S22" i="3"/>
  <c r="V22" i="3" s="1"/>
  <c r="S19" i="3"/>
  <c r="V19" i="3" s="1"/>
  <c r="S15" i="3"/>
  <c r="V15" i="3" s="1"/>
  <c r="T5" i="3"/>
  <c r="T6" i="3"/>
  <c r="T7" i="3"/>
  <c r="T4" i="3"/>
  <c r="S8" i="3"/>
  <c r="V8" i="3" s="1"/>
  <c r="X23" i="3" l="1"/>
  <c r="S23" i="3"/>
  <c r="R12" i="3"/>
  <c r="R13" i="3"/>
  <c r="R14" i="3"/>
  <c r="R11" i="3"/>
  <c r="R5" i="3"/>
  <c r="R6" i="3"/>
  <c r="R7" i="3"/>
  <c r="R4" i="3"/>
  <c r="Q21" i="3"/>
  <c r="Q20" i="3"/>
  <c r="Q22" i="3"/>
  <c r="T22" i="3" s="1"/>
  <c r="Q19" i="3"/>
  <c r="T19" i="3" s="1"/>
  <c r="Q15" i="3"/>
  <c r="T15" i="3" s="1"/>
  <c r="Q8" i="3"/>
  <c r="T20" i="3" l="1"/>
  <c r="V23" i="3"/>
  <c r="Q23" i="3"/>
  <c r="T8" i="3"/>
  <c r="T21" i="3"/>
  <c r="Y4" i="3"/>
  <c r="P12" i="3"/>
  <c r="P13" i="3"/>
  <c r="P14" i="3"/>
  <c r="P11" i="3"/>
  <c r="P5" i="3"/>
  <c r="P6" i="3"/>
  <c r="P7" i="3"/>
  <c r="P4" i="3"/>
  <c r="O20" i="3"/>
  <c r="R20" i="3" s="1"/>
  <c r="O21" i="3"/>
  <c r="R21" i="3" s="1"/>
  <c r="O22" i="3"/>
  <c r="O19" i="3"/>
  <c r="R19" i="3" s="1"/>
  <c r="O15" i="3"/>
  <c r="R15" i="3" s="1"/>
  <c r="O8" i="3"/>
  <c r="R8" i="3" s="1"/>
  <c r="R22" i="3" l="1"/>
  <c r="T23" i="3"/>
  <c r="O23" i="3"/>
  <c r="N12" i="3"/>
  <c r="N13" i="3"/>
  <c r="N14" i="3"/>
  <c r="N11" i="3"/>
  <c r="N5" i="3"/>
  <c r="N6" i="3"/>
  <c r="N7" i="3"/>
  <c r="N4" i="3"/>
  <c r="M20" i="3"/>
  <c r="P20" i="3" s="1"/>
  <c r="M21" i="3"/>
  <c r="P21" i="3" s="1"/>
  <c r="M22" i="3"/>
  <c r="P22" i="3" s="1"/>
  <c r="M19" i="3"/>
  <c r="P19" i="3" s="1"/>
  <c r="M15" i="3"/>
  <c r="P15" i="3" s="1"/>
  <c r="M8" i="3"/>
  <c r="M23" i="3" s="1"/>
  <c r="P23" i="3" l="1"/>
  <c r="P8" i="3"/>
  <c r="R23" i="3"/>
  <c r="K20" i="3"/>
  <c r="N20" i="3" s="1"/>
  <c r="K21" i="3"/>
  <c r="N21" i="3" s="1"/>
  <c r="K22" i="3"/>
  <c r="K19" i="3"/>
  <c r="N19" i="3" s="1"/>
  <c r="L12" i="3"/>
  <c r="L13" i="3"/>
  <c r="L14" i="3"/>
  <c r="L11" i="3"/>
  <c r="K15" i="3"/>
  <c r="N15" i="3" s="1"/>
  <c r="L5" i="3"/>
  <c r="L6" i="3"/>
  <c r="L7" i="3"/>
  <c r="L4" i="3"/>
  <c r="K8" i="3"/>
  <c r="K23" i="3" l="1"/>
  <c r="N23" i="3"/>
  <c r="N8" i="3"/>
  <c r="N22" i="3"/>
  <c r="Y12" i="3"/>
  <c r="Y13" i="3"/>
  <c r="Y14" i="3"/>
  <c r="Y11" i="3"/>
  <c r="Y5" i="3"/>
  <c r="Y6" i="3"/>
  <c r="Y7" i="3"/>
  <c r="J12" i="3" l="1"/>
  <c r="J13" i="3"/>
  <c r="J14" i="3"/>
  <c r="J11" i="3"/>
  <c r="H12" i="3"/>
  <c r="H13" i="3"/>
  <c r="H14" i="3"/>
  <c r="H11" i="3"/>
  <c r="F12" i="3" l="1"/>
  <c r="F13" i="3"/>
  <c r="F14" i="3"/>
  <c r="F11" i="3"/>
  <c r="D12" i="3"/>
  <c r="D13" i="3"/>
  <c r="D14" i="3"/>
  <c r="D11" i="3"/>
  <c r="J5" i="3"/>
  <c r="J6" i="3"/>
  <c r="J7" i="3"/>
  <c r="J4" i="3"/>
  <c r="H5" i="3"/>
  <c r="H6" i="3"/>
  <c r="H7" i="3"/>
  <c r="H4" i="3"/>
  <c r="F5" i="3"/>
  <c r="F6" i="3"/>
  <c r="F7" i="3"/>
  <c r="F4" i="3"/>
  <c r="D5" i="3"/>
  <c r="D6" i="3"/>
  <c r="D7" i="3"/>
  <c r="D4" i="3"/>
  <c r="I20" i="3"/>
  <c r="L20" i="3" s="1"/>
  <c r="I21" i="3"/>
  <c r="L21" i="3" s="1"/>
  <c r="I22" i="3"/>
  <c r="L22" i="3" s="1"/>
  <c r="I19" i="3"/>
  <c r="L19" i="3" s="1"/>
  <c r="G20" i="3"/>
  <c r="G21" i="3"/>
  <c r="G22" i="3"/>
  <c r="G19" i="3"/>
  <c r="E20" i="3"/>
  <c r="E21" i="3"/>
  <c r="E22" i="3"/>
  <c r="E19" i="3"/>
  <c r="C20" i="3"/>
  <c r="C21" i="3"/>
  <c r="C22" i="3"/>
  <c r="C19" i="3"/>
  <c r="I15" i="3"/>
  <c r="L15" i="3" s="1"/>
  <c r="G15" i="3"/>
  <c r="E15" i="3"/>
  <c r="C15" i="3"/>
  <c r="I8" i="3"/>
  <c r="L8" i="3" s="1"/>
  <c r="G8" i="3"/>
  <c r="E8" i="3"/>
  <c r="C8" i="3"/>
  <c r="F15" i="3" l="1"/>
  <c r="H15" i="3"/>
  <c r="F22" i="3"/>
  <c r="H22" i="3"/>
  <c r="J22" i="3"/>
  <c r="F21" i="3"/>
  <c r="H21" i="3"/>
  <c r="J21" i="3"/>
  <c r="E23" i="3"/>
  <c r="F8" i="3"/>
  <c r="H20" i="3"/>
  <c r="J20" i="3"/>
  <c r="G23" i="3"/>
  <c r="H23" i="3" s="1"/>
  <c r="H8" i="3"/>
  <c r="I23" i="3"/>
  <c r="L23" i="3" s="1"/>
  <c r="F20" i="3"/>
  <c r="H19" i="3"/>
  <c r="J19" i="3"/>
  <c r="C23" i="3"/>
  <c r="F19" i="3"/>
  <c r="J8" i="3"/>
  <c r="J15" i="3"/>
  <c r="B20" i="3"/>
  <c r="Y20" i="3" s="1"/>
  <c r="B21" i="3"/>
  <c r="Y21" i="3" s="1"/>
  <c r="B22" i="3"/>
  <c r="Y22" i="3" s="1"/>
  <c r="B19" i="3"/>
  <c r="Y19" i="3" s="1"/>
  <c r="B15" i="3"/>
  <c r="Y15" i="3" s="1"/>
  <c r="Z15" i="3" s="1"/>
  <c r="B8" i="3"/>
  <c r="Y8" i="3" l="1"/>
  <c r="Z8" i="3" s="1"/>
  <c r="F23" i="3"/>
  <c r="D15" i="3"/>
  <c r="D21" i="3"/>
  <c r="D20" i="3"/>
  <c r="J23" i="3"/>
  <c r="D22" i="3"/>
  <c r="D19" i="3"/>
  <c r="D8" i="3"/>
  <c r="Z13" i="3"/>
  <c r="Z12" i="3"/>
  <c r="Z11" i="3"/>
  <c r="Z14" i="3"/>
  <c r="Z5" i="3"/>
  <c r="B23" i="3"/>
  <c r="Y23" i="3" s="1"/>
  <c r="Z6" i="3"/>
  <c r="Z4" i="3"/>
  <c r="X12" i="2"/>
  <c r="X13" i="2"/>
  <c r="X14" i="2"/>
  <c r="X11" i="2"/>
  <c r="X5" i="2"/>
  <c r="X6" i="2"/>
  <c r="X7" i="2"/>
  <c r="X4" i="2"/>
  <c r="W19" i="2"/>
  <c r="W20" i="2"/>
  <c r="W21" i="2"/>
  <c r="W18" i="2"/>
  <c r="Z7" i="3" l="1"/>
  <c r="D23" i="3"/>
  <c r="U21" i="2"/>
  <c r="X21" i="2" s="1"/>
  <c r="S21" i="2"/>
  <c r="Q21" i="2"/>
  <c r="O21" i="2"/>
  <c r="M21" i="2"/>
  <c r="K21" i="2"/>
  <c r="I21" i="2"/>
  <c r="G21" i="2"/>
  <c r="E21" i="2"/>
  <c r="C21" i="2"/>
  <c r="B21" i="2"/>
  <c r="W15" i="2" l="1"/>
  <c r="W8" i="2"/>
  <c r="U15" i="2"/>
  <c r="S15" i="2"/>
  <c r="Q15" i="2"/>
  <c r="O15" i="2"/>
  <c r="M15" i="2"/>
  <c r="K15" i="2"/>
  <c r="I15" i="2"/>
  <c r="G15" i="2"/>
  <c r="E15" i="2"/>
  <c r="C15" i="2"/>
  <c r="B15" i="2"/>
  <c r="U8" i="2"/>
  <c r="S8" i="2"/>
  <c r="Q8" i="2"/>
  <c r="O8" i="2"/>
  <c r="M8" i="2"/>
  <c r="K8" i="2"/>
  <c r="I8" i="2"/>
  <c r="G8" i="2"/>
  <c r="E8" i="2"/>
  <c r="C8" i="2"/>
  <c r="B8" i="2"/>
  <c r="X8" i="2" l="1"/>
  <c r="W22" i="2"/>
  <c r="X15" i="2"/>
  <c r="Y12" i="2"/>
  <c r="Y13" i="2"/>
  <c r="Y14" i="2"/>
  <c r="Y11" i="2"/>
  <c r="Y4" i="2"/>
  <c r="Y5" i="2"/>
  <c r="Y6" i="2"/>
  <c r="Y7" i="2"/>
  <c r="Y19" i="2" l="1"/>
  <c r="Y21" i="2"/>
  <c r="Y20" i="2"/>
  <c r="V12" i="2"/>
  <c r="V13" i="2"/>
  <c r="V14" i="2"/>
  <c r="V11" i="2"/>
  <c r="V5" i="2"/>
  <c r="V6" i="2"/>
  <c r="V7" i="2"/>
  <c r="V4" i="2"/>
  <c r="U19" i="2"/>
  <c r="X19" i="2" s="1"/>
  <c r="U20" i="2"/>
  <c r="X20" i="2" s="1"/>
  <c r="U18" i="2"/>
  <c r="X18" i="2" s="1"/>
  <c r="H21" i="2" l="1"/>
  <c r="L21" i="2"/>
  <c r="P21" i="2"/>
  <c r="V21" i="2"/>
  <c r="T14" i="2"/>
  <c r="R14" i="2"/>
  <c r="P14" i="2"/>
  <c r="N14" i="2"/>
  <c r="L14" i="2"/>
  <c r="J14" i="2"/>
  <c r="H14" i="2"/>
  <c r="F14" i="2"/>
  <c r="D14" i="2"/>
  <c r="T7" i="2"/>
  <c r="R7" i="2"/>
  <c r="P7" i="2"/>
  <c r="N7" i="2"/>
  <c r="L7" i="2"/>
  <c r="J7" i="2"/>
  <c r="H7" i="2"/>
  <c r="F7" i="2"/>
  <c r="D7" i="2"/>
  <c r="N21" i="2" l="1"/>
  <c r="F21" i="2"/>
  <c r="R21" i="2"/>
  <c r="J21" i="2"/>
  <c r="D21" i="2"/>
  <c r="T21" i="2"/>
  <c r="T12" i="2"/>
  <c r="T13" i="2"/>
  <c r="T11" i="2"/>
  <c r="T5" i="2"/>
  <c r="T6" i="2"/>
  <c r="T4" i="2"/>
  <c r="R12" i="2"/>
  <c r="R13" i="2"/>
  <c r="R11" i="2"/>
  <c r="R5" i="2"/>
  <c r="R6" i="2"/>
  <c r="R4" i="2"/>
  <c r="P12" i="2"/>
  <c r="P13" i="2"/>
  <c r="P11" i="2"/>
  <c r="P5" i="2"/>
  <c r="P6" i="2"/>
  <c r="P4" i="2"/>
  <c r="N12" i="2"/>
  <c r="N13" i="2"/>
  <c r="N11" i="2"/>
  <c r="N5" i="2"/>
  <c r="N6" i="2"/>
  <c r="N4" i="2"/>
  <c r="L12" i="2"/>
  <c r="L13" i="2"/>
  <c r="L11" i="2"/>
  <c r="L5" i="2"/>
  <c r="L6" i="2"/>
  <c r="L4" i="2"/>
  <c r="J12" i="2"/>
  <c r="J13" i="2"/>
  <c r="J11" i="2"/>
  <c r="J5" i="2"/>
  <c r="J6" i="2"/>
  <c r="J4" i="2"/>
  <c r="H12" i="2"/>
  <c r="H13" i="2"/>
  <c r="H11" i="2"/>
  <c r="H5" i="2"/>
  <c r="H6" i="2"/>
  <c r="H4" i="2"/>
  <c r="F12" i="2"/>
  <c r="F13" i="2"/>
  <c r="F11" i="2"/>
  <c r="F5" i="2"/>
  <c r="F6" i="2"/>
  <c r="F4" i="2"/>
  <c r="D12" i="2"/>
  <c r="D13" i="2"/>
  <c r="D11" i="2"/>
  <c r="D5" i="2"/>
  <c r="D6" i="2"/>
  <c r="D4" i="2"/>
  <c r="D15" i="2"/>
  <c r="F15" i="2"/>
  <c r="N15" i="2"/>
  <c r="V15" i="2"/>
  <c r="D8" i="2"/>
  <c r="F8" i="2"/>
  <c r="N8" i="2"/>
  <c r="T8" i="2"/>
  <c r="V8" i="2"/>
  <c r="C20" i="2"/>
  <c r="E20" i="2"/>
  <c r="G20" i="2"/>
  <c r="I20" i="2"/>
  <c r="K20" i="2"/>
  <c r="M20" i="2"/>
  <c r="N20" i="2" s="1"/>
  <c r="O20" i="2"/>
  <c r="Q20" i="2"/>
  <c r="S20" i="2"/>
  <c r="V20" i="2" s="1"/>
  <c r="C19" i="2"/>
  <c r="D19" i="2" s="1"/>
  <c r="E19" i="2"/>
  <c r="G19" i="2"/>
  <c r="I19" i="2"/>
  <c r="K19" i="2"/>
  <c r="M19" i="2"/>
  <c r="O19" i="2"/>
  <c r="Q19" i="2"/>
  <c r="R19" i="2" s="1"/>
  <c r="S19" i="2"/>
  <c r="C18" i="2"/>
  <c r="E18" i="2"/>
  <c r="G18" i="2"/>
  <c r="I18" i="2"/>
  <c r="K18" i="2"/>
  <c r="M18" i="2"/>
  <c r="O18" i="2"/>
  <c r="P18" i="2" s="1"/>
  <c r="Q18" i="2"/>
  <c r="S18" i="2"/>
  <c r="V18" i="2" s="1"/>
  <c r="B20" i="2"/>
  <c r="B19" i="2"/>
  <c r="B18" i="2"/>
  <c r="D20" i="2" l="1"/>
  <c r="L19" i="2"/>
  <c r="Y8" i="2"/>
  <c r="Y15" i="2"/>
  <c r="P20" i="2"/>
  <c r="N18" i="2"/>
  <c r="P19" i="2"/>
  <c r="R20" i="2"/>
  <c r="J20" i="2"/>
  <c r="R8" i="2"/>
  <c r="J8" i="2"/>
  <c r="B22" i="2"/>
  <c r="T18" i="2"/>
  <c r="D18" i="2"/>
  <c r="T20" i="2"/>
  <c r="T19" i="2"/>
  <c r="V19" i="2"/>
  <c r="U22" i="2"/>
  <c r="X22" i="2" s="1"/>
  <c r="P8" i="2"/>
  <c r="P15" i="2"/>
  <c r="T15" i="2"/>
  <c r="R18" i="2"/>
  <c r="R15" i="2"/>
  <c r="J15" i="2"/>
  <c r="L20" i="2"/>
  <c r="N19" i="2"/>
  <c r="L18" i="2"/>
  <c r="H18" i="2"/>
  <c r="J19" i="2"/>
  <c r="L8" i="2"/>
  <c r="L15" i="2"/>
  <c r="J18" i="2"/>
  <c r="H19" i="2"/>
  <c r="H20" i="2"/>
  <c r="H8" i="2"/>
  <c r="H15" i="2"/>
  <c r="F20" i="2"/>
  <c r="F18" i="2"/>
  <c r="F19" i="2"/>
  <c r="Y18" i="2"/>
  <c r="Q22" i="2"/>
  <c r="I22" i="2"/>
  <c r="O22" i="2"/>
  <c r="G22" i="2"/>
  <c r="M22" i="2"/>
  <c r="E22" i="2"/>
  <c r="S22" i="2"/>
  <c r="K22" i="2"/>
  <c r="C22" i="2"/>
  <c r="D22" i="2" l="1"/>
  <c r="Y22" i="2"/>
  <c r="P22" i="2"/>
  <c r="V22" i="2"/>
  <c r="T22" i="2"/>
  <c r="R22" i="2"/>
  <c r="N22" i="2"/>
  <c r="L22" i="2"/>
  <c r="H22" i="2"/>
  <c r="J22" i="2"/>
  <c r="F22" i="2"/>
  <c r="Z15" i="2" l="1"/>
  <c r="Z12" i="2"/>
  <c r="Z14" i="2"/>
  <c r="Z13" i="2"/>
  <c r="Z11" i="2"/>
  <c r="Z5" i="2"/>
  <c r="Z6" i="2"/>
  <c r="Z7" i="2"/>
  <c r="Z8" i="2"/>
  <c r="Z4" i="2"/>
  <c r="AB6" i="8" l="1"/>
  <c r="AB7" i="8" l="1"/>
  <c r="AB5" i="8"/>
  <c r="AB4" i="8"/>
  <c r="AA15" i="9"/>
  <c r="AB15" i="9" s="1"/>
  <c r="C22" i="9"/>
  <c r="AA22" i="9" s="1"/>
  <c r="F22" i="9" l="1"/>
  <c r="D22" i="9"/>
  <c r="AB11" i="9"/>
  <c r="AB12" i="9"/>
  <c r="AB14" i="9"/>
  <c r="AB13" i="9"/>
</calcChain>
</file>

<file path=xl/sharedStrings.xml><?xml version="1.0" encoding="utf-8"?>
<sst xmlns="http://schemas.openxmlformats.org/spreadsheetml/2006/main" count="475" uniqueCount="90">
  <si>
    <t>BP</t>
  </si>
  <si>
    <t>CT</t>
  </si>
  <si>
    <t>SW</t>
  </si>
  <si>
    <t>YA</t>
  </si>
  <si>
    <t>Weight /(lbs)</t>
  </si>
  <si>
    <t>Frt Amt/ ($)</t>
  </si>
  <si>
    <t>c/lbs</t>
  </si>
  <si>
    <t>Total</t>
  </si>
  <si>
    <t>Avg</t>
  </si>
  <si>
    <t>Vari</t>
  </si>
  <si>
    <t>Note:</t>
  </si>
  <si>
    <t>%</t>
  </si>
  <si>
    <t>2018 YTD Total (lbs)</t>
  </si>
  <si>
    <t>2018 YTD Total($)</t>
  </si>
  <si>
    <t>2018 YTD Avg(c/lbs)</t>
  </si>
  <si>
    <t>CFP customers are scattered more closely to Lolita, TX</t>
  </si>
  <si>
    <t>AMJK Freight Cost Breakdown by Plants-2018</t>
  </si>
  <si>
    <t>1. December overall freight cost reduced 20% compared to Nov, but the total shipment volume reduced 18%. This resulted in 2% saving in c/lbs compared to Nov.</t>
  </si>
  <si>
    <t>2. BOPP average freight cost per lb reduced 2%; SW frt cost per lb reduced 4%; and CT frt cost per lb reduced 3%</t>
  </si>
  <si>
    <t>3. BOPP covers 46% of the overall AmTopp business, but the freight cost is 49% of the overall freight expenses, this is due to business geographic locations.</t>
  </si>
  <si>
    <t>4. YA is scrap, mostly shipped locally, except 2 loads going to AZ causing frt cost to jump ( YTCA022, frt cost 38% and 41%, respectively), Per Ronnie, internal business decision</t>
  </si>
  <si>
    <t>AMJK Freight Cost Breakdown by Plants-2019</t>
  </si>
  <si>
    <t>2019 YTD Total($)</t>
  </si>
  <si>
    <t>2019 YTD Total (lbs)</t>
  </si>
  <si>
    <t>2019 YTD Avg(c/lbs)</t>
  </si>
  <si>
    <t>1. December overall freight cost per pound is 6.39 ¢/lb., 1% inecrease compared to 6.35 ¢/lb. in November. This is due to increase LTL shipments.</t>
  </si>
  <si>
    <t>3. BOPP frt cost has 2% decrease compared to November, due to decrease in LTL shipments.</t>
  </si>
  <si>
    <t>5. Concentrate frt cost has 14% increase compared to November, due to increase in shipments to farther geographic location.</t>
  </si>
  <si>
    <t>2. Total Sales has decreased appr. 1.28m lbs. (-5%).</t>
  </si>
  <si>
    <t>4. Stretch Film frt cost has 1% increase compared to November, due to increase in LTL shipments.</t>
  </si>
  <si>
    <t>AMJK Freight Cost Breakdown by Plants-2020</t>
  </si>
  <si>
    <t>2020 YTD Total($)</t>
  </si>
  <si>
    <t>2020 YTD Total (lbs)</t>
  </si>
  <si>
    <t>2020 YTD Avg(c/lbs)</t>
  </si>
  <si>
    <t>2. Total Sales has decreased appr. 104k lbs. (-0.4%) compared to previous month.</t>
  </si>
  <si>
    <t>1. This month overall freight cost is 7.31¢/lb., 0.41¢/lb.(-5%) decrease compared to 7.72¢/lb. in previous month, due to decrease in SPR and LTL shipments.</t>
  </si>
  <si>
    <t>3. BOPP frt cost is 7.65¢/lb., 0.20¢(-3%) decrease compared to previous month.  Due to decrease in SPR and LTL shipments.</t>
  </si>
  <si>
    <t>5. Concentrate frt cost is 7.03¢/lb.,  0.96¢(-12%) decrease compared to previous month, due to decrease in SPR and LTL shipments.</t>
  </si>
  <si>
    <t>6. Scrap/ reclaim frt cost is 1.32¢/lb., 0.01¢(1%) increase compared to previous month due to increase in LTL shipments.</t>
  </si>
  <si>
    <t>4. Stretch Film frt cost is 7.40¢/lb.,  0.21¢(-3%) decrease compared to previous month due to decrease in SPR and LTL shipments.</t>
  </si>
  <si>
    <t>AMJK Freight Cost Breakdown by Plants-2021</t>
  </si>
  <si>
    <t>2021 YTD Total($)</t>
  </si>
  <si>
    <t>2021 YTD Total (lbs)</t>
  </si>
  <si>
    <t>2021 YTD Avg(c/lbs)</t>
  </si>
  <si>
    <t>¢/lb</t>
  </si>
  <si>
    <t>1. This month overall freight cost is 9.41¢/lb., 0.05¢ increase compared to previous month due to increase in LTL shipments.</t>
  </si>
  <si>
    <t>2. Total Sales has decreased appr. 1.25M lbs. (-5%) compared to previous month.</t>
  </si>
  <si>
    <t>3. BOPP frt cost is 9.54¢/lb., 0.08¢(2%) increase compared to previous month due to increase in LTL shipments and Holiday.</t>
  </si>
  <si>
    <t>4. Stretch Film frt cost is 9.03¢/lb.,  0.37¢(-4%) decrease compared to previous month due to decrease in LTL shipments.</t>
  </si>
  <si>
    <t>5. Concentrate frt cost is 11.31¢/lb., 1.77(18%) increase compared to previous month due to increase in LTL shipments and Holiday.</t>
  </si>
  <si>
    <t>6. Scrap frt cost is 1.81/lb,  0.61¢(51%) increase compared to previous month due to increase in LTL shipments.</t>
  </si>
  <si>
    <t>AMJK Freight Cost Breakdown by Plants-2022</t>
  </si>
  <si>
    <t>YTD($)</t>
  </si>
  <si>
    <t>lbs</t>
  </si>
  <si>
    <t>YTD(lbs)</t>
  </si>
  <si>
    <t xml:space="preserve"> Avg ¢/lb</t>
  </si>
  <si>
    <t xml:space="preserve">1. This month overall freight cost is 8.39¢/lb., 0.35¢(-4%) decrease compared to previous month.  Details as follow: </t>
  </si>
  <si>
    <t>2. Total Sales has decreased appr. 2.33 M lbs. (-10%) compared to previous month.</t>
  </si>
  <si>
    <t>3. BOPP frt cost is 8.54¢/lb., 0.46¢(-5%) decrease compared to previous month due to easing in truck demands and decrease in FSC.</t>
  </si>
  <si>
    <t>4. Stretch Film frt cost is 8.31¢/lb.,  0.19¢(-2%) decrease compared to previous month mainly due to easing on truck demands and decrease in FSC.</t>
  </si>
  <si>
    <t>5. Concentrate frt cost is 8.20¢/lb., 1.22¢(-13%) decrease compared to previous month due to easing on truck demands and decrease in FSC.</t>
  </si>
  <si>
    <t>6. Scrap frt cost is 19.50¢/lb,  17.77¢(1028%) increase compared to previous month because there is only 1 LTL shipment this month.</t>
  </si>
  <si>
    <t>AMJK Freight Cost Breakdown by Plants-2023</t>
  </si>
  <si>
    <t>2. Total Sales has increased appr. 1.97M lbs. (9%) compared to previous month.</t>
  </si>
  <si>
    <t xml:space="preserve">1. This month overall freight cost is 7.44¢/lb., 0.06¢(-1%) decrease compared to previous month mainly due to decrease in LTL shipments.  Details as follow: </t>
  </si>
  <si>
    <t>3. BOPP frt cost is 6.89¢/lb., 0.36¢(-5%) decrease compared to previous month mainly due to decrease in LTL shipments.</t>
  </si>
  <si>
    <t>4. Stretch Film frt cost is 7.89¢/lb.,  0.20¢(3%) increase compared to previous month mainly due to increase in LTL shipments.</t>
  </si>
  <si>
    <t>5. Concentrate frt cost is 7.35¢/lb., 0.48¢(-6%) decrease compared to previous month due to decrease in LTL shipments.</t>
  </si>
  <si>
    <t>6. Scrap frt cost is 1.60¢/lb,  0.08¢(5%) increase compared to previous month due to increase in LTL shipments.</t>
  </si>
  <si>
    <t>AMJK Freight Cost Breakdown by Plants-2024</t>
  </si>
  <si>
    <t>2. Total Sales has increased appr. 1.73M lbs. (9%) compared to previous month.</t>
  </si>
  <si>
    <t>3. BOPP frt cost is 7.06¢/lb., 0.10¢(1%) increase compared to previous month mainly due to increase in LTL shipments.</t>
  </si>
  <si>
    <t>4. Stretch Film frt cost is 7.81¢/lb.,  0.58¢(8%) increase compared to previous month mainly due to increase in LTL shipments and increase in multiple stop loads during holiday.</t>
  </si>
  <si>
    <t>5. Concentrate frt cost is 6.99¢/lb., 0.31¢(-4%) decrease compared to previous month due to decrease in long distance loads.</t>
  </si>
  <si>
    <t>6. Scrap frt cost is 1.51¢/lb,  0.02¢(1%) increase compared to previous month due to two TLs are less than 40K lbs.</t>
  </si>
  <si>
    <t xml:space="preserve">1. This month overall freight cost is 7.39¢/lb., 0.30¢(4%) increase compared to previous month mainly due to increase in LTL shipments and increase in LTL shipments and increase in multiple stop loads during holiday.  Details as follow: </t>
  </si>
  <si>
    <t>AMJK Freight Cost Breakdown by Plants-2025</t>
  </si>
  <si>
    <t xml:space="preserve">1. This month overall freight cost is 7.34¢/lb., 0.13¢(2%) increase compared to previous month.  Details as follow: </t>
  </si>
  <si>
    <t>2. Total Sales has increased appr. 2.51MM lbs(15%) compared to previous month.</t>
  </si>
  <si>
    <t>3. BOPP frt cost is 7.69¢/lb., 0.78¢(11%) increase compared to previous month due to increase in LTL shipments and carrier is asking for more due to hard weather.</t>
  </si>
  <si>
    <t>4. Stretch Film frt cost is 7.27¢/lb.,  0.31¢(-4%) decrease compared to previous month due to decrease in LTL shipments.</t>
  </si>
  <si>
    <t>5. Concentrate frt cost is 7.09¢/lb., pretty much the same as previous month.</t>
  </si>
  <si>
    <t>6. Scrap frt cost is 1.49¢/lb, 0.22¢(-13%) decrease compared to previous month due to all FTL shipments are local.</t>
  </si>
  <si>
    <t>AMJK Freight Cost Breakdown by Plants-2026</t>
  </si>
  <si>
    <t>2. Total Sales has increased appr. 2.19M lbs(10%) compared to previous month.</t>
  </si>
  <si>
    <t xml:space="preserve">1. This month overall freight cost is 8.60¢/lb., 0.85¢(11%) increase compared to previous month.  Details as follow: </t>
  </si>
  <si>
    <t>3. BOPP frt cost is 8.70¢/lb., 0.77¢(10%) increase compared to previous month due to high martket demand and FSC increase.</t>
  </si>
  <si>
    <t>4. Stretch Film frt cost is 8.47¢/lb.,  0.84¢(11%) increase compared to previous month due to high martket demand and FSC increase.</t>
  </si>
  <si>
    <t>5. Concentrate frt cost is 9.96¢/lb., 2.15¢(27%) increase compared to previous month due to high martket demand and FSC increase.</t>
  </si>
  <si>
    <t>6. Scrap frt cost is 1.50¢/lb, 0.01¢(1%) increase compared to previous month due to couple sample orders ship to Canada.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</si>
</sst>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9" fontId="6" fillId="0" borderId="1" xfId="2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2" fontId="6" fillId="0" borderId="1" xfId="0" applyNumberFormat="1" applyFont="1" applyBorder="1" applyAlignment="1">
      <alignment horizontal="center"/>
    </xf>
    <xf numFmtId="9" fontId="6" fillId="2" borderId="1" xfId="2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43" fontId="5" fillId="0" borderId="1" xfId="0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9" fontId="9" fillId="0" borderId="1" xfId="2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9" fontId="9" fillId="2" borderId="1" xfId="2" applyFont="1" applyFill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66" fontId="9" fillId="0" borderId="1" xfId="1" applyNumberFormat="1" applyFont="1" applyBorder="1" applyAlignment="1">
      <alignment horizontal="center"/>
    </xf>
    <xf numFmtId="166" fontId="10" fillId="0" borderId="1" xfId="1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2" fontId="9" fillId="2" borderId="1" xfId="0" applyNumberFormat="1" applyFont="1" applyFill="1" applyBorder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9" fontId="10" fillId="0" borderId="1" xfId="2" applyFont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9" fontId="10" fillId="2" borderId="1" xfId="2" applyFont="1" applyFill="1" applyBorder="1" applyAlignment="1">
      <alignment horizontal="center"/>
    </xf>
    <xf numFmtId="2" fontId="10" fillId="0" borderId="1" xfId="0" applyNumberFormat="1" applyFont="1" applyBorder="1"/>
    <xf numFmtId="166" fontId="10" fillId="0" borderId="1" xfId="0" applyNumberFormat="1" applyFont="1" applyBorder="1"/>
    <xf numFmtId="17" fontId="5" fillId="0" borderId="1" xfId="0" applyNumberFormat="1" applyFont="1" applyBorder="1"/>
    <xf numFmtId="164" fontId="10" fillId="0" borderId="1" xfId="0" applyNumberFormat="1" applyFont="1" applyBorder="1"/>
    <xf numFmtId="9" fontId="0" fillId="0" borderId="0" xfId="2" applyFont="1"/>
    <xf numFmtId="9" fontId="5" fillId="0" borderId="1" xfId="2" applyFont="1" applyBorder="1" applyAlignment="1">
      <alignment horizontal="center"/>
    </xf>
    <xf numFmtId="2" fontId="9" fillId="3" borderId="1" xfId="0" applyNumberFormat="1" applyFont="1" applyFill="1" applyBorder="1" applyAlignment="1">
      <alignment horizontal="center"/>
    </xf>
    <xf numFmtId="9" fontId="9" fillId="3" borderId="1" xfId="2" applyFont="1" applyFill="1" applyBorder="1" applyAlignment="1">
      <alignment horizontal="center"/>
    </xf>
    <xf numFmtId="17" fontId="5" fillId="3" borderId="1" xfId="0" applyNumberFormat="1" applyFont="1" applyFill="1" applyBorder="1" applyAlignment="1">
      <alignment horizontal="center"/>
    </xf>
    <xf numFmtId="0" fontId="3" fillId="2" borderId="0" xfId="0" applyFont="1" applyFill="1"/>
    <xf numFmtId="0" fontId="0" fillId="2" borderId="0" xfId="0" applyFill="1"/>
    <xf numFmtId="17" fontId="11" fillId="2" borderId="1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9" fontId="12" fillId="2" borderId="1" xfId="2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8"/>
  <sheetViews>
    <sheetView zoomScale="60" zoomScaleNormal="60" workbookViewId="0">
      <selection activeCell="D33" sqref="D33"/>
    </sheetView>
  </sheetViews>
  <sheetFormatPr defaultRowHeight="14.5" x14ac:dyDescent="0.35"/>
  <cols>
    <col min="1" max="3" width="10.7265625" customWidth="1"/>
    <col min="4" max="4" width="6.7265625" customWidth="1"/>
    <col min="5" max="5" width="10.7265625" customWidth="1"/>
    <col min="6" max="6" width="6.7265625" customWidth="1"/>
    <col min="7" max="7" width="10.7265625" customWidth="1"/>
    <col min="8" max="8" width="6.7265625" customWidth="1"/>
    <col min="9" max="9" width="10.7265625" customWidth="1"/>
    <col min="10" max="10" width="6.7265625" customWidth="1"/>
    <col min="11" max="11" width="10.7265625" customWidth="1"/>
    <col min="12" max="12" width="6.7265625" customWidth="1"/>
    <col min="13" max="13" width="10.7265625" customWidth="1"/>
    <col min="14" max="14" width="6.7265625" customWidth="1"/>
    <col min="15" max="15" width="10.7265625" customWidth="1"/>
    <col min="16" max="16" width="6.7265625" customWidth="1"/>
    <col min="17" max="17" width="10.7265625" customWidth="1"/>
    <col min="18" max="18" width="6.7265625" customWidth="1"/>
    <col min="19" max="19" width="10.7265625" customWidth="1"/>
    <col min="20" max="20" width="6.7265625" customWidth="1"/>
    <col min="21" max="21" width="10.7265625" customWidth="1"/>
    <col min="22" max="22" width="6.7265625" customWidth="1"/>
    <col min="23" max="23" width="10.7265625" customWidth="1"/>
    <col min="24" max="24" width="6.7265625" customWidth="1"/>
    <col min="25" max="25" width="18" customWidth="1"/>
    <col min="26" max="26" width="8.26953125" bestFit="1" customWidth="1"/>
  </cols>
  <sheetData>
    <row r="1" spans="1:26" ht="20.25" x14ac:dyDescent="0.3">
      <c r="A1" s="55" t="s">
        <v>16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" customHeight="1" x14ac:dyDescent="0.25">
      <c r="A3" s="3" t="s">
        <v>4</v>
      </c>
      <c r="B3" s="4">
        <v>43101</v>
      </c>
      <c r="C3" s="4">
        <v>43132</v>
      </c>
      <c r="D3" s="4" t="s">
        <v>9</v>
      </c>
      <c r="E3" s="4">
        <v>43160</v>
      </c>
      <c r="F3" s="4" t="s">
        <v>9</v>
      </c>
      <c r="G3" s="4">
        <v>43191</v>
      </c>
      <c r="H3" s="4" t="s">
        <v>9</v>
      </c>
      <c r="I3" s="4">
        <v>43221</v>
      </c>
      <c r="J3" s="4" t="s">
        <v>9</v>
      </c>
      <c r="K3" s="4">
        <v>43252</v>
      </c>
      <c r="L3" s="4" t="s">
        <v>9</v>
      </c>
      <c r="M3" s="4">
        <v>43282</v>
      </c>
      <c r="N3" s="4" t="s">
        <v>9</v>
      </c>
      <c r="O3" s="4">
        <v>43313</v>
      </c>
      <c r="P3" s="4" t="s">
        <v>9</v>
      </c>
      <c r="Q3" s="4">
        <v>43344</v>
      </c>
      <c r="R3" s="4" t="s">
        <v>9</v>
      </c>
      <c r="S3" s="4">
        <v>43374</v>
      </c>
      <c r="T3" s="4" t="s">
        <v>9</v>
      </c>
      <c r="U3" s="4">
        <v>43405</v>
      </c>
      <c r="V3" s="4" t="s">
        <v>9</v>
      </c>
      <c r="W3" s="4">
        <v>43435</v>
      </c>
      <c r="X3" s="4" t="s">
        <v>9</v>
      </c>
      <c r="Y3" s="4" t="s">
        <v>12</v>
      </c>
      <c r="Z3" s="3" t="s">
        <v>11</v>
      </c>
    </row>
    <row r="4" spans="1:26" ht="20.149999999999999" customHeight="1" x14ac:dyDescent="0.25">
      <c r="A4" s="3" t="s">
        <v>0</v>
      </c>
      <c r="B4" s="5">
        <v>12670780</v>
      </c>
      <c r="C4" s="5">
        <v>11783721</v>
      </c>
      <c r="D4" s="6">
        <f>C4/B4-1</f>
        <v>-7.0008239429616759E-2</v>
      </c>
      <c r="E4" s="5">
        <v>14864796</v>
      </c>
      <c r="F4" s="6">
        <f>E4/C4-1</f>
        <v>0.26146876695400367</v>
      </c>
      <c r="G4" s="5">
        <v>13835265</v>
      </c>
      <c r="H4" s="6">
        <f>G4/E4-1</f>
        <v>-6.9259679043022215E-2</v>
      </c>
      <c r="I4" s="5">
        <v>12851795</v>
      </c>
      <c r="J4" s="6">
        <f>I4/G4-1</f>
        <v>-7.1084290759880653E-2</v>
      </c>
      <c r="K4" s="5">
        <v>12316738</v>
      </c>
      <c r="L4" s="6">
        <f>K4/I4-1</f>
        <v>-4.1632861401850851E-2</v>
      </c>
      <c r="M4" s="5">
        <v>12361356</v>
      </c>
      <c r="N4" s="6">
        <f>M4/K4-1</f>
        <v>3.6225500615503226E-3</v>
      </c>
      <c r="O4" s="5">
        <v>12729447</v>
      </c>
      <c r="P4" s="6">
        <f>O4/M4-1</f>
        <v>2.977755838437135E-2</v>
      </c>
      <c r="Q4" s="5">
        <v>11472285</v>
      </c>
      <c r="R4" s="6">
        <f>Q4/O4-1</f>
        <v>-9.8760142526222894E-2</v>
      </c>
      <c r="S4" s="5">
        <v>12935230</v>
      </c>
      <c r="T4" s="6">
        <f>S4/Q4-1</f>
        <v>0.12751993173112419</v>
      </c>
      <c r="U4" s="5">
        <v>11230506</v>
      </c>
      <c r="V4" s="6">
        <f>U4/S4-1</f>
        <v>-0.1317892298784018</v>
      </c>
      <c r="W4" s="5">
        <v>9091920</v>
      </c>
      <c r="X4" s="6">
        <f>W4/U4-1</f>
        <v>-0.19042650438012321</v>
      </c>
      <c r="Y4" s="16">
        <f>B4+C4+E4+G4+I4+K4+M4+O4+Q4+S4+U4+W4</f>
        <v>148143839</v>
      </c>
      <c r="Z4" s="8">
        <f>Y4/$Y$8</f>
        <v>0.4584467248188478</v>
      </c>
    </row>
    <row r="5" spans="1:26" ht="20.149999999999999" customHeight="1" x14ac:dyDescent="0.25">
      <c r="A5" s="3" t="s">
        <v>2</v>
      </c>
      <c r="B5" s="5">
        <v>11978445.789999999</v>
      </c>
      <c r="C5" s="5">
        <v>11653623.25</v>
      </c>
      <c r="D5" s="6">
        <f t="shared" ref="D5:D8" si="0">C5/B5-1</f>
        <v>-2.711725257972708E-2</v>
      </c>
      <c r="E5" s="5">
        <v>11885651.560000001</v>
      </c>
      <c r="F5" s="6">
        <f t="shared" ref="F5:F8" si="1">E5/C5-1</f>
        <v>1.9910400827485075E-2</v>
      </c>
      <c r="G5" s="5">
        <v>13608278.82</v>
      </c>
      <c r="H5" s="6">
        <f t="shared" ref="H5:H8" si="2">G5/E5-1</f>
        <v>0.14493334684295589</v>
      </c>
      <c r="I5" s="5">
        <v>12998247.42</v>
      </c>
      <c r="J5" s="6">
        <f t="shared" ref="J5:J8" si="3">I5/G5-1</f>
        <v>-4.4827961571704544E-2</v>
      </c>
      <c r="K5" s="5">
        <v>12830545.560000001</v>
      </c>
      <c r="L5" s="6">
        <f t="shared" ref="L5:L8" si="4">K5/I5-1</f>
        <v>-1.2901882429316003E-2</v>
      </c>
      <c r="M5" s="5">
        <v>13685584.24</v>
      </c>
      <c r="N5" s="6">
        <f t="shared" ref="N5:N8" si="5">M5/K5-1</f>
        <v>6.6640866984303049E-2</v>
      </c>
      <c r="O5" s="5">
        <v>13348739.710000001</v>
      </c>
      <c r="P5" s="6">
        <f t="shared" ref="P5:P8" si="6">O5/M5-1</f>
        <v>-2.4613090979008101E-2</v>
      </c>
      <c r="Q5" s="5">
        <v>13730438.380000001</v>
      </c>
      <c r="R5" s="6">
        <f t="shared" ref="R5:R8" si="7">Q5/O5-1</f>
        <v>2.859436008884475E-2</v>
      </c>
      <c r="S5" s="5">
        <v>15760767.880000001</v>
      </c>
      <c r="T5" s="6">
        <f t="shared" ref="T5:T8" si="8">S5/Q5-1</f>
        <v>0.14787069748314918</v>
      </c>
      <c r="U5" s="5">
        <v>9634866</v>
      </c>
      <c r="V5" s="6">
        <f t="shared" ref="V5:V8" si="9">U5/S5-1</f>
        <v>-0.38868042005577719</v>
      </c>
      <c r="W5" s="5">
        <v>8242588.4000000004</v>
      </c>
      <c r="X5" s="6">
        <f t="shared" ref="X5:X8" si="10">W5/U5-1</f>
        <v>-0.14450409585353852</v>
      </c>
      <c r="Y5" s="16">
        <f t="shared" ref="Y5:Y8" si="11">B5+C5+E5+G5+I5+K5+M5+O5+Q5+S5+U5+W5</f>
        <v>149357777.00999999</v>
      </c>
      <c r="Z5" s="8">
        <f t="shared" ref="Z5:Z8" si="12">Y5/$Y$8</f>
        <v>0.46220338394537147</v>
      </c>
    </row>
    <row r="6" spans="1:26" ht="20.149999999999999" customHeight="1" x14ac:dyDescent="0.25">
      <c r="A6" s="3" t="s">
        <v>1</v>
      </c>
      <c r="B6" s="5">
        <v>1960905</v>
      </c>
      <c r="C6" s="5">
        <v>1976014</v>
      </c>
      <c r="D6" s="6">
        <f t="shared" si="0"/>
        <v>7.7051157501255574E-3</v>
      </c>
      <c r="E6" s="5">
        <v>2033779</v>
      </c>
      <c r="F6" s="6">
        <f t="shared" si="1"/>
        <v>2.9233092478089695E-2</v>
      </c>
      <c r="G6" s="5">
        <v>1790451</v>
      </c>
      <c r="H6" s="6">
        <f t="shared" si="2"/>
        <v>-0.1196432847423442</v>
      </c>
      <c r="I6" s="5">
        <v>2016789</v>
      </c>
      <c r="J6" s="6">
        <f t="shared" si="3"/>
        <v>0.12641395938788613</v>
      </c>
      <c r="K6" s="5">
        <v>2105437</v>
      </c>
      <c r="L6" s="6">
        <f t="shared" si="4"/>
        <v>4.3955019588068023E-2</v>
      </c>
      <c r="M6" s="5">
        <v>1685808</v>
      </c>
      <c r="N6" s="6">
        <f t="shared" si="5"/>
        <v>-0.19930731719828232</v>
      </c>
      <c r="O6" s="5">
        <v>1924542</v>
      </c>
      <c r="P6" s="6">
        <f t="shared" si="6"/>
        <v>0.14161399162894006</v>
      </c>
      <c r="Q6" s="5">
        <v>1420086</v>
      </c>
      <c r="R6" s="6">
        <f t="shared" si="7"/>
        <v>-0.26211742845830333</v>
      </c>
      <c r="S6" s="5">
        <v>1764612</v>
      </c>
      <c r="T6" s="6">
        <f t="shared" si="8"/>
        <v>0.24260925042567849</v>
      </c>
      <c r="U6" s="5">
        <v>1834995</v>
      </c>
      <c r="V6" s="6">
        <f t="shared" si="9"/>
        <v>3.9885821925726539E-2</v>
      </c>
      <c r="W6" s="5">
        <v>1404786</v>
      </c>
      <c r="X6" s="6">
        <f t="shared" si="10"/>
        <v>-0.23444696034594104</v>
      </c>
      <c r="Y6" s="16">
        <f t="shared" si="11"/>
        <v>21918204</v>
      </c>
      <c r="Z6" s="8">
        <f t="shared" si="12"/>
        <v>6.782819255623157E-2</v>
      </c>
    </row>
    <row r="7" spans="1:26" ht="20.149999999999999" customHeight="1" x14ac:dyDescent="0.25">
      <c r="A7" s="3" t="s">
        <v>3</v>
      </c>
      <c r="B7" s="5">
        <v>236080</v>
      </c>
      <c r="C7" s="5">
        <v>371355</v>
      </c>
      <c r="D7" s="6">
        <f t="shared" si="0"/>
        <v>0.57300491358861394</v>
      </c>
      <c r="E7" s="5">
        <v>302005</v>
      </c>
      <c r="F7" s="6">
        <f t="shared" si="1"/>
        <v>-0.18674852903555894</v>
      </c>
      <c r="G7" s="5">
        <v>396134</v>
      </c>
      <c r="H7" s="6">
        <f t="shared" si="2"/>
        <v>0.31168027019420208</v>
      </c>
      <c r="I7" s="5">
        <v>310518</v>
      </c>
      <c r="J7" s="6">
        <f t="shared" si="3"/>
        <v>-0.21612888568009814</v>
      </c>
      <c r="K7" s="5">
        <v>468350</v>
      </c>
      <c r="L7" s="6">
        <f t="shared" si="4"/>
        <v>0.50828615410378797</v>
      </c>
      <c r="M7" s="5">
        <v>319818</v>
      </c>
      <c r="N7" s="6">
        <f t="shared" si="5"/>
        <v>-0.31713889185438238</v>
      </c>
      <c r="O7" s="5">
        <v>295270</v>
      </c>
      <c r="P7" s="6">
        <f t="shared" si="6"/>
        <v>-7.6756155063192222E-2</v>
      </c>
      <c r="Q7" s="5">
        <v>208296</v>
      </c>
      <c r="R7" s="6">
        <f t="shared" si="7"/>
        <v>-0.29455752362244725</v>
      </c>
      <c r="S7" s="5">
        <v>251201</v>
      </c>
      <c r="T7" s="6">
        <f t="shared" si="8"/>
        <v>0.20598091177939093</v>
      </c>
      <c r="U7" s="5">
        <v>363725</v>
      </c>
      <c r="V7" s="6">
        <f t="shared" si="9"/>
        <v>0.44794407665574587</v>
      </c>
      <c r="W7" s="5">
        <v>200404</v>
      </c>
      <c r="X7" s="6">
        <f t="shared" si="10"/>
        <v>-0.44902330057048589</v>
      </c>
      <c r="Y7" s="16">
        <f t="shared" si="11"/>
        <v>3723156</v>
      </c>
      <c r="Z7" s="8">
        <f t="shared" si="12"/>
        <v>1.1521698679549152E-2</v>
      </c>
    </row>
    <row r="8" spans="1:26" ht="20.149999999999999" customHeight="1" x14ac:dyDescent="0.25">
      <c r="A8" s="3" t="s">
        <v>7</v>
      </c>
      <c r="B8" s="9">
        <f>SUM(B4:B7)</f>
        <v>26846210.789999999</v>
      </c>
      <c r="C8" s="9">
        <f>SUM(C4:C7)</f>
        <v>25784713.25</v>
      </c>
      <c r="D8" s="6">
        <f t="shared" si="0"/>
        <v>-3.9539939111086664E-2</v>
      </c>
      <c r="E8" s="9">
        <f>SUM(E4:E7)</f>
        <v>29086231.560000002</v>
      </c>
      <c r="F8" s="6">
        <f t="shared" si="1"/>
        <v>0.1280416919121643</v>
      </c>
      <c r="G8" s="9">
        <f>SUM(G4:G7)</f>
        <v>29630128.82</v>
      </c>
      <c r="H8" s="6">
        <f t="shared" si="2"/>
        <v>1.8699475003423061E-2</v>
      </c>
      <c r="I8" s="9">
        <f>SUM(I4:I7)</f>
        <v>28177349.420000002</v>
      </c>
      <c r="J8" s="6">
        <f t="shared" si="3"/>
        <v>-4.9030478700429758E-2</v>
      </c>
      <c r="K8" s="9">
        <f>SUM(K4:K7)</f>
        <v>27721070.560000002</v>
      </c>
      <c r="L8" s="6">
        <f t="shared" si="4"/>
        <v>-1.6193107917955474E-2</v>
      </c>
      <c r="M8" s="9">
        <f>SUM(M4:M7)</f>
        <v>28052566.240000002</v>
      </c>
      <c r="N8" s="6">
        <f t="shared" si="5"/>
        <v>1.1958256780974841E-2</v>
      </c>
      <c r="O8" s="9">
        <f>SUM(O4:O7)</f>
        <v>28297998.710000001</v>
      </c>
      <c r="P8" s="6">
        <f t="shared" si="6"/>
        <v>8.7490202464983735E-3</v>
      </c>
      <c r="Q8" s="9">
        <f>SUM(Q4:Q7)</f>
        <v>26831105.380000003</v>
      </c>
      <c r="R8" s="6">
        <f t="shared" si="7"/>
        <v>-5.1837352352469557E-2</v>
      </c>
      <c r="S8" s="9">
        <f>SUM(S4:S7)</f>
        <v>30711810.880000003</v>
      </c>
      <c r="T8" s="6">
        <f t="shared" si="8"/>
        <v>0.14463457412726233</v>
      </c>
      <c r="U8" s="9">
        <f>SUM(U4:U7)</f>
        <v>23064092</v>
      </c>
      <c r="V8" s="6">
        <f t="shared" si="9"/>
        <v>-0.24901556309661677</v>
      </c>
      <c r="W8" s="9">
        <f>SUM(W4:W7)</f>
        <v>18939698.399999999</v>
      </c>
      <c r="X8" s="6">
        <f t="shared" si="10"/>
        <v>-0.17882315072277732</v>
      </c>
      <c r="Y8" s="16">
        <f t="shared" si="11"/>
        <v>323142976.00999999</v>
      </c>
      <c r="Z8" s="8">
        <f t="shared" si="12"/>
        <v>1</v>
      </c>
    </row>
    <row r="9" spans="1:26" ht="15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</row>
    <row r="10" spans="1:26" ht="25" customHeight="1" x14ac:dyDescent="0.25">
      <c r="A10" s="3" t="s">
        <v>5</v>
      </c>
      <c r="B10" s="4">
        <v>43101</v>
      </c>
      <c r="C10" s="4">
        <v>43132</v>
      </c>
      <c r="D10" s="4" t="s">
        <v>9</v>
      </c>
      <c r="E10" s="4">
        <v>43160</v>
      </c>
      <c r="F10" s="4" t="s">
        <v>9</v>
      </c>
      <c r="G10" s="4">
        <v>43191</v>
      </c>
      <c r="H10" s="4" t="s">
        <v>9</v>
      </c>
      <c r="I10" s="4">
        <v>43221</v>
      </c>
      <c r="J10" s="4" t="s">
        <v>9</v>
      </c>
      <c r="K10" s="4">
        <v>43252</v>
      </c>
      <c r="L10" s="4" t="s">
        <v>9</v>
      </c>
      <c r="M10" s="4">
        <v>43282</v>
      </c>
      <c r="N10" s="4" t="s">
        <v>9</v>
      </c>
      <c r="O10" s="4">
        <v>43313</v>
      </c>
      <c r="P10" s="4" t="s">
        <v>9</v>
      </c>
      <c r="Q10" s="4">
        <v>43344</v>
      </c>
      <c r="R10" s="4" t="s">
        <v>9</v>
      </c>
      <c r="S10" s="4">
        <v>43374</v>
      </c>
      <c r="T10" s="4" t="s">
        <v>9</v>
      </c>
      <c r="U10" s="4">
        <v>43405</v>
      </c>
      <c r="V10" s="4" t="s">
        <v>9</v>
      </c>
      <c r="W10" s="4">
        <v>43435</v>
      </c>
      <c r="X10" s="4" t="s">
        <v>9</v>
      </c>
      <c r="Y10" s="4" t="s">
        <v>13</v>
      </c>
      <c r="Z10" s="3" t="s">
        <v>11</v>
      </c>
    </row>
    <row r="11" spans="1:26" ht="20.149999999999999" customHeight="1" x14ac:dyDescent="0.25">
      <c r="A11" s="3" t="s">
        <v>0</v>
      </c>
      <c r="B11" s="5">
        <v>902820.13</v>
      </c>
      <c r="C11" s="5">
        <v>849013.7</v>
      </c>
      <c r="D11" s="6">
        <f>C11/B11-1</f>
        <v>-5.9598172672556626E-2</v>
      </c>
      <c r="E11" s="5">
        <v>1255863.06</v>
      </c>
      <c r="F11" s="6">
        <f>E11/C11-1</f>
        <v>0.47920234973829068</v>
      </c>
      <c r="G11" s="5">
        <v>1164173.21</v>
      </c>
      <c r="H11" s="6">
        <f>G11/E11-1</f>
        <v>-7.3009433050766015E-2</v>
      </c>
      <c r="I11" s="5">
        <v>1075735.1000000001</v>
      </c>
      <c r="J11" s="6">
        <f>I11/G11-1</f>
        <v>-7.5966453479890617E-2</v>
      </c>
      <c r="K11" s="5">
        <v>1039336.14</v>
      </c>
      <c r="L11" s="6">
        <f>K11/I11-1</f>
        <v>-3.3836359899384272E-2</v>
      </c>
      <c r="M11" s="5">
        <v>1021223.75</v>
      </c>
      <c r="N11" s="6">
        <f>M11/K11-1</f>
        <v>-1.7426883664412918E-2</v>
      </c>
      <c r="O11" s="5">
        <v>925103.36</v>
      </c>
      <c r="P11" s="6">
        <f>O11/M11-1</f>
        <v>-9.4122752237205676E-2</v>
      </c>
      <c r="Q11" s="5">
        <v>835054.78</v>
      </c>
      <c r="R11" s="6">
        <f>Q11/O11-1</f>
        <v>-9.7338939510499656E-2</v>
      </c>
      <c r="S11" s="5">
        <v>979011.61</v>
      </c>
      <c r="T11" s="6">
        <f>S11/Q11-1</f>
        <v>0.17239207947531288</v>
      </c>
      <c r="U11" s="5">
        <v>841258.37</v>
      </c>
      <c r="V11" s="6">
        <f>U11/S11-1</f>
        <v>-0.14070644167335256</v>
      </c>
      <c r="W11" s="5">
        <v>670008.97</v>
      </c>
      <c r="X11" s="6">
        <f>W11/U11-1</f>
        <v>-0.20356338326832935</v>
      </c>
      <c r="Y11" s="7">
        <f>B11+C11+E11+G11+I11+K11+M11+O11+Q11+S11+U11+W11</f>
        <v>11558602.18</v>
      </c>
      <c r="Z11" s="8">
        <f>Y11/$Y$15</f>
        <v>0.49276574924724098</v>
      </c>
    </row>
    <row r="12" spans="1:26" ht="20.149999999999999" customHeight="1" x14ac:dyDescent="0.25">
      <c r="A12" s="3" t="s">
        <v>2</v>
      </c>
      <c r="B12" s="5">
        <v>740599.14</v>
      </c>
      <c r="C12" s="5">
        <v>712346.55</v>
      </c>
      <c r="D12" s="6">
        <f t="shared" ref="D12:D15" si="13">C12/B12-1</f>
        <v>-3.8148288965066834E-2</v>
      </c>
      <c r="E12" s="5">
        <v>867399.76</v>
      </c>
      <c r="F12" s="6">
        <f t="shared" ref="F12:F15" si="14">E12/C12-1</f>
        <v>0.21766541860840061</v>
      </c>
      <c r="G12" s="5">
        <v>1003404.04</v>
      </c>
      <c r="H12" s="6">
        <f t="shared" ref="H12:H15" si="15">G12/E12-1</f>
        <v>0.15679538578613395</v>
      </c>
      <c r="I12" s="5">
        <v>974998.37</v>
      </c>
      <c r="J12" s="6">
        <f t="shared" ref="J12:J15" si="16">I12/G12-1</f>
        <v>-2.8309303996822743E-2</v>
      </c>
      <c r="K12" s="5">
        <v>979209.25</v>
      </c>
      <c r="L12" s="6">
        <f t="shared" ref="L12:L15" si="17">K12/I12-1</f>
        <v>4.3188585022968518E-3</v>
      </c>
      <c r="M12" s="5">
        <v>1028441.01</v>
      </c>
      <c r="N12" s="6">
        <f t="shared" ref="N12:N15" si="18">M12/K12-1</f>
        <v>5.0277057738169928E-2</v>
      </c>
      <c r="O12" s="5">
        <v>924225.69</v>
      </c>
      <c r="P12" s="6">
        <f t="shared" ref="P12:P15" si="19">O12/M12-1</f>
        <v>-0.10133329864004559</v>
      </c>
      <c r="Q12" s="5">
        <v>875303</v>
      </c>
      <c r="R12" s="6">
        <f t="shared" ref="R12:R15" si="20">Q12/O12-1</f>
        <v>-5.2933704969832629E-2</v>
      </c>
      <c r="S12" s="5">
        <v>1057046.5900000001</v>
      </c>
      <c r="T12" s="6">
        <f t="shared" ref="T12:T15" si="21">S12/Q12-1</f>
        <v>0.20763505894530243</v>
      </c>
      <c r="U12" s="5">
        <v>633359.25</v>
      </c>
      <c r="V12" s="6">
        <f t="shared" ref="V12:V15" si="22">U12/S12-1</f>
        <v>-0.40082182186501358</v>
      </c>
      <c r="W12" s="5">
        <v>518331.13</v>
      </c>
      <c r="X12" s="6">
        <f t="shared" ref="X12:X15" si="23">W12/U12-1</f>
        <v>-0.18161591545398603</v>
      </c>
      <c r="Y12" s="7">
        <f t="shared" ref="Y12:Y15" si="24">B12+C12+E12+G12+I12+K12+M12+O12+Q12+S12+U12+W12</f>
        <v>10314663.780000001</v>
      </c>
      <c r="Z12" s="8">
        <f t="shared" ref="Z12:Z15" si="25">Y12/$Y$15</f>
        <v>0.4397342296787205</v>
      </c>
    </row>
    <row r="13" spans="1:26" ht="20.149999999999999" customHeight="1" x14ac:dyDescent="0.25">
      <c r="A13" s="3" t="s">
        <v>1</v>
      </c>
      <c r="B13" s="5">
        <v>129518.98</v>
      </c>
      <c r="C13" s="5">
        <v>119635.96</v>
      </c>
      <c r="D13" s="6">
        <f t="shared" si="13"/>
        <v>-7.6305573129127446E-2</v>
      </c>
      <c r="E13" s="5">
        <v>135645.57</v>
      </c>
      <c r="F13" s="6">
        <f t="shared" si="14"/>
        <v>0.1338193800593066</v>
      </c>
      <c r="G13" s="5">
        <v>140236.81</v>
      </c>
      <c r="H13" s="6">
        <f t="shared" si="15"/>
        <v>3.3847327266198102E-2</v>
      </c>
      <c r="I13" s="5">
        <v>138606.84</v>
      </c>
      <c r="J13" s="6">
        <f t="shared" si="16"/>
        <v>-1.1622982582105257E-2</v>
      </c>
      <c r="K13" s="5">
        <v>156278.32</v>
      </c>
      <c r="L13" s="6">
        <f t="shared" si="17"/>
        <v>0.12749356380969368</v>
      </c>
      <c r="M13" s="5">
        <v>117865.25</v>
      </c>
      <c r="N13" s="6">
        <f t="shared" si="18"/>
        <v>-0.24579909740519357</v>
      </c>
      <c r="O13" s="5">
        <v>133103.63</v>
      </c>
      <c r="P13" s="6">
        <f t="shared" si="19"/>
        <v>0.12928645211374867</v>
      </c>
      <c r="Q13" s="5">
        <v>106836.31</v>
      </c>
      <c r="R13" s="6">
        <f t="shared" si="20"/>
        <v>-0.19734488082706692</v>
      </c>
      <c r="S13" s="5">
        <v>127044.41</v>
      </c>
      <c r="T13" s="6">
        <f t="shared" si="21"/>
        <v>0.1891501119797192</v>
      </c>
      <c r="U13" s="5">
        <v>125627.18</v>
      </c>
      <c r="V13" s="6">
        <f t="shared" si="22"/>
        <v>-1.1155390465428683E-2</v>
      </c>
      <c r="W13" s="5">
        <v>93619.6</v>
      </c>
      <c r="X13" s="6">
        <f t="shared" si="23"/>
        <v>-0.25478228517109103</v>
      </c>
      <c r="Y13" s="7">
        <f t="shared" si="24"/>
        <v>1524018.8599999999</v>
      </c>
      <c r="Z13" s="8">
        <f t="shared" si="25"/>
        <v>6.4971895711945504E-2</v>
      </c>
    </row>
    <row r="14" spans="1:26" ht="20.149999999999999" customHeight="1" x14ac:dyDescent="0.35">
      <c r="A14" s="3" t="s">
        <v>3</v>
      </c>
      <c r="B14" s="5">
        <v>3370.54</v>
      </c>
      <c r="C14" s="5">
        <v>5574.29</v>
      </c>
      <c r="D14" s="6">
        <f t="shared" si="13"/>
        <v>0.65382698321337229</v>
      </c>
      <c r="E14" s="5">
        <v>4100</v>
      </c>
      <c r="F14" s="6">
        <f t="shared" si="14"/>
        <v>-0.26448031946669437</v>
      </c>
      <c r="G14" s="5">
        <v>5618.92</v>
      </c>
      <c r="H14" s="6">
        <f t="shared" si="15"/>
        <v>0.3704682926829268</v>
      </c>
      <c r="I14" s="5">
        <v>4819.7299999999996</v>
      </c>
      <c r="J14" s="6">
        <f t="shared" si="16"/>
        <v>-0.14223195916653031</v>
      </c>
      <c r="K14" s="5">
        <v>6651.67</v>
      </c>
      <c r="L14" s="6">
        <f t="shared" si="17"/>
        <v>0.38009183087019416</v>
      </c>
      <c r="M14" s="5">
        <v>4521.24</v>
      </c>
      <c r="N14" s="6">
        <f t="shared" si="18"/>
        <v>-0.32028498106490555</v>
      </c>
      <c r="O14" s="5">
        <v>4678.55</v>
      </c>
      <c r="P14" s="6">
        <f t="shared" si="19"/>
        <v>3.4793552211340284E-2</v>
      </c>
      <c r="Q14" s="5">
        <v>2861.06</v>
      </c>
      <c r="R14" s="6">
        <f t="shared" si="20"/>
        <v>-0.38847292430347014</v>
      </c>
      <c r="S14" s="5">
        <v>4038.51</v>
      </c>
      <c r="T14" s="6">
        <f t="shared" si="21"/>
        <v>0.41154327417111158</v>
      </c>
      <c r="U14" s="5">
        <v>6848.68</v>
      </c>
      <c r="V14" s="6">
        <f t="shared" si="22"/>
        <v>0.69584326892839199</v>
      </c>
      <c r="W14" s="5">
        <v>6218</v>
      </c>
      <c r="X14" s="6">
        <f t="shared" si="23"/>
        <v>-9.2087818382520448E-2</v>
      </c>
      <c r="Y14" s="7">
        <f t="shared" si="24"/>
        <v>59301.19</v>
      </c>
      <c r="Z14" s="8">
        <f t="shared" si="25"/>
        <v>2.5281253620931345E-3</v>
      </c>
    </row>
    <row r="15" spans="1:26" ht="20.149999999999999" customHeight="1" x14ac:dyDescent="0.35">
      <c r="A15" s="3" t="s">
        <v>7</v>
      </c>
      <c r="B15" s="9">
        <f>SUM(B11:B14)</f>
        <v>1776308.79</v>
      </c>
      <c r="C15" s="9">
        <f>SUM(C11:C14)</f>
        <v>1686570.5</v>
      </c>
      <c r="D15" s="6">
        <f t="shared" si="13"/>
        <v>-5.0519532699041636E-2</v>
      </c>
      <c r="E15" s="9">
        <f>SUM(E11:E14)</f>
        <v>2263008.39</v>
      </c>
      <c r="F15" s="6">
        <f t="shared" si="14"/>
        <v>0.34178108178697553</v>
      </c>
      <c r="G15" s="9">
        <f>SUM(G11:G14)</f>
        <v>2313432.98</v>
      </c>
      <c r="H15" s="6">
        <f t="shared" si="15"/>
        <v>2.2282104751719434E-2</v>
      </c>
      <c r="I15" s="9">
        <f>SUM(I11:I14)</f>
        <v>2194160.04</v>
      </c>
      <c r="J15" s="6">
        <f t="shared" si="16"/>
        <v>-5.1556686980402611E-2</v>
      </c>
      <c r="K15" s="9">
        <f>SUM(K11:K14)</f>
        <v>2181475.38</v>
      </c>
      <c r="L15" s="6">
        <f t="shared" si="17"/>
        <v>-5.781100634756009E-3</v>
      </c>
      <c r="M15" s="9">
        <f>SUM(M11:M14)</f>
        <v>2172051.25</v>
      </c>
      <c r="N15" s="6">
        <f t="shared" si="18"/>
        <v>-4.3200716755280588E-3</v>
      </c>
      <c r="O15" s="9">
        <f>SUM(O11:O14)</f>
        <v>1987111.2299999997</v>
      </c>
      <c r="P15" s="6">
        <f t="shared" si="19"/>
        <v>-8.514532978906475E-2</v>
      </c>
      <c r="Q15" s="9">
        <f>SUM(Q11:Q14)</f>
        <v>1820055.1500000001</v>
      </c>
      <c r="R15" s="6">
        <f t="shared" si="20"/>
        <v>-8.4069818275849473E-2</v>
      </c>
      <c r="S15" s="9">
        <f>SUM(S11:S14)</f>
        <v>2167141.12</v>
      </c>
      <c r="T15" s="6">
        <f t="shared" si="21"/>
        <v>0.1907007982697666</v>
      </c>
      <c r="U15" s="9">
        <f>SUM(U11:U14)</f>
        <v>1607093.48</v>
      </c>
      <c r="V15" s="6">
        <f t="shared" si="22"/>
        <v>-0.25842693622093249</v>
      </c>
      <c r="W15" s="9">
        <f>SUM(W11:W14)</f>
        <v>1288177.7000000002</v>
      </c>
      <c r="X15" s="6">
        <f t="shared" si="23"/>
        <v>-0.19844258219503186</v>
      </c>
      <c r="Y15" s="7">
        <f t="shared" si="24"/>
        <v>23456586.009999998</v>
      </c>
      <c r="Z15" s="8">
        <f t="shared" si="25"/>
        <v>1</v>
      </c>
    </row>
    <row r="16" spans="1:26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spans="1:26" ht="25" customHeight="1" x14ac:dyDescent="0.35">
      <c r="A17" s="3" t="s">
        <v>6</v>
      </c>
      <c r="B17" s="4">
        <v>43101</v>
      </c>
      <c r="C17" s="4">
        <v>43132</v>
      </c>
      <c r="D17" s="4" t="s">
        <v>9</v>
      </c>
      <c r="E17" s="4">
        <v>43160</v>
      </c>
      <c r="F17" s="4" t="s">
        <v>9</v>
      </c>
      <c r="G17" s="4">
        <v>43191</v>
      </c>
      <c r="H17" s="4" t="s">
        <v>9</v>
      </c>
      <c r="I17" s="4">
        <v>43221</v>
      </c>
      <c r="J17" s="4" t="s">
        <v>9</v>
      </c>
      <c r="K17" s="4">
        <v>43252</v>
      </c>
      <c r="L17" s="4" t="s">
        <v>9</v>
      </c>
      <c r="M17" s="4">
        <v>43282</v>
      </c>
      <c r="N17" s="4" t="s">
        <v>9</v>
      </c>
      <c r="O17" s="4">
        <v>43313</v>
      </c>
      <c r="P17" s="4" t="s">
        <v>9</v>
      </c>
      <c r="Q17" s="4">
        <v>43344</v>
      </c>
      <c r="R17" s="4" t="s">
        <v>9</v>
      </c>
      <c r="S17" s="4">
        <v>43374</v>
      </c>
      <c r="T17" s="4" t="s">
        <v>9</v>
      </c>
      <c r="U17" s="4">
        <v>43405</v>
      </c>
      <c r="V17" s="4" t="s">
        <v>9</v>
      </c>
      <c r="W17" s="4">
        <v>43435</v>
      </c>
      <c r="X17" s="4" t="s">
        <v>9</v>
      </c>
      <c r="Y17" s="3" t="s">
        <v>14</v>
      </c>
      <c r="Z17" s="12"/>
    </row>
    <row r="18" spans="1:26" ht="20.149999999999999" customHeight="1" x14ac:dyDescent="0.35">
      <c r="A18" s="3" t="s">
        <v>0</v>
      </c>
      <c r="B18" s="13">
        <f>B11/B4*100</f>
        <v>7.125213522766555</v>
      </c>
      <c r="C18" s="13">
        <f t="shared" ref="C18:S18" si="26">C11/C4*100</f>
        <v>7.2049711631835143</v>
      </c>
      <c r="D18" s="6">
        <f>C18/B18-1</f>
        <v>1.1193719340777175E-2</v>
      </c>
      <c r="E18" s="13">
        <f t="shared" si="26"/>
        <v>8.44857245265929</v>
      </c>
      <c r="F18" s="6">
        <f>E18/C18-1</f>
        <v>0.17260322925793514</v>
      </c>
      <c r="G18" s="13">
        <f t="shared" si="26"/>
        <v>8.4145349583112434</v>
      </c>
      <c r="H18" s="6">
        <f>G18/E18-1</f>
        <v>-4.0287864652605032E-3</v>
      </c>
      <c r="I18" s="13">
        <f t="shared" si="26"/>
        <v>8.3703101395563824</v>
      </c>
      <c r="J18" s="6">
        <f>I18/G18-1</f>
        <v>-5.2557650510655085E-3</v>
      </c>
      <c r="K18" s="13">
        <f t="shared" si="26"/>
        <v>8.4384042268334358</v>
      </c>
      <c r="L18" s="6">
        <f>K18/I18-1</f>
        <v>8.1351928592532374E-3</v>
      </c>
      <c r="M18" s="13">
        <f t="shared" si="26"/>
        <v>8.2614217242833234</v>
      </c>
      <c r="N18" s="6">
        <f>M18/K18-1</f>
        <v>-2.0973456330442453E-2</v>
      </c>
      <c r="O18" s="13">
        <f t="shared" si="26"/>
        <v>7.267427720937131</v>
      </c>
      <c r="P18" s="6">
        <f>O18/M18-1</f>
        <v>-0.12031754781679804</v>
      </c>
      <c r="Q18" s="13">
        <f t="shared" si="26"/>
        <v>7.278888033203498</v>
      </c>
      <c r="R18" s="6">
        <f>Q18/O18-1</f>
        <v>1.5769420359490471E-3</v>
      </c>
      <c r="S18" s="13">
        <f t="shared" si="26"/>
        <v>7.5685674703890076</v>
      </c>
      <c r="T18" s="14">
        <f>S18/Q18-1</f>
        <v>3.9797210214541412E-2</v>
      </c>
      <c r="U18" s="13">
        <f>U11/U4*100</f>
        <v>7.4908322919733097</v>
      </c>
      <c r="V18" s="14">
        <f>U18/S18-1</f>
        <v>-1.0270791496518439E-2</v>
      </c>
      <c r="W18" s="13">
        <f>W11/W4*100</f>
        <v>7.3692792061522754</v>
      </c>
      <c r="X18" s="6">
        <f>W18/U18-1</f>
        <v>-1.6226913256525921E-2</v>
      </c>
      <c r="Y18" s="15">
        <f>Y11/Y4*100</f>
        <v>7.8022834145671087</v>
      </c>
      <c r="Z18" s="12"/>
    </row>
    <row r="19" spans="1:26" ht="20.149999999999999" customHeight="1" x14ac:dyDescent="0.35">
      <c r="A19" s="3" t="s">
        <v>2</v>
      </c>
      <c r="B19" s="13">
        <f>B12/B5*100</f>
        <v>6.1827648843915668</v>
      </c>
      <c r="C19" s="13">
        <f t="shared" ref="C19:S19" si="27">C12/C5*100</f>
        <v>6.1126615707265124</v>
      </c>
      <c r="D19" s="6">
        <f t="shared" ref="D19:D22" si="28">C19/B19-1</f>
        <v>-1.1338505502939467E-2</v>
      </c>
      <c r="E19" s="13">
        <f t="shared" si="27"/>
        <v>7.2978730330539827</v>
      </c>
      <c r="F19" s="6">
        <f t="shared" ref="F19:F22" si="29">E19/C19-1</f>
        <v>0.19389450055658863</v>
      </c>
      <c r="G19" s="13">
        <f t="shared" si="27"/>
        <v>7.3734823725488603</v>
      </c>
      <c r="H19" s="6">
        <f t="shared" ref="H19:H22" si="30">G19/E19-1</f>
        <v>1.0360462446033614E-2</v>
      </c>
      <c r="I19" s="13">
        <f t="shared" si="27"/>
        <v>7.5009987000232066</v>
      </c>
      <c r="J19" s="6">
        <f t="shared" ref="J19:J22" si="31">I19/G19-1</f>
        <v>1.7293908228367627E-2</v>
      </c>
      <c r="K19" s="13">
        <f t="shared" si="27"/>
        <v>7.6318598100204236</v>
      </c>
      <c r="L19" s="6">
        <f t="shared" ref="L19:L22" si="32">K19/I19-1</f>
        <v>1.7445824913529417E-2</v>
      </c>
      <c r="M19" s="13">
        <f t="shared" si="27"/>
        <v>7.5147760736007863</v>
      </c>
      <c r="N19" s="6">
        <f t="shared" ref="N19:N22" si="33">M19/K19-1</f>
        <v>-1.5341442234815372E-2</v>
      </c>
      <c r="O19" s="13">
        <f t="shared" si="27"/>
        <v>6.9236924989078226</v>
      </c>
      <c r="P19" s="6">
        <f t="shared" ref="P19:P22" si="34">O19/M19-1</f>
        <v>-7.8656179359678502E-2</v>
      </c>
      <c r="Q19" s="13">
        <f t="shared" si="27"/>
        <v>6.3749093493983544</v>
      </c>
      <c r="R19" s="6">
        <f t="shared" ref="R19:R22" si="35">Q19/O19-1</f>
        <v>-7.926162948398352E-2</v>
      </c>
      <c r="S19" s="13">
        <f t="shared" si="27"/>
        <v>6.7068216348859773</v>
      </c>
      <c r="T19" s="14">
        <f t="shared" ref="T19:T22" si="36">S19/Q19-1</f>
        <v>5.2065412588015558E-2</v>
      </c>
      <c r="U19" s="13">
        <f t="shared" ref="U19:U22" si="37">U12/U5*100</f>
        <v>6.5736176299701521</v>
      </c>
      <c r="V19" s="14">
        <f t="shared" ref="V19:V22" si="38">U19/S19-1</f>
        <v>-1.9860973225075185E-2</v>
      </c>
      <c r="W19" s="13">
        <f t="shared" ref="W19:W22" si="39">W12/W5*100</f>
        <v>6.2884509676596245</v>
      </c>
      <c r="X19" s="6">
        <f t="shared" ref="X19:X22" si="40">W19/U19-1</f>
        <v>-4.3380476073084595E-2</v>
      </c>
      <c r="Y19" s="15">
        <f t="shared" ref="Y19:Y22" si="41">Y12/Y5*100</f>
        <v>6.9060105114642942</v>
      </c>
      <c r="Z19" s="12"/>
    </row>
    <row r="20" spans="1:26" ht="20.149999999999999" customHeight="1" x14ac:dyDescent="0.35">
      <c r="A20" s="3" t="s">
        <v>1</v>
      </c>
      <c r="B20" s="13">
        <f>B13/B6*100</f>
        <v>6.6050614384684625</v>
      </c>
      <c r="C20" s="13">
        <f t="shared" ref="C20:S20" si="42">C13/C6*100</f>
        <v>6.0544085213971162</v>
      </c>
      <c r="D20" s="6">
        <f t="shared" si="28"/>
        <v>-8.3368326275406801E-2</v>
      </c>
      <c r="E20" s="13">
        <f t="shared" si="42"/>
        <v>6.6696317544826647</v>
      </c>
      <c r="F20" s="6">
        <f t="shared" si="29"/>
        <v>0.1016157451072659</v>
      </c>
      <c r="G20" s="13">
        <f t="shared" si="42"/>
        <v>7.8324852229968878</v>
      </c>
      <c r="H20" s="6">
        <f t="shared" si="30"/>
        <v>0.1743504756064933</v>
      </c>
      <c r="I20" s="13">
        <f t="shared" si="42"/>
        <v>6.8726495434078618</v>
      </c>
      <c r="J20" s="6">
        <f t="shared" si="31"/>
        <v>-0.12254548234203633</v>
      </c>
      <c r="K20" s="13">
        <f t="shared" si="42"/>
        <v>7.4226072782040022</v>
      </c>
      <c r="L20" s="6">
        <f t="shared" si="32"/>
        <v>8.0021210353094618E-2</v>
      </c>
      <c r="M20" s="13">
        <f t="shared" si="42"/>
        <v>6.9916176693905836</v>
      </c>
      <c r="N20" s="6">
        <f t="shared" si="33"/>
        <v>-5.8064449951298225E-2</v>
      </c>
      <c r="O20" s="13">
        <f t="shared" si="42"/>
        <v>6.9161197833042882</v>
      </c>
      <c r="P20" s="6">
        <f t="shared" si="34"/>
        <v>-1.0798343052542236E-2</v>
      </c>
      <c r="Q20" s="13">
        <f t="shared" si="42"/>
        <v>7.5232281706882533</v>
      </c>
      <c r="R20" s="6">
        <f t="shared" si="35"/>
        <v>8.7781647282850983E-2</v>
      </c>
      <c r="S20" s="13">
        <f t="shared" si="42"/>
        <v>7.1995662502578464</v>
      </c>
      <c r="T20" s="14">
        <f t="shared" si="36"/>
        <v>-4.302168073161039E-2</v>
      </c>
      <c r="U20" s="13">
        <f t="shared" si="37"/>
        <v>6.8461865018705765</v>
      </c>
      <c r="V20" s="14">
        <f t="shared" si="38"/>
        <v>-4.9083477546249976E-2</v>
      </c>
      <c r="W20" s="13">
        <f t="shared" si="39"/>
        <v>6.6643317914614748</v>
      </c>
      <c r="X20" s="6">
        <f t="shared" si="40"/>
        <v>-2.6562920884409702E-2</v>
      </c>
      <c r="Y20" s="15">
        <f t="shared" si="41"/>
        <v>6.9532104911515553</v>
      </c>
      <c r="Z20" s="12"/>
    </row>
    <row r="21" spans="1:26" ht="20.149999999999999" customHeight="1" x14ac:dyDescent="0.35">
      <c r="A21" s="3" t="s">
        <v>3</v>
      </c>
      <c r="B21" s="13">
        <f>B14/B7*100</f>
        <v>1.427710945442223</v>
      </c>
      <c r="C21" s="13">
        <f>C14/C7*100</f>
        <v>1.5010677114890065</v>
      </c>
      <c r="D21" s="6">
        <f>C21/B21-1</f>
        <v>5.1380684781443531E-2</v>
      </c>
      <c r="E21" s="13">
        <f>E14/E7*100</f>
        <v>1.3575934173275277</v>
      </c>
      <c r="F21" s="6">
        <f t="shared" si="29"/>
        <v>-9.5581493801606965E-2</v>
      </c>
      <c r="G21" s="13">
        <f>G14/G7*100</f>
        <v>1.4184392150131016</v>
      </c>
      <c r="H21" s="6">
        <f t="shared" si="30"/>
        <v>4.4818866170809102E-2</v>
      </c>
      <c r="I21" s="13">
        <f>I14/I7*100</f>
        <v>1.5521580069432366</v>
      </c>
      <c r="J21" s="6">
        <f t="shared" si="31"/>
        <v>9.4271781627878859E-2</v>
      </c>
      <c r="K21" s="13">
        <f>K14/K7*100</f>
        <v>1.4202348670865805</v>
      </c>
      <c r="L21" s="6">
        <f t="shared" si="32"/>
        <v>-8.4993370047718675E-2</v>
      </c>
      <c r="M21" s="13">
        <f>M14/M7*100</f>
        <v>1.4136915370617036</v>
      </c>
      <c r="N21" s="6">
        <f t="shared" si="33"/>
        <v>-4.6072168600533869E-3</v>
      </c>
      <c r="O21" s="13">
        <f>O14/O7*100</f>
        <v>1.5844989331798016</v>
      </c>
      <c r="P21" s="6">
        <f t="shared" si="34"/>
        <v>0.12082366742685169</v>
      </c>
      <c r="Q21" s="13">
        <f>Q14/Q7*100</f>
        <v>1.3735549410454353</v>
      </c>
      <c r="R21" s="6">
        <f t="shared" si="35"/>
        <v>-0.13312977857993258</v>
      </c>
      <c r="S21" s="13">
        <f>S14/S7*100</f>
        <v>1.6076807019080339</v>
      </c>
      <c r="T21" s="6">
        <f t="shared" si="36"/>
        <v>0.17045241793124166</v>
      </c>
      <c r="U21" s="13">
        <f>U14/U7*100</f>
        <v>1.8829280362911542</v>
      </c>
      <c r="V21" s="14">
        <f t="shared" si="38"/>
        <v>0.17120771186495576</v>
      </c>
      <c r="W21" s="13">
        <f t="shared" si="39"/>
        <v>3.102732480389613</v>
      </c>
      <c r="X21" s="6">
        <f t="shared" si="40"/>
        <v>0.64782318845341269</v>
      </c>
      <c r="Y21" s="15">
        <f t="shared" si="41"/>
        <v>1.5927667280124711</v>
      </c>
      <c r="Z21" s="12"/>
    </row>
    <row r="22" spans="1:26" ht="20.149999999999999" customHeight="1" x14ac:dyDescent="0.35">
      <c r="A22" s="3" t="s">
        <v>8</v>
      </c>
      <c r="B22" s="15">
        <f>B15/B8*100</f>
        <v>6.6166089653950753</v>
      </c>
      <c r="C22" s="15">
        <f t="shared" ref="C22:S22" si="43">C15/C8*100</f>
        <v>6.5409705496724886</v>
      </c>
      <c r="D22" s="6">
        <f t="shared" si="28"/>
        <v>-1.1431598288213274E-2</v>
      </c>
      <c r="E22" s="15">
        <f t="shared" si="43"/>
        <v>7.7803423428428484</v>
      </c>
      <c r="F22" s="6">
        <f t="shared" si="29"/>
        <v>0.18947827142142026</v>
      </c>
      <c r="G22" s="15">
        <f t="shared" si="43"/>
        <v>7.8077047658276095</v>
      </c>
      <c r="H22" s="6">
        <f t="shared" si="30"/>
        <v>3.516866196759505E-3</v>
      </c>
      <c r="I22" s="15">
        <f t="shared" si="43"/>
        <v>7.7869639450281554</v>
      </c>
      <c r="J22" s="6">
        <f t="shared" si="31"/>
        <v>-2.6564555681244384E-3</v>
      </c>
      <c r="K22" s="15">
        <f t="shared" si="43"/>
        <v>7.8693763838534796</v>
      </c>
      <c r="L22" s="6">
        <f t="shared" si="32"/>
        <v>1.0583385181581972E-2</v>
      </c>
      <c r="M22" s="15">
        <f t="shared" si="43"/>
        <v>7.74278984466984</v>
      </c>
      <c r="N22" s="6">
        <f t="shared" si="33"/>
        <v>-1.6085968316799759E-2</v>
      </c>
      <c r="O22" s="15">
        <f t="shared" si="43"/>
        <v>7.0220910332354727</v>
      </c>
      <c r="P22" s="6">
        <f t="shared" si="34"/>
        <v>-9.3079991307073673E-2</v>
      </c>
      <c r="Q22" s="15">
        <f t="shared" si="43"/>
        <v>6.7833774427969535</v>
      </c>
      <c r="R22" s="6">
        <f t="shared" si="35"/>
        <v>-3.3994659042255404E-2</v>
      </c>
      <c r="S22" s="15">
        <f t="shared" si="43"/>
        <v>7.0563768722972808</v>
      </c>
      <c r="T22" s="6">
        <f t="shared" si="36"/>
        <v>4.0245354442161707E-2</v>
      </c>
      <c r="U22" s="13">
        <f t="shared" si="37"/>
        <v>6.9679460175583756</v>
      </c>
      <c r="V22" s="6">
        <f t="shared" si="38"/>
        <v>-1.2532048151520536E-2</v>
      </c>
      <c r="W22" s="13">
        <f t="shared" si="39"/>
        <v>6.8014689188503672</v>
      </c>
      <c r="X22" s="6">
        <f t="shared" si="40"/>
        <v>-2.3891846792226334E-2</v>
      </c>
      <c r="Y22" s="15">
        <f t="shared" si="41"/>
        <v>7.258887783862618</v>
      </c>
      <c r="Z22" s="12"/>
    </row>
    <row r="23" spans="1:26" x14ac:dyDescent="0.35">
      <c r="A23" s="2" t="s">
        <v>10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5">
      <c r="A24" s="18" t="s">
        <v>17</v>
      </c>
      <c r="B24" s="18"/>
      <c r="C24" s="18"/>
      <c r="D24" s="18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"/>
      <c r="T24" s="1"/>
      <c r="U24" s="1"/>
      <c r="V24" s="1"/>
      <c r="W24" s="1"/>
      <c r="X24" s="1"/>
      <c r="Y24" s="1"/>
      <c r="Z24" s="1"/>
    </row>
    <row r="25" spans="1:26" ht="15.5" x14ac:dyDescent="0.35">
      <c r="A25" s="18" t="s">
        <v>18</v>
      </c>
      <c r="B25" s="18"/>
      <c r="C25" s="18"/>
      <c r="D25" s="18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18" t="s">
        <v>19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9"/>
      <c r="Q26" s="19"/>
      <c r="R26" s="19"/>
      <c r="S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20" t="s">
        <v>15</v>
      </c>
      <c r="B27" s="20"/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19"/>
      <c r="P27" s="19"/>
      <c r="Q27" s="19"/>
      <c r="R27" s="19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18" t="s">
        <v>20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9"/>
    </row>
  </sheetData>
  <mergeCells count="1">
    <mergeCell ref="A1:Z1"/>
  </mergeCells>
  <pageMargins left="0.7" right="0.7" top="0.75" bottom="0.75" header="0.3" footer="0.3"/>
  <pageSetup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9"/>
  <sheetViews>
    <sheetView zoomScale="60" zoomScaleNormal="60" workbookViewId="0">
      <selection activeCell="W3" sqref="W3:W23"/>
    </sheetView>
  </sheetViews>
  <sheetFormatPr defaultRowHeight="14.5" x14ac:dyDescent="0.35"/>
  <cols>
    <col min="2" max="3" width="10.7265625" customWidth="1"/>
    <col min="4" max="4" width="5.7265625" customWidth="1"/>
    <col min="5" max="5" width="10.7265625" customWidth="1"/>
    <col min="6" max="6" width="5.7265625" customWidth="1"/>
    <col min="7" max="7" width="10.7265625" customWidth="1"/>
    <col min="8" max="8" width="5.7265625" customWidth="1"/>
    <col min="9" max="9" width="10.7265625" customWidth="1"/>
    <col min="10" max="10" width="5.7265625" customWidth="1"/>
    <col min="11" max="11" width="10.7265625" customWidth="1"/>
    <col min="12" max="12" width="5.7265625" customWidth="1"/>
    <col min="13" max="13" width="10.7265625" customWidth="1"/>
    <col min="14" max="14" width="5.7265625" customWidth="1"/>
    <col min="15" max="15" width="10.7265625" customWidth="1"/>
    <col min="16" max="16" width="5.7265625" customWidth="1"/>
    <col min="17" max="17" width="10.7265625" customWidth="1"/>
    <col min="18" max="18" width="5.7265625" customWidth="1"/>
    <col min="19" max="19" width="10.7265625" customWidth="1"/>
    <col min="20" max="20" width="5.7265625" customWidth="1"/>
    <col min="21" max="21" width="10.7265625" customWidth="1"/>
    <col min="22" max="22" width="5.7265625" customWidth="1"/>
    <col min="23" max="23" width="10.7265625" customWidth="1"/>
    <col min="24" max="24" width="5.7265625" customWidth="1"/>
    <col min="25" max="25" width="17.54296875" bestFit="1" customWidth="1"/>
  </cols>
  <sheetData>
    <row r="1" spans="1:26" ht="20.25" x14ac:dyDescent="0.3">
      <c r="A1" s="55" t="s">
        <v>21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20.25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5" customHeight="1" x14ac:dyDescent="0.25">
      <c r="A3" s="3" t="s">
        <v>5</v>
      </c>
      <c r="B3" s="4">
        <v>43466</v>
      </c>
      <c r="C3" s="4">
        <v>43497</v>
      </c>
      <c r="D3" s="4" t="s">
        <v>9</v>
      </c>
      <c r="E3" s="4">
        <v>43525</v>
      </c>
      <c r="F3" s="4" t="s">
        <v>9</v>
      </c>
      <c r="G3" s="4">
        <v>43556</v>
      </c>
      <c r="H3" s="4" t="s">
        <v>9</v>
      </c>
      <c r="I3" s="4">
        <v>43586</v>
      </c>
      <c r="J3" s="4" t="s">
        <v>9</v>
      </c>
      <c r="K3" s="4">
        <v>43617</v>
      </c>
      <c r="L3" s="4" t="s">
        <v>9</v>
      </c>
      <c r="M3" s="4">
        <v>43647</v>
      </c>
      <c r="N3" s="4" t="s">
        <v>9</v>
      </c>
      <c r="O3" s="4">
        <v>43678</v>
      </c>
      <c r="P3" s="4" t="s">
        <v>9</v>
      </c>
      <c r="Q3" s="4">
        <v>43709</v>
      </c>
      <c r="R3" s="4" t="s">
        <v>9</v>
      </c>
      <c r="S3" s="4">
        <v>43739</v>
      </c>
      <c r="T3" s="4" t="s">
        <v>9</v>
      </c>
      <c r="U3" s="4">
        <v>43770</v>
      </c>
      <c r="V3" s="4" t="s">
        <v>9</v>
      </c>
      <c r="W3" s="4">
        <v>43800</v>
      </c>
      <c r="X3" s="4" t="s">
        <v>9</v>
      </c>
      <c r="Y3" s="4" t="s">
        <v>22</v>
      </c>
      <c r="Z3" s="3" t="s">
        <v>11</v>
      </c>
    </row>
    <row r="4" spans="1:26" ht="25" customHeight="1" x14ac:dyDescent="0.25">
      <c r="A4" s="3" t="s">
        <v>0</v>
      </c>
      <c r="B4" s="5">
        <v>909078.92</v>
      </c>
      <c r="C4" s="5">
        <v>974005.31</v>
      </c>
      <c r="D4" s="6">
        <f>C4/B4-1</f>
        <v>7.1419970886576145E-2</v>
      </c>
      <c r="E4" s="5">
        <v>892384.61</v>
      </c>
      <c r="F4" s="6">
        <f>E4/C4-1</f>
        <v>-8.3799029802003933E-2</v>
      </c>
      <c r="G4" s="5">
        <v>1037326.57</v>
      </c>
      <c r="H4" s="6">
        <f>G4/E4-1</f>
        <v>0.16242095434613102</v>
      </c>
      <c r="I4" s="5">
        <v>1044694.23</v>
      </c>
      <c r="J4" s="6">
        <f>I4/G4-1</f>
        <v>7.1025463080542917E-3</v>
      </c>
      <c r="K4" s="5">
        <v>889285.53</v>
      </c>
      <c r="L4" s="6">
        <f>K4/I4-1</f>
        <v>-0.14875998692938119</v>
      </c>
      <c r="M4" s="5">
        <v>939585.65</v>
      </c>
      <c r="N4" s="6">
        <f>M4/K4-1</f>
        <v>5.6562395657106856E-2</v>
      </c>
      <c r="O4" s="5">
        <v>845740.48</v>
      </c>
      <c r="P4" s="6">
        <f>O4/M4-1</f>
        <v>-9.9879313823066584E-2</v>
      </c>
      <c r="Q4" s="5">
        <v>912395.98</v>
      </c>
      <c r="R4" s="6">
        <f>Q4/O4-1</f>
        <v>7.8813183921384589E-2</v>
      </c>
      <c r="S4" s="5">
        <v>900729.21</v>
      </c>
      <c r="T4" s="6">
        <f>S4/Q4-1</f>
        <v>-1.2786959013124988E-2</v>
      </c>
      <c r="U4" s="5">
        <v>773600.35</v>
      </c>
      <c r="V4" s="6">
        <f>U4/S4-1</f>
        <v>-0.14113993261082314</v>
      </c>
      <c r="W4" s="5">
        <v>718226.72</v>
      </c>
      <c r="X4" s="6">
        <f>W4/U4-1</f>
        <v>-7.1579117046676632E-2</v>
      </c>
      <c r="Y4" s="22">
        <f>B4+C4+E4+G4+I4+K4+M4+O4+Q4+S4+U4+W4</f>
        <v>10837053.560000002</v>
      </c>
      <c r="Z4" s="8">
        <f>Y4/$Y$8</f>
        <v>0.49467747718536237</v>
      </c>
    </row>
    <row r="5" spans="1:26" ht="25" customHeight="1" x14ac:dyDescent="0.25">
      <c r="A5" s="3" t="s">
        <v>2</v>
      </c>
      <c r="B5" s="5">
        <v>886116.24</v>
      </c>
      <c r="C5" s="5">
        <v>690044.23</v>
      </c>
      <c r="D5" s="6">
        <f t="shared" ref="D5:D8" si="0">C5/B5-1</f>
        <v>-0.22127120703712644</v>
      </c>
      <c r="E5" s="5">
        <v>838116.2</v>
      </c>
      <c r="F5" s="6">
        <f t="shared" ref="F5:F8" si="1">E5/C5-1</f>
        <v>0.21458330287031013</v>
      </c>
      <c r="G5" s="5">
        <v>883018.56</v>
      </c>
      <c r="H5" s="6">
        <f t="shared" ref="H5:H8" si="2">G5/E5-1</f>
        <v>5.3575339553155077E-2</v>
      </c>
      <c r="I5" s="5">
        <v>997314.53</v>
      </c>
      <c r="J5" s="6">
        <f t="shared" ref="J5:J8" si="3">I5/G5-1</f>
        <v>0.12943778894069902</v>
      </c>
      <c r="K5" s="5">
        <v>816886.98</v>
      </c>
      <c r="L5" s="6">
        <f t="shared" ref="L5:L8" si="4">K5/I5-1</f>
        <v>-0.18091338747466157</v>
      </c>
      <c r="M5" s="5">
        <v>750259.77</v>
      </c>
      <c r="N5" s="6">
        <f t="shared" ref="N5:N8" si="5">M5/K5-1</f>
        <v>-8.156233558772108E-2</v>
      </c>
      <c r="O5" s="5">
        <v>719321.01</v>
      </c>
      <c r="P5" s="6">
        <f t="shared" ref="P5:P8" si="6">O5/M5-1</f>
        <v>-4.1237397015169819E-2</v>
      </c>
      <c r="Q5" s="5">
        <v>765017.69</v>
      </c>
      <c r="R5" s="6">
        <f t="shared" ref="R5:R8" si="7">Q5/O5-1</f>
        <v>6.3527520209648802E-2</v>
      </c>
      <c r="S5" s="5">
        <v>908610.98</v>
      </c>
      <c r="T5" s="6">
        <f t="shared" ref="T5:T8" si="8">S5/Q5-1</f>
        <v>0.187699306665706</v>
      </c>
      <c r="U5" s="5">
        <v>627372</v>
      </c>
      <c r="V5" s="6">
        <f t="shared" ref="V5:V8" si="9">U5/S5-1</f>
        <v>-0.30952628373476176</v>
      </c>
      <c r="W5" s="5">
        <v>627924.05000000005</v>
      </c>
      <c r="X5" s="6">
        <f t="shared" ref="X5:X8" si="10">W5/U5-1</f>
        <v>8.7994045000416854E-4</v>
      </c>
      <c r="Y5" s="22">
        <f t="shared" ref="Y5:Y8" si="11">B5+C5+E5+G5+I5+K5+M5+O5+Q5+S5+U5+W5</f>
        <v>9510002.2400000002</v>
      </c>
      <c r="Z5" s="8">
        <f t="shared" ref="Z5:Z8" si="12">Y5/$Y$8</f>
        <v>0.4341017500803368</v>
      </c>
    </row>
    <row r="6" spans="1:26" ht="25" customHeight="1" x14ac:dyDescent="0.25">
      <c r="A6" s="3" t="s">
        <v>1</v>
      </c>
      <c r="B6" s="5">
        <v>158164.35999999999</v>
      </c>
      <c r="C6" s="5">
        <v>87436.66</v>
      </c>
      <c r="D6" s="6">
        <f t="shared" si="0"/>
        <v>-0.44717849204460469</v>
      </c>
      <c r="E6" s="5">
        <v>139696.10999999999</v>
      </c>
      <c r="F6" s="6">
        <f t="shared" si="1"/>
        <v>0.59768351169863965</v>
      </c>
      <c r="G6" s="5">
        <v>190229.37</v>
      </c>
      <c r="H6" s="6">
        <f t="shared" si="2"/>
        <v>0.36173705910637044</v>
      </c>
      <c r="I6" s="5">
        <v>153616.98000000001</v>
      </c>
      <c r="J6" s="6">
        <f t="shared" si="3"/>
        <v>-0.19246444437049859</v>
      </c>
      <c r="K6" s="5">
        <v>105285.51</v>
      </c>
      <c r="L6" s="6">
        <f t="shared" si="4"/>
        <v>-0.3146232271979309</v>
      </c>
      <c r="M6" s="5">
        <v>148838.21</v>
      </c>
      <c r="N6" s="6">
        <f t="shared" si="5"/>
        <v>0.41366281077044698</v>
      </c>
      <c r="O6" s="5">
        <v>146284.98000000001</v>
      </c>
      <c r="P6" s="6">
        <f t="shared" si="6"/>
        <v>-1.7154398725972242E-2</v>
      </c>
      <c r="Q6" s="5">
        <v>120355.22</v>
      </c>
      <c r="R6" s="6">
        <f t="shared" si="7"/>
        <v>-0.17725510848755632</v>
      </c>
      <c r="S6" s="5">
        <v>94061.92</v>
      </c>
      <c r="T6" s="6">
        <f t="shared" si="8"/>
        <v>-0.2184641430591876</v>
      </c>
      <c r="U6" s="5">
        <v>100934.51</v>
      </c>
      <c r="V6" s="6">
        <f t="shared" si="9"/>
        <v>7.3064530258365901E-2</v>
      </c>
      <c r="W6" s="5">
        <v>82359.320000000007</v>
      </c>
      <c r="X6" s="6">
        <f t="shared" si="10"/>
        <v>-0.18403210160726979</v>
      </c>
      <c r="Y6" s="22">
        <f t="shared" si="11"/>
        <v>1527263.15</v>
      </c>
      <c r="Z6" s="8">
        <f t="shared" si="12"/>
        <v>6.9714768673725142E-2</v>
      </c>
    </row>
    <row r="7" spans="1:26" ht="25" customHeight="1" x14ac:dyDescent="0.25">
      <c r="A7" s="3" t="s">
        <v>3</v>
      </c>
      <c r="B7" s="5">
        <v>3171.76</v>
      </c>
      <c r="C7" s="5">
        <v>8310.98</v>
      </c>
      <c r="D7" s="6">
        <f t="shared" si="0"/>
        <v>1.6203054455570407</v>
      </c>
      <c r="E7" s="5">
        <v>4026.4</v>
      </c>
      <c r="F7" s="6">
        <f t="shared" si="1"/>
        <v>-0.51553246428219057</v>
      </c>
      <c r="G7" s="5">
        <v>2171.33</v>
      </c>
      <c r="H7" s="6">
        <f t="shared" si="2"/>
        <v>-0.46072670375521563</v>
      </c>
      <c r="I7" s="5">
        <v>630.97</v>
      </c>
      <c r="J7" s="6">
        <f t="shared" si="3"/>
        <v>-0.70940851920251635</v>
      </c>
      <c r="K7" s="5">
        <v>2206.17</v>
      </c>
      <c r="L7" s="6">
        <f t="shared" si="4"/>
        <v>2.4964736833763888</v>
      </c>
      <c r="M7" s="5">
        <v>2187.4899999999998</v>
      </c>
      <c r="N7" s="6">
        <f t="shared" si="5"/>
        <v>-8.467162548670415E-3</v>
      </c>
      <c r="O7" s="5">
        <v>1744.17</v>
      </c>
      <c r="P7" s="6">
        <f t="shared" si="6"/>
        <v>-0.20266149788113308</v>
      </c>
      <c r="Q7" s="5">
        <v>1723.73</v>
      </c>
      <c r="R7" s="6">
        <f t="shared" si="7"/>
        <v>-1.1719041148511966E-2</v>
      </c>
      <c r="S7" s="5">
        <v>2156.13</v>
      </c>
      <c r="T7" s="6">
        <f t="shared" si="8"/>
        <v>0.25085135142974835</v>
      </c>
      <c r="U7" s="5">
        <v>2619.04</v>
      </c>
      <c r="V7" s="6">
        <f t="shared" si="9"/>
        <v>0.21469484678567619</v>
      </c>
      <c r="W7" s="5">
        <v>2044.33</v>
      </c>
      <c r="X7" s="6">
        <f t="shared" si="10"/>
        <v>-0.21943536563015453</v>
      </c>
      <c r="Y7" s="22">
        <f t="shared" si="11"/>
        <v>32992.5</v>
      </c>
      <c r="Z7" s="8">
        <f t="shared" si="12"/>
        <v>1.5060040605758586E-3</v>
      </c>
    </row>
    <row r="8" spans="1:26" ht="25" customHeight="1" x14ac:dyDescent="0.25">
      <c r="A8" s="3" t="s">
        <v>7</v>
      </c>
      <c r="B8" s="9">
        <f>SUM(B4:B7)</f>
        <v>1956531.28</v>
      </c>
      <c r="C8" s="9">
        <f>SUM(C4:C7)</f>
        <v>1759797.18</v>
      </c>
      <c r="D8" s="6">
        <f t="shared" si="0"/>
        <v>-0.10055249410579326</v>
      </c>
      <c r="E8" s="9">
        <f>SUM(E4:E7)</f>
        <v>1874223.3199999998</v>
      </c>
      <c r="F8" s="6">
        <f t="shared" si="1"/>
        <v>6.5022345359139644E-2</v>
      </c>
      <c r="G8" s="9">
        <f>SUM(G4:G7)</f>
        <v>2112745.83</v>
      </c>
      <c r="H8" s="6">
        <f t="shared" si="2"/>
        <v>0.12726472211433171</v>
      </c>
      <c r="I8" s="9">
        <f>SUM(I4:I7)</f>
        <v>2196256.7100000004</v>
      </c>
      <c r="J8" s="6">
        <f t="shared" si="3"/>
        <v>3.9527177767521682E-2</v>
      </c>
      <c r="K8" s="9">
        <f>SUM(K4:K7)</f>
        <v>1813664.19</v>
      </c>
      <c r="L8" s="6">
        <f t="shared" si="4"/>
        <v>-0.174202094981875</v>
      </c>
      <c r="M8" s="9">
        <f>SUM(M4:M7)</f>
        <v>1840871.1199999999</v>
      </c>
      <c r="N8" s="6">
        <f t="shared" si="5"/>
        <v>1.5001084627468853E-2</v>
      </c>
      <c r="O8" s="9">
        <f>SUM(O4:O7)</f>
        <v>1713090.64</v>
      </c>
      <c r="P8" s="6">
        <f t="shared" si="6"/>
        <v>-6.9413050491008876E-2</v>
      </c>
      <c r="Q8" s="9">
        <f>SUM(Q4:Q7)</f>
        <v>1799492.6199999999</v>
      </c>
      <c r="R8" s="6">
        <f t="shared" si="7"/>
        <v>5.043631550050387E-2</v>
      </c>
      <c r="S8" s="9">
        <f>SUM(S4:S7)</f>
        <v>1905558.2399999998</v>
      </c>
      <c r="T8" s="6">
        <f t="shared" si="8"/>
        <v>5.894195887282927E-2</v>
      </c>
      <c r="U8" s="9">
        <f>SUM(U4:U7)</f>
        <v>1504525.9000000001</v>
      </c>
      <c r="V8" s="6">
        <f t="shared" si="9"/>
        <v>-0.21045399273653254</v>
      </c>
      <c r="W8" s="9">
        <f>SUM(W4:W7)</f>
        <v>1430554.4200000002</v>
      </c>
      <c r="X8" s="6">
        <f t="shared" si="10"/>
        <v>-4.9165973148086017E-2</v>
      </c>
      <c r="Y8" s="22">
        <f t="shared" si="11"/>
        <v>21907311.449999999</v>
      </c>
      <c r="Z8" s="8">
        <f t="shared" si="12"/>
        <v>1</v>
      </c>
    </row>
    <row r="9" spans="1:26" ht="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" customHeight="1" x14ac:dyDescent="0.25">
      <c r="A10" s="3" t="s">
        <v>4</v>
      </c>
      <c r="B10" s="4">
        <v>43466</v>
      </c>
      <c r="C10" s="4">
        <v>43497</v>
      </c>
      <c r="D10" s="4" t="s">
        <v>9</v>
      </c>
      <c r="E10" s="4">
        <v>43525</v>
      </c>
      <c r="F10" s="4" t="s">
        <v>9</v>
      </c>
      <c r="G10" s="4">
        <v>43556</v>
      </c>
      <c r="H10" s="4" t="s">
        <v>9</v>
      </c>
      <c r="I10" s="4">
        <v>43586</v>
      </c>
      <c r="J10" s="4" t="s">
        <v>9</v>
      </c>
      <c r="K10" s="4">
        <v>43617</v>
      </c>
      <c r="L10" s="4" t="s">
        <v>9</v>
      </c>
      <c r="M10" s="4">
        <v>43647</v>
      </c>
      <c r="N10" s="4" t="s">
        <v>9</v>
      </c>
      <c r="O10" s="4">
        <v>43678</v>
      </c>
      <c r="P10" s="4" t="s">
        <v>9</v>
      </c>
      <c r="Q10" s="4">
        <v>43709</v>
      </c>
      <c r="R10" s="4" t="s">
        <v>9</v>
      </c>
      <c r="S10" s="4">
        <v>43739</v>
      </c>
      <c r="T10" s="4" t="s">
        <v>9</v>
      </c>
      <c r="U10" s="4">
        <v>43770</v>
      </c>
      <c r="V10" s="4" t="s">
        <v>9</v>
      </c>
      <c r="W10" s="4">
        <v>43800</v>
      </c>
      <c r="X10" s="4" t="s">
        <v>9</v>
      </c>
      <c r="Y10" s="4" t="s">
        <v>23</v>
      </c>
      <c r="Z10" s="3" t="s">
        <v>11</v>
      </c>
    </row>
    <row r="11" spans="1:26" ht="25" customHeight="1" x14ac:dyDescent="0.25">
      <c r="A11" s="3" t="s">
        <v>0</v>
      </c>
      <c r="B11" s="5">
        <v>12576686</v>
      </c>
      <c r="C11" s="5">
        <v>13725147</v>
      </c>
      <c r="D11" s="6">
        <f>C11/B11-1</f>
        <v>9.1316663229089157E-2</v>
      </c>
      <c r="E11" s="5">
        <v>11872456</v>
      </c>
      <c r="F11" s="6">
        <f>E11/C11-1</f>
        <v>-0.13498514806435225</v>
      </c>
      <c r="G11" s="5">
        <v>12950232</v>
      </c>
      <c r="H11" s="6">
        <f>G11/E11-1</f>
        <v>9.0779532053014034E-2</v>
      </c>
      <c r="I11" s="5">
        <v>12960895</v>
      </c>
      <c r="J11" s="6">
        <f>I11/G11-1</f>
        <v>8.2338293244466065E-4</v>
      </c>
      <c r="K11" s="5">
        <v>11551996</v>
      </c>
      <c r="L11" s="6">
        <f>K11/I11-1</f>
        <v>-0.10870383565332487</v>
      </c>
      <c r="M11" s="5">
        <v>12721801</v>
      </c>
      <c r="N11" s="6">
        <f>M11/K11-1</f>
        <v>0.10126431830481941</v>
      </c>
      <c r="O11" s="5">
        <v>12681442</v>
      </c>
      <c r="P11" s="6">
        <f>O11/M11-1</f>
        <v>-3.1724281805697307E-3</v>
      </c>
      <c r="Q11" s="5">
        <v>12941379</v>
      </c>
      <c r="R11" s="6">
        <f>Q11/O11-1</f>
        <v>2.049743238978663E-2</v>
      </c>
      <c r="S11" s="5">
        <v>13171140</v>
      </c>
      <c r="T11" s="6">
        <f>S11/Q11-1</f>
        <v>1.7753981241102723E-2</v>
      </c>
      <c r="U11" s="5">
        <v>11493573</v>
      </c>
      <c r="V11" s="6">
        <f>U11/S11-1</f>
        <v>-0.12736687940451619</v>
      </c>
      <c r="W11" s="5">
        <v>10842233</v>
      </c>
      <c r="X11" s="6">
        <f>W11/U11-1</f>
        <v>-5.6669931969806076E-2</v>
      </c>
      <c r="Y11" s="16">
        <f>B11+C11+E11+G11+I11+K11+M11+O11+Q11+S11+U11+W11</f>
        <v>149488980</v>
      </c>
      <c r="Z11" s="8">
        <f>Y11/$Y$15</f>
        <v>0.46575044309122093</v>
      </c>
    </row>
    <row r="12" spans="1:26" ht="25" customHeight="1" x14ac:dyDescent="0.35">
      <c r="A12" s="3" t="s">
        <v>2</v>
      </c>
      <c r="B12" s="5">
        <v>14206016.199999999</v>
      </c>
      <c r="C12" s="5">
        <v>10807453</v>
      </c>
      <c r="D12" s="6">
        <f t="shared" ref="D12:D15" si="13">C12/B12-1</f>
        <v>-0.23923407886864156</v>
      </c>
      <c r="E12" s="5">
        <v>12315780.9</v>
      </c>
      <c r="F12" s="6">
        <f t="shared" ref="F12:F15" si="14">E12/C12-1</f>
        <v>0.13956367887975096</v>
      </c>
      <c r="G12" s="5">
        <v>12918204.880000001</v>
      </c>
      <c r="H12" s="6">
        <f t="shared" ref="H12:H15" si="15">G12/E12-1</f>
        <v>4.8914801659065033E-2</v>
      </c>
      <c r="I12" s="5">
        <v>14411311.390000001</v>
      </c>
      <c r="J12" s="6">
        <f t="shared" ref="J12:J15" si="16">I12/G12-1</f>
        <v>0.11558157839032512</v>
      </c>
      <c r="K12" s="5">
        <v>11925434.119999999</v>
      </c>
      <c r="L12" s="6">
        <f t="shared" ref="L12:L15" si="17">K12/I12-1</f>
        <v>-0.17249486897666721</v>
      </c>
      <c r="M12" s="5">
        <v>11024951.109999999</v>
      </c>
      <c r="N12" s="6">
        <f t="shared" ref="N12:N15" si="18">M12/K12-1</f>
        <v>-7.5509453235736768E-2</v>
      </c>
      <c r="O12" s="5">
        <v>11409458.140000001</v>
      </c>
      <c r="P12" s="6">
        <f t="shared" ref="P12:P15" si="19">O12/M12-1</f>
        <v>3.4876075745246649E-2</v>
      </c>
      <c r="Q12" s="5">
        <v>12062474.720000001</v>
      </c>
      <c r="R12" s="6">
        <f t="shared" ref="R12:R15" si="20">Q12/O12-1</f>
        <v>5.7234670743092853E-2</v>
      </c>
      <c r="S12" s="5">
        <v>14482077.880000001</v>
      </c>
      <c r="T12" s="6">
        <f t="shared" ref="T12:T15" si="21">S12/Q12-1</f>
        <v>0.20058928339043192</v>
      </c>
      <c r="U12" s="5">
        <v>10237111.550000001</v>
      </c>
      <c r="V12" s="6">
        <f t="shared" ref="V12:V15" si="22">U12/S12-1</f>
        <v>-0.29311859563069831</v>
      </c>
      <c r="W12" s="5">
        <v>10152010.32</v>
      </c>
      <c r="X12" s="6">
        <f t="shared" ref="X12:X15" si="23">W12/U12-1</f>
        <v>-8.3130118866391323E-3</v>
      </c>
      <c r="Y12" s="16">
        <f t="shared" ref="Y12:Y14" si="24">B12+C12+E12+G12+I12+K12+M12+O12+Q12+S12+U12+W12</f>
        <v>145952284.21000001</v>
      </c>
      <c r="Z12" s="8">
        <f t="shared" ref="Z12:Z15" si="25">Y12/$Y$15</f>
        <v>0.4547314527196808</v>
      </c>
    </row>
    <row r="13" spans="1:26" ht="25" customHeight="1" x14ac:dyDescent="0.35">
      <c r="A13" s="3" t="s">
        <v>1</v>
      </c>
      <c r="B13" s="5">
        <v>2567431</v>
      </c>
      <c r="C13" s="5">
        <v>1349453</v>
      </c>
      <c r="D13" s="6">
        <f t="shared" si="13"/>
        <v>-0.47439561180027823</v>
      </c>
      <c r="E13" s="5">
        <v>1961503</v>
      </c>
      <c r="F13" s="6">
        <f t="shared" si="14"/>
        <v>0.45355414379011338</v>
      </c>
      <c r="G13" s="5">
        <v>2535420</v>
      </c>
      <c r="H13" s="6">
        <f t="shared" si="15"/>
        <v>0.29259042683085368</v>
      </c>
      <c r="I13" s="5">
        <v>2088518</v>
      </c>
      <c r="J13" s="6">
        <f t="shared" si="16"/>
        <v>-0.17626349874971403</v>
      </c>
      <c r="K13" s="5">
        <v>1516262</v>
      </c>
      <c r="L13" s="6">
        <f t="shared" si="17"/>
        <v>-0.27400099017580892</v>
      </c>
      <c r="M13" s="5">
        <v>2461926</v>
      </c>
      <c r="N13" s="6">
        <f t="shared" si="18"/>
        <v>0.62368113162500949</v>
      </c>
      <c r="O13" s="5">
        <v>2293540</v>
      </c>
      <c r="P13" s="6">
        <f t="shared" si="19"/>
        <v>-6.8396044397760147E-2</v>
      </c>
      <c r="Q13" s="5">
        <v>1964504</v>
      </c>
      <c r="R13" s="6">
        <f t="shared" si="20"/>
        <v>-0.14346207173190784</v>
      </c>
      <c r="S13" s="5">
        <v>1945240</v>
      </c>
      <c r="T13" s="6">
        <f t="shared" si="21"/>
        <v>-9.8060375545175882E-3</v>
      </c>
      <c r="U13" s="5">
        <v>1751095</v>
      </c>
      <c r="V13" s="6">
        <f t="shared" si="22"/>
        <v>-9.9805165429458609E-2</v>
      </c>
      <c r="W13" s="5">
        <v>1255881</v>
      </c>
      <c r="X13" s="6">
        <f t="shared" si="23"/>
        <v>-0.28280247502277145</v>
      </c>
      <c r="Y13" s="16">
        <f t="shared" si="24"/>
        <v>23690773</v>
      </c>
      <c r="Z13" s="8">
        <f t="shared" si="25"/>
        <v>7.3811380758123671E-2</v>
      </c>
    </row>
    <row r="14" spans="1:26" ht="25" customHeight="1" x14ac:dyDescent="0.35">
      <c r="A14" s="3" t="s">
        <v>3</v>
      </c>
      <c r="B14" s="5">
        <v>221155</v>
      </c>
      <c r="C14" s="5">
        <v>181463</v>
      </c>
      <c r="D14" s="6">
        <f t="shared" si="13"/>
        <v>-0.17947593316904431</v>
      </c>
      <c r="E14" s="5">
        <v>152590</v>
      </c>
      <c r="F14" s="6">
        <f t="shared" si="14"/>
        <v>-0.15911232592870173</v>
      </c>
      <c r="G14" s="5">
        <v>152871</v>
      </c>
      <c r="H14" s="6">
        <f t="shared" si="15"/>
        <v>1.8415361426042942E-3</v>
      </c>
      <c r="I14" s="5">
        <v>42704</v>
      </c>
      <c r="J14" s="6">
        <f t="shared" si="16"/>
        <v>-0.72065336133079527</v>
      </c>
      <c r="K14" s="5">
        <v>158861</v>
      </c>
      <c r="L14" s="6">
        <f t="shared" si="17"/>
        <v>2.7200496440614463</v>
      </c>
      <c r="M14" s="5">
        <v>162081</v>
      </c>
      <c r="N14" s="6">
        <f t="shared" si="18"/>
        <v>2.0269292022585761E-2</v>
      </c>
      <c r="O14" s="5">
        <v>128926</v>
      </c>
      <c r="P14" s="6">
        <f t="shared" si="19"/>
        <v>-0.20455821471980062</v>
      </c>
      <c r="Q14" s="5">
        <v>118430</v>
      </c>
      <c r="R14" s="6">
        <f t="shared" si="20"/>
        <v>-8.1411041993081357E-2</v>
      </c>
      <c r="S14" s="5">
        <v>165427</v>
      </c>
      <c r="T14" s="6">
        <f t="shared" si="21"/>
        <v>0.39683357257451668</v>
      </c>
      <c r="U14" s="5">
        <v>197059</v>
      </c>
      <c r="V14" s="6">
        <f t="shared" si="22"/>
        <v>0.19121425160342631</v>
      </c>
      <c r="W14" s="5">
        <v>150084</v>
      </c>
      <c r="X14" s="6">
        <f t="shared" si="23"/>
        <v>-0.23838038353995505</v>
      </c>
      <c r="Y14" s="16">
        <f t="shared" si="24"/>
        <v>1831651</v>
      </c>
      <c r="Z14" s="8">
        <f t="shared" si="25"/>
        <v>5.7067234309744969E-3</v>
      </c>
    </row>
    <row r="15" spans="1:26" ht="25" customHeight="1" x14ac:dyDescent="0.35">
      <c r="A15" s="3" t="s">
        <v>7</v>
      </c>
      <c r="B15" s="9">
        <f>SUM(B11:B14)</f>
        <v>29571288.199999999</v>
      </c>
      <c r="C15" s="9">
        <f>SUM(C11:C14)</f>
        <v>26063516</v>
      </c>
      <c r="D15" s="6">
        <f t="shared" si="13"/>
        <v>-0.11862087901872331</v>
      </c>
      <c r="E15" s="9">
        <f>SUM(E11:E14)</f>
        <v>26302329.899999999</v>
      </c>
      <c r="F15" s="6">
        <f t="shared" si="14"/>
        <v>9.1627660673256894E-3</v>
      </c>
      <c r="G15" s="9">
        <f>SUM(G11:G14)</f>
        <v>28556727.880000003</v>
      </c>
      <c r="H15" s="6">
        <f t="shared" si="15"/>
        <v>8.5710961293965271E-2</v>
      </c>
      <c r="I15" s="9">
        <f>SUM(I11:I14)</f>
        <v>29503428.390000001</v>
      </c>
      <c r="J15" s="6">
        <f t="shared" si="16"/>
        <v>3.3151575137676303E-2</v>
      </c>
      <c r="K15" s="9">
        <f>SUM(K11:K14)</f>
        <v>25152553.119999997</v>
      </c>
      <c r="L15" s="6">
        <f t="shared" si="17"/>
        <v>-0.14747015880617809</v>
      </c>
      <c r="M15" s="9">
        <f>SUM(M11:M14)</f>
        <v>26370759.109999999</v>
      </c>
      <c r="N15" s="6">
        <f t="shared" si="18"/>
        <v>4.8432697237059008E-2</v>
      </c>
      <c r="O15" s="9">
        <f>SUM(O11:O14)</f>
        <v>26513366.140000001</v>
      </c>
      <c r="P15" s="6">
        <f t="shared" si="19"/>
        <v>5.4077711379163507E-3</v>
      </c>
      <c r="Q15" s="9">
        <f>SUM(Q11:Q14)</f>
        <v>27086787.719999999</v>
      </c>
      <c r="R15" s="6">
        <f t="shared" si="20"/>
        <v>2.1627641581688506E-2</v>
      </c>
      <c r="S15" s="9">
        <f>SUM(S11:S14)</f>
        <v>29763884.880000003</v>
      </c>
      <c r="T15" s="6">
        <f t="shared" si="21"/>
        <v>9.8834058422635485E-2</v>
      </c>
      <c r="U15" s="9">
        <f>SUM(U11:U14)</f>
        <v>23678838.550000001</v>
      </c>
      <c r="V15" s="6">
        <f t="shared" si="22"/>
        <v>-0.20444395462935283</v>
      </c>
      <c r="W15" s="9">
        <f>SUM(W11:W14)</f>
        <v>22400208.32</v>
      </c>
      <c r="X15" s="6">
        <f t="shared" si="23"/>
        <v>-5.3998857557986057E-2</v>
      </c>
      <c r="Y15" s="16">
        <f t="shared" ref="Y15" si="26">B15+C15+E15+G15+I15+K15+M15+O15+Q15+S15+U15+W15</f>
        <v>320963688.21000004</v>
      </c>
      <c r="Z15" s="8">
        <f t="shared" si="25"/>
        <v>1</v>
      </c>
    </row>
    <row r="16" spans="1:26" ht="25" customHeight="1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spans="1:26" ht="25" customHeight="1" x14ac:dyDescent="0.3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spans="1:26" ht="25" customHeight="1" x14ac:dyDescent="0.35">
      <c r="A18" s="3" t="s">
        <v>6</v>
      </c>
      <c r="B18" s="4">
        <v>43466</v>
      </c>
      <c r="C18" s="4">
        <v>43497</v>
      </c>
      <c r="D18" s="4" t="s">
        <v>9</v>
      </c>
      <c r="E18" s="4">
        <v>43525</v>
      </c>
      <c r="F18" s="4" t="s">
        <v>9</v>
      </c>
      <c r="G18" s="4">
        <v>43556</v>
      </c>
      <c r="H18" s="4" t="s">
        <v>9</v>
      </c>
      <c r="I18" s="4">
        <v>43586</v>
      </c>
      <c r="J18" s="4" t="s">
        <v>9</v>
      </c>
      <c r="K18" s="4">
        <v>43617</v>
      </c>
      <c r="L18" s="4" t="s">
        <v>9</v>
      </c>
      <c r="M18" s="4">
        <v>43647</v>
      </c>
      <c r="N18" s="4" t="s">
        <v>9</v>
      </c>
      <c r="O18" s="4">
        <v>43678</v>
      </c>
      <c r="P18" s="4" t="s">
        <v>9</v>
      </c>
      <c r="Q18" s="4">
        <v>43709</v>
      </c>
      <c r="R18" s="4" t="s">
        <v>9</v>
      </c>
      <c r="S18" s="4">
        <v>43739</v>
      </c>
      <c r="T18" s="4" t="s">
        <v>9</v>
      </c>
      <c r="U18" s="4">
        <v>43770</v>
      </c>
      <c r="V18" s="4" t="s">
        <v>9</v>
      </c>
      <c r="W18" s="4">
        <v>43800</v>
      </c>
      <c r="X18" s="4" t="s">
        <v>9</v>
      </c>
      <c r="Y18" s="3" t="s">
        <v>24</v>
      </c>
      <c r="Z18" s="12"/>
    </row>
    <row r="19" spans="1:26" ht="25" customHeight="1" x14ac:dyDescent="0.35">
      <c r="A19" s="3" t="s">
        <v>0</v>
      </c>
      <c r="B19" s="13">
        <f>B4/B11*100</f>
        <v>7.2282866885600869</v>
      </c>
      <c r="C19" s="13">
        <f>C4/C11*100</f>
        <v>7.0965018443882606</v>
      </c>
      <c r="D19" s="6">
        <f>C19/B19-1</f>
        <v>-1.8231823093070809E-2</v>
      </c>
      <c r="E19" s="13">
        <f>E4/E11*100</f>
        <v>7.5164280246648199</v>
      </c>
      <c r="F19" s="6">
        <f>E19/C19-1</f>
        <v>5.9173687189079782E-2</v>
      </c>
      <c r="G19" s="13">
        <f>G4/G11*100</f>
        <v>8.0101002823733189</v>
      </c>
      <c r="H19" s="6">
        <f>G19/E19-1</f>
        <v>6.5679103969137342E-2</v>
      </c>
      <c r="I19" s="13">
        <f>I4/I11*100</f>
        <v>8.0603556313047839</v>
      </c>
      <c r="J19" s="6">
        <f>I19/G19-1</f>
        <v>6.2739974731720327E-3</v>
      </c>
      <c r="K19" s="13">
        <f>K4/K11*100</f>
        <v>7.6981114778779363</v>
      </c>
      <c r="L19" s="6">
        <f>K19/I19-1</f>
        <v>-4.4941460401568989E-2</v>
      </c>
      <c r="M19" s="13">
        <f>M4/M11*100</f>
        <v>7.3856339208575896</v>
      </c>
      <c r="N19" s="6">
        <f>M19/K19-1</f>
        <v>-4.0591456478425103E-2</v>
      </c>
      <c r="O19" s="13">
        <f>O4/O11*100</f>
        <v>6.6691191743021019</v>
      </c>
      <c r="P19" s="6">
        <f>O19/M19-1</f>
        <v>-9.7014657676438021E-2</v>
      </c>
      <c r="Q19" s="13">
        <f>Q4/Q11*100</f>
        <v>7.050222236749268</v>
      </c>
      <c r="R19" s="6">
        <f>Q19/O19-1</f>
        <v>5.7144437291757777E-2</v>
      </c>
      <c r="S19" s="13">
        <f>S4/S11*100</f>
        <v>6.8386579293819665</v>
      </c>
      <c r="T19" s="14">
        <f>S19/Q19-1</f>
        <v>-3.0008175666367376E-2</v>
      </c>
      <c r="U19" s="13">
        <f>U4/U11*100</f>
        <v>6.7307211604259178</v>
      </c>
      <c r="V19" s="14">
        <f>U19/S19-1</f>
        <v>-1.5783326212633564E-2</v>
      </c>
      <c r="W19" s="13">
        <f>W4/W11*100</f>
        <v>6.6243431588308423</v>
      </c>
      <c r="X19" s="6">
        <f>W19/U19-1</f>
        <v>-1.5804844541850493E-2</v>
      </c>
      <c r="Y19" s="15">
        <f>(B19+C19+E19+G19+I19+K19+M19+O19)/8</f>
        <v>7.4580671305411128</v>
      </c>
      <c r="Z19" s="12"/>
    </row>
    <row r="20" spans="1:26" ht="25" customHeight="1" x14ac:dyDescent="0.35">
      <c r="A20" s="3" t="s">
        <v>2</v>
      </c>
      <c r="B20" s="13">
        <f t="shared" ref="B20:C23" si="27">B5/B12*100</f>
        <v>6.2376124842093308</v>
      </c>
      <c r="C20" s="13">
        <f t="shared" si="27"/>
        <v>6.384892259073438</v>
      </c>
      <c r="D20" s="6">
        <f t="shared" ref="D20:D23" si="28">C20/B20-1</f>
        <v>2.3611562154101318E-2</v>
      </c>
      <c r="E20" s="13">
        <f t="shared" ref="E20:E23" si="29">E5/E12*100</f>
        <v>6.8052217460283</v>
      </c>
      <c r="F20" s="6">
        <f t="shared" ref="F20:F23" si="30">E20/C20-1</f>
        <v>6.5831884063124235E-2</v>
      </c>
      <c r="G20" s="13">
        <f t="shared" ref="G20:G23" si="31">G5/G12*100</f>
        <v>6.8354587050023614</v>
      </c>
      <c r="H20" s="6">
        <f t="shared" ref="H20:H23" si="32">G20/E20-1</f>
        <v>4.4431996638034654E-3</v>
      </c>
      <c r="I20" s="13">
        <f t="shared" ref="I20:I23" si="33">I5/I12*100</f>
        <v>6.9203593136710371</v>
      </c>
      <c r="J20" s="6">
        <f t="shared" ref="J20:J23" si="34">I20/G20-1</f>
        <v>1.242061613312706E-2</v>
      </c>
      <c r="K20" s="13">
        <f t="shared" ref="K20:K23" si="35">K5/K12*100</f>
        <v>6.8499559159025409</v>
      </c>
      <c r="L20" s="6">
        <f t="shared" ref="L20:L23" si="36">K20/I20-1</f>
        <v>-1.0173373170005107E-2</v>
      </c>
      <c r="M20" s="13">
        <f t="shared" ref="M20:M23" si="37">M5/M12*100</f>
        <v>6.8051074559368274</v>
      </c>
      <c r="N20" s="6">
        <f t="shared" ref="N20:N23" si="38">M20/K20-1</f>
        <v>-6.5472625687408303E-3</v>
      </c>
      <c r="O20" s="13">
        <f t="shared" ref="O20:O23" si="39">O5/O12*100</f>
        <v>6.3046027354985323</v>
      </c>
      <c r="P20" s="6">
        <f t="shared" ref="P20:P23" si="40">O20/M20-1</f>
        <v>-7.3548393420540426E-2</v>
      </c>
      <c r="Q20" s="13">
        <f t="shared" ref="Q20:Q23" si="41">Q5/Q12*100</f>
        <v>6.3421288562916036</v>
      </c>
      <c r="R20" s="6">
        <f t="shared" ref="R20:R23" si="42">Q20/O20-1</f>
        <v>5.9521784904508213E-3</v>
      </c>
      <c r="S20" s="13">
        <f t="shared" ref="S20:S23" si="43">S5/S12*100</f>
        <v>6.2740373828178857</v>
      </c>
      <c r="T20" s="14">
        <f t="shared" ref="T20:T23" si="44">S20/Q20-1</f>
        <v>-1.0736374964404716E-2</v>
      </c>
      <c r="U20" s="13">
        <f t="shared" ref="U20:U23" si="45">U5/U12*100</f>
        <v>6.1284083594849559</v>
      </c>
      <c r="V20" s="14">
        <f t="shared" ref="V20:V23" si="46">U20/S20-1</f>
        <v>-2.3211373227030818E-2</v>
      </c>
      <c r="W20" s="13">
        <f t="shared" ref="W20:W23" si="47">W5/W12*100</f>
        <v>6.1852187912275491</v>
      </c>
      <c r="X20" s="6">
        <f t="shared" ref="X20:X23" si="48">W20/U20-1</f>
        <v>9.2700140738284365E-3</v>
      </c>
      <c r="Y20" s="15">
        <f t="shared" ref="Y20:Y23" si="49">(B20+C20+E20+G20+I20+K20+M20+O20)/8</f>
        <v>6.6429013269152959</v>
      </c>
      <c r="Z20" s="12"/>
    </row>
    <row r="21" spans="1:26" ht="25" customHeight="1" x14ac:dyDescent="0.35">
      <c r="A21" s="3" t="s">
        <v>1</v>
      </c>
      <c r="B21" s="13">
        <f t="shared" si="27"/>
        <v>6.160413269139462</v>
      </c>
      <c r="C21" s="13">
        <f t="shared" si="27"/>
        <v>6.4794149925932949</v>
      </c>
      <c r="D21" s="6">
        <f t="shared" si="28"/>
        <v>5.1782520022133793E-2</v>
      </c>
      <c r="E21" s="13">
        <f t="shared" si="29"/>
        <v>7.121891223209956</v>
      </c>
      <c r="F21" s="6">
        <f t="shared" si="30"/>
        <v>9.9156518196640286E-2</v>
      </c>
      <c r="G21" s="13">
        <f t="shared" si="31"/>
        <v>7.5028740800340774</v>
      </c>
      <c r="H21" s="6">
        <f t="shared" si="32"/>
        <v>5.3494618898771273E-2</v>
      </c>
      <c r="I21" s="13">
        <f t="shared" si="33"/>
        <v>7.3553103205239321</v>
      </c>
      <c r="J21" s="6">
        <f t="shared" si="34"/>
        <v>-1.9667631088575499E-2</v>
      </c>
      <c r="K21" s="13">
        <f t="shared" si="35"/>
        <v>6.9437544434932743</v>
      </c>
      <c r="L21" s="6">
        <f t="shared" si="36"/>
        <v>-5.5953570834702981E-2</v>
      </c>
      <c r="M21" s="13">
        <f t="shared" si="37"/>
        <v>6.0456004770248981</v>
      </c>
      <c r="N21" s="6">
        <f t="shared" si="38"/>
        <v>-0.12934702310937873</v>
      </c>
      <c r="O21" s="13">
        <f t="shared" si="39"/>
        <v>6.3781307498452176</v>
      </c>
      <c r="P21" s="6">
        <f t="shared" si="40"/>
        <v>5.500367979724019E-2</v>
      </c>
      <c r="Q21" s="13">
        <f>Q6/Q13*100</f>
        <v>6.1264940157922814</v>
      </c>
      <c r="R21" s="6">
        <f t="shared" si="42"/>
        <v>-3.9453053554764916E-2</v>
      </c>
      <c r="S21" s="13">
        <f t="shared" si="43"/>
        <v>4.8354917645123479</v>
      </c>
      <c r="T21" s="14">
        <f t="shared" si="44"/>
        <v>-0.21072447764612412</v>
      </c>
      <c r="U21" s="13">
        <f t="shared" si="45"/>
        <v>5.7640796187528371</v>
      </c>
      <c r="V21" s="14">
        <f t="shared" si="46"/>
        <v>0.19203586718012655</v>
      </c>
      <c r="W21" s="13">
        <f t="shared" si="47"/>
        <v>6.5578920295792358</v>
      </c>
      <c r="X21" s="6">
        <f t="shared" si="48"/>
        <v>0.13771711415016052</v>
      </c>
      <c r="Y21" s="15">
        <f t="shared" si="49"/>
        <v>6.7484236944830149</v>
      </c>
      <c r="Z21" s="12"/>
    </row>
    <row r="22" spans="1:26" ht="25" customHeight="1" x14ac:dyDescent="0.35">
      <c r="A22" s="3" t="s">
        <v>3</v>
      </c>
      <c r="B22" s="13">
        <f t="shared" si="27"/>
        <v>1.4341796477583597</v>
      </c>
      <c r="C22" s="13">
        <f t="shared" si="27"/>
        <v>4.5799860026561889</v>
      </c>
      <c r="D22" s="6">
        <f t="shared" si="28"/>
        <v>2.1934534908613177</v>
      </c>
      <c r="E22" s="13">
        <f t="shared" si="29"/>
        <v>2.6387050265417131</v>
      </c>
      <c r="F22" s="6">
        <f t="shared" si="30"/>
        <v>-0.4238617705356782</v>
      </c>
      <c r="G22" s="13">
        <f t="shared" si="31"/>
        <v>1.4203674993949147</v>
      </c>
      <c r="H22" s="6">
        <f t="shared" si="32"/>
        <v>-0.46171796956916844</v>
      </c>
      <c r="I22" s="13">
        <f t="shared" si="33"/>
        <v>1.4775430872986137</v>
      </c>
      <c r="J22" s="6">
        <f t="shared" si="34"/>
        <v>4.0254080671415116E-2</v>
      </c>
      <c r="K22" s="13">
        <f t="shared" si="35"/>
        <v>1.3887423596729216</v>
      </c>
      <c r="L22" s="6">
        <f t="shared" si="36"/>
        <v>-6.0100262651592851E-2</v>
      </c>
      <c r="M22" s="13">
        <f t="shared" si="37"/>
        <v>1.3496276553081483</v>
      </c>
      <c r="N22" s="6">
        <f t="shared" si="38"/>
        <v>-2.8165558638238442E-2</v>
      </c>
      <c r="O22" s="13">
        <f t="shared" si="39"/>
        <v>1.3528458185315608</v>
      </c>
      <c r="P22" s="6">
        <f t="shared" si="40"/>
        <v>2.3844822760969997E-3</v>
      </c>
      <c r="Q22" s="13">
        <f t="shared" si="41"/>
        <v>1.4554842523009373</v>
      </c>
      <c r="R22" s="6">
        <f t="shared" si="42"/>
        <v>7.5868537540209058E-2</v>
      </c>
      <c r="S22" s="13">
        <f t="shared" si="43"/>
        <v>1.3033724845400088</v>
      </c>
      <c r="T22" s="14">
        <f t="shared" si="44"/>
        <v>-0.10450938752546379</v>
      </c>
      <c r="U22" s="13">
        <f t="shared" si="45"/>
        <v>1.3290638844204019</v>
      </c>
      <c r="V22" s="14">
        <f t="shared" si="46"/>
        <v>1.9711479400656762E-2</v>
      </c>
      <c r="W22" s="13">
        <f t="shared" si="47"/>
        <v>1.3621238772953812</v>
      </c>
      <c r="X22" s="6">
        <f t="shared" si="48"/>
        <v>2.4874645427143349E-2</v>
      </c>
      <c r="Y22" s="15">
        <f t="shared" si="49"/>
        <v>1.9552496371453028</v>
      </c>
      <c r="Z22" s="12"/>
    </row>
    <row r="23" spans="1:26" ht="25" customHeight="1" x14ac:dyDescent="0.35">
      <c r="A23" s="3" t="s">
        <v>8</v>
      </c>
      <c r="B23" s="13">
        <f t="shared" si="27"/>
        <v>6.6163207594047257</v>
      </c>
      <c r="C23" s="13">
        <f t="shared" si="27"/>
        <v>6.7519561827345171</v>
      </c>
      <c r="D23" s="6">
        <f t="shared" si="28"/>
        <v>2.0500128131937023E-2</v>
      </c>
      <c r="E23" s="13">
        <f t="shared" si="29"/>
        <v>7.1256931500961826</v>
      </c>
      <c r="F23" s="6">
        <f t="shared" si="30"/>
        <v>5.535239821569804E-2</v>
      </c>
      <c r="G23" s="13">
        <f t="shared" si="31"/>
        <v>7.3984170696240135</v>
      </c>
      <c r="H23" s="6">
        <f t="shared" si="32"/>
        <v>3.8273317947202123E-2</v>
      </c>
      <c r="I23" s="13">
        <f t="shared" si="33"/>
        <v>7.444072875084605</v>
      </c>
      <c r="J23" s="6">
        <f t="shared" si="34"/>
        <v>6.1710234812311082E-3</v>
      </c>
      <c r="K23" s="13">
        <f t="shared" si="35"/>
        <v>7.2106564345464754</v>
      </c>
      <c r="L23" s="14">
        <f t="shared" si="36"/>
        <v>-3.1356012287222068E-2</v>
      </c>
      <c r="M23" s="13">
        <f t="shared" si="37"/>
        <v>6.9807285877558494</v>
      </c>
      <c r="N23" s="14">
        <f t="shared" si="38"/>
        <v>-3.1887228143201329E-2</v>
      </c>
      <c r="O23" s="13">
        <f t="shared" si="39"/>
        <v>6.4612340468361218</v>
      </c>
      <c r="P23" s="14">
        <f t="shared" si="40"/>
        <v>-7.441838403958545E-2</v>
      </c>
      <c r="Q23" s="13">
        <f t="shared" si="41"/>
        <v>6.6434330958754231</v>
      </c>
      <c r="R23" s="14">
        <f t="shared" si="42"/>
        <v>2.819880037135003E-2</v>
      </c>
      <c r="S23" s="13">
        <f t="shared" si="43"/>
        <v>6.4022497321256919</v>
      </c>
      <c r="T23" s="14">
        <f t="shared" si="44"/>
        <v>-3.6304025384024663E-2</v>
      </c>
      <c r="U23" s="13">
        <f t="shared" si="45"/>
        <v>6.3538838563515609</v>
      </c>
      <c r="V23" s="14">
        <f t="shared" si="46"/>
        <v>-7.5545125225960907E-3</v>
      </c>
      <c r="W23" s="13">
        <f t="shared" si="47"/>
        <v>6.3863442677125972</v>
      </c>
      <c r="X23" s="6">
        <f t="shared" si="48"/>
        <v>5.1087511347234216E-3</v>
      </c>
      <c r="Y23" s="15">
        <f t="shared" si="49"/>
        <v>6.9986348882603124</v>
      </c>
      <c r="Z23" s="12"/>
    </row>
    <row r="24" spans="1:26" ht="25" customHeight="1" x14ac:dyDescent="0.35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26" ht="25" customHeight="1" x14ac:dyDescent="0.35">
      <c r="A25" s="18" t="s">
        <v>25</v>
      </c>
      <c r="B25" s="18"/>
      <c r="C25" s="18"/>
      <c r="D25" s="18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"/>
    </row>
    <row r="26" spans="1:26" ht="25" customHeight="1" x14ac:dyDescent="0.35">
      <c r="A26" s="56" t="s">
        <v>28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</row>
    <row r="27" spans="1:26" ht="25" customHeight="1" x14ac:dyDescent="0.35">
      <c r="A27" s="56" t="s">
        <v>26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</row>
    <row r="28" spans="1:26" ht="25" customHeight="1" x14ac:dyDescent="0.35">
      <c r="A28" s="56" t="s">
        <v>29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18"/>
    </row>
    <row r="29" spans="1:26" ht="25" customHeight="1" x14ac:dyDescent="0.35">
      <c r="A29" s="20" t="s">
        <v>27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8"/>
      <c r="P29" s="18"/>
    </row>
  </sheetData>
  <mergeCells count="4">
    <mergeCell ref="A1:Z1"/>
    <mergeCell ref="A26:M26"/>
    <mergeCell ref="A27:P27"/>
    <mergeCell ref="A28:O28"/>
  </mergeCells>
  <pageMargins left="0.7" right="0.7" top="0.75" bottom="0.75" header="0.3" footer="0.3"/>
  <pageSetup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0"/>
  <sheetViews>
    <sheetView zoomScale="70" zoomScaleNormal="70" workbookViewId="0">
      <selection activeCell="Y14" sqref="Y14"/>
    </sheetView>
  </sheetViews>
  <sheetFormatPr defaultRowHeight="14.5" x14ac:dyDescent="0.35"/>
  <cols>
    <col min="2" max="3" width="9.7265625" customWidth="1"/>
    <col min="4" max="4" width="5.7265625" customWidth="1"/>
    <col min="5" max="5" width="9.7265625" customWidth="1"/>
    <col min="6" max="6" width="5.7265625" customWidth="1"/>
    <col min="7" max="7" width="9.7265625" customWidth="1"/>
    <col min="8" max="8" width="5.7265625" customWidth="1"/>
    <col min="9" max="9" width="9.7265625" customWidth="1"/>
    <col min="10" max="10" width="5.7265625" customWidth="1"/>
    <col min="11" max="11" width="9.7265625" customWidth="1"/>
    <col min="12" max="12" width="5.7265625" customWidth="1"/>
    <col min="13" max="13" width="9.7265625" customWidth="1"/>
    <col min="14" max="14" width="5.7265625" customWidth="1"/>
    <col min="15" max="15" width="9.7265625" customWidth="1"/>
    <col min="16" max="16" width="5.7265625" customWidth="1"/>
    <col min="17" max="17" width="9.7265625" customWidth="1"/>
    <col min="18" max="18" width="5.7265625" customWidth="1"/>
    <col min="19" max="19" width="9.7265625" customWidth="1"/>
    <col min="20" max="20" width="5.7265625" customWidth="1"/>
    <col min="21" max="21" width="9.7265625" customWidth="1"/>
    <col min="22" max="22" width="5.7265625" customWidth="1"/>
    <col min="23" max="23" width="9.7265625" customWidth="1"/>
    <col min="24" max="24" width="5.7265625" customWidth="1"/>
    <col min="25" max="25" width="9.7265625" customWidth="1"/>
    <col min="26" max="26" width="5.7265625" customWidth="1"/>
    <col min="27" max="27" width="17.54296875" bestFit="1" customWidth="1"/>
  </cols>
  <sheetData>
    <row r="1" spans="1:28" ht="20.25" x14ac:dyDescent="0.3">
      <c r="A1" s="55" t="s">
        <v>30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20.25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ht="20.149999999999999" customHeight="1" x14ac:dyDescent="0.35">
      <c r="A3" s="3" t="s">
        <v>5</v>
      </c>
      <c r="B3" s="4">
        <v>43800</v>
      </c>
      <c r="C3" s="4">
        <v>43831</v>
      </c>
      <c r="D3" s="4" t="s">
        <v>9</v>
      </c>
      <c r="E3" s="4">
        <v>43862</v>
      </c>
      <c r="F3" s="4" t="s">
        <v>9</v>
      </c>
      <c r="G3" s="4">
        <v>43891</v>
      </c>
      <c r="H3" s="4" t="s">
        <v>9</v>
      </c>
      <c r="I3" s="4">
        <v>43922</v>
      </c>
      <c r="J3" s="4" t="s">
        <v>9</v>
      </c>
      <c r="K3" s="4">
        <v>43952</v>
      </c>
      <c r="L3" s="4" t="s">
        <v>9</v>
      </c>
      <c r="M3" s="4">
        <v>43983</v>
      </c>
      <c r="N3" s="4" t="s">
        <v>9</v>
      </c>
      <c r="O3" s="4">
        <v>44013</v>
      </c>
      <c r="P3" s="4" t="s">
        <v>9</v>
      </c>
      <c r="Q3" s="4">
        <v>44044</v>
      </c>
      <c r="R3" s="4" t="s">
        <v>9</v>
      </c>
      <c r="S3" s="4">
        <v>44075</v>
      </c>
      <c r="T3" s="4" t="s">
        <v>9</v>
      </c>
      <c r="U3" s="4">
        <v>44105</v>
      </c>
      <c r="V3" s="4" t="s">
        <v>9</v>
      </c>
      <c r="W3" s="4">
        <v>44136</v>
      </c>
      <c r="X3" s="4" t="s">
        <v>9</v>
      </c>
      <c r="Y3" s="4">
        <v>44166</v>
      </c>
      <c r="Z3" s="4" t="s">
        <v>9</v>
      </c>
      <c r="AA3" s="4" t="s">
        <v>31</v>
      </c>
      <c r="AB3" s="3" t="s">
        <v>11</v>
      </c>
    </row>
    <row r="4" spans="1:28" ht="20.149999999999999" customHeight="1" x14ac:dyDescent="0.35">
      <c r="A4" s="3" t="s">
        <v>0</v>
      </c>
      <c r="B4" s="29">
        <v>718226.72</v>
      </c>
      <c r="C4" s="29">
        <v>967929.38</v>
      </c>
      <c r="D4" s="24">
        <f>C4/B4-1</f>
        <v>0.34766551152538572</v>
      </c>
      <c r="E4" s="29">
        <v>778641</v>
      </c>
      <c r="F4" s="24">
        <f>E4/C4-1</f>
        <v>-0.19556011410667173</v>
      </c>
      <c r="G4" s="29">
        <v>961092.5</v>
      </c>
      <c r="H4" s="24">
        <f>G4/E4-1</f>
        <v>0.23432043778840317</v>
      </c>
      <c r="I4" s="29">
        <v>929282.82</v>
      </c>
      <c r="J4" s="24">
        <f>I4/G4-1</f>
        <v>-3.3097417782367522E-2</v>
      </c>
      <c r="K4" s="29">
        <v>808799.81</v>
      </c>
      <c r="L4" s="24">
        <f>K4/I4-1</f>
        <v>-0.12965160595565506</v>
      </c>
      <c r="M4" s="29">
        <v>805469.01</v>
      </c>
      <c r="N4" s="24">
        <f>M4/K4-1</f>
        <v>-4.1182007696071166E-3</v>
      </c>
      <c r="O4" s="29">
        <v>1076265.83</v>
      </c>
      <c r="P4" s="24">
        <f>O4/M4-1</f>
        <v>0.33619768934375283</v>
      </c>
      <c r="Q4" s="29">
        <v>962047.94</v>
      </c>
      <c r="R4" s="24">
        <f>Q4/O4-1</f>
        <v>-0.10612423698334839</v>
      </c>
      <c r="S4" s="29">
        <v>1013046.33</v>
      </c>
      <c r="T4" s="24">
        <f>S4/Q4-1</f>
        <v>5.3010237722664888E-2</v>
      </c>
      <c r="U4" s="29">
        <v>952657.65</v>
      </c>
      <c r="V4" s="24">
        <f>U4/S4-1</f>
        <v>-5.9610975541464106E-2</v>
      </c>
      <c r="W4" s="29">
        <v>808668.46</v>
      </c>
      <c r="X4" s="24">
        <f>W4/U4-1</f>
        <v>-0.15114473704168552</v>
      </c>
      <c r="Y4" s="29">
        <v>813540.51</v>
      </c>
      <c r="Z4" s="24">
        <f>Y4/W4-1</f>
        <v>6.0247805386153264E-3</v>
      </c>
      <c r="AA4" s="42">
        <f>C4+E4+G4+I4+K4+M4+O4+Q4+S4+U4+W4+Y4</f>
        <v>10877441.24</v>
      </c>
      <c r="AB4" s="8">
        <f>AA4/$AA$8</f>
        <v>0.49829474622878028</v>
      </c>
    </row>
    <row r="5" spans="1:28" ht="20.149999999999999" customHeight="1" x14ac:dyDescent="0.35">
      <c r="A5" s="3" t="s">
        <v>2</v>
      </c>
      <c r="B5" s="29">
        <v>627924.05000000005</v>
      </c>
      <c r="C5" s="29">
        <v>863834.3</v>
      </c>
      <c r="D5" s="24">
        <f t="shared" ref="D5:D8" si="0">C5/B5-1</f>
        <v>0.37569870114068737</v>
      </c>
      <c r="E5" s="29">
        <v>789804.92</v>
      </c>
      <c r="F5" s="24">
        <f t="shared" ref="F5:F8" si="1">E5/C5-1</f>
        <v>-8.5698588259345621E-2</v>
      </c>
      <c r="G5" s="29">
        <v>771914.93</v>
      </c>
      <c r="H5" s="24">
        <f t="shared" ref="H5:H8" si="2">G5/E5-1</f>
        <v>-2.2651150362547723E-2</v>
      </c>
      <c r="I5" s="29">
        <v>622262.4</v>
      </c>
      <c r="J5" s="24">
        <f t="shared" ref="J5:J8" si="3">I5/G5-1</f>
        <v>-0.19387179102754237</v>
      </c>
      <c r="K5" s="29">
        <v>503374.47</v>
      </c>
      <c r="L5" s="24">
        <f t="shared" ref="L5:L8" si="4">K5/I5-1</f>
        <v>-0.19105755064101582</v>
      </c>
      <c r="M5" s="29">
        <v>614234.96</v>
      </c>
      <c r="N5" s="24">
        <f t="shared" ref="N5:N8" si="5">M5/K5-1</f>
        <v>0.22023462969824426</v>
      </c>
      <c r="O5" s="29">
        <v>828983.31</v>
      </c>
      <c r="P5" s="24">
        <f t="shared" ref="P5:P8" si="6">O5/M5-1</f>
        <v>0.34961922388787525</v>
      </c>
      <c r="Q5" s="29">
        <v>906466.99</v>
      </c>
      <c r="R5" s="24">
        <f t="shared" ref="R5:R8" si="7">Q5/O5-1</f>
        <v>9.3468323264553899E-2</v>
      </c>
      <c r="S5" s="29">
        <v>966851.07</v>
      </c>
      <c r="T5" s="24">
        <f t="shared" ref="T5:T8" si="8">S5/Q5-1</f>
        <v>6.6614758911408334E-2</v>
      </c>
      <c r="U5" s="29">
        <v>997945.38</v>
      </c>
      <c r="V5" s="24">
        <f t="shared" ref="V5:V8" si="9">U5/S5-1</f>
        <v>3.216039260317527E-2</v>
      </c>
      <c r="W5" s="29">
        <v>832739.9</v>
      </c>
      <c r="X5" s="24">
        <f t="shared" ref="X5:X8" si="10">W5/U5-1</f>
        <v>-0.16554561332805606</v>
      </c>
      <c r="Y5" s="29">
        <v>745930</v>
      </c>
      <c r="Z5" s="24">
        <f t="shared" ref="Z5:Z8" si="11">Y5/W5-1</f>
        <v>-0.1042461157439436</v>
      </c>
      <c r="AA5" s="42">
        <f>C5+E5+G5+I5+K5+M5+O5+Q5+S5+U5+W5+Y5</f>
        <v>9444342.6300000008</v>
      </c>
      <c r="AB5" s="8">
        <f t="shared" ref="AB5:AB8" si="12">AA5/$AA$8</f>
        <v>0.43264460917588937</v>
      </c>
    </row>
    <row r="6" spans="1:28" ht="20.149999999999999" customHeight="1" x14ac:dyDescent="0.35">
      <c r="A6" s="3" t="s">
        <v>1</v>
      </c>
      <c r="B6" s="29">
        <v>82359.320000000007</v>
      </c>
      <c r="C6" s="29">
        <v>127619.72</v>
      </c>
      <c r="D6" s="24">
        <f t="shared" si="0"/>
        <v>0.54954800501024037</v>
      </c>
      <c r="E6" s="29">
        <v>103598.23</v>
      </c>
      <c r="F6" s="24">
        <f t="shared" si="1"/>
        <v>-0.18822710157959921</v>
      </c>
      <c r="G6" s="29">
        <v>122298.84</v>
      </c>
      <c r="H6" s="24">
        <f t="shared" si="2"/>
        <v>0.18051090255113422</v>
      </c>
      <c r="I6" s="29">
        <v>93327.08</v>
      </c>
      <c r="J6" s="24">
        <f t="shared" si="3"/>
        <v>-0.23689317085918393</v>
      </c>
      <c r="K6" s="29">
        <v>103120.16</v>
      </c>
      <c r="L6" s="24">
        <f t="shared" si="4"/>
        <v>0.10493288764632935</v>
      </c>
      <c r="M6" s="29">
        <v>114883.8</v>
      </c>
      <c r="N6" s="24">
        <f t="shared" si="5"/>
        <v>0.11407701462061337</v>
      </c>
      <c r="O6" s="29">
        <v>122218.06</v>
      </c>
      <c r="P6" s="24">
        <f t="shared" si="6"/>
        <v>6.3840680757426105E-2</v>
      </c>
      <c r="Q6" s="29">
        <v>152658.76999999999</v>
      </c>
      <c r="R6" s="24">
        <f t="shared" si="7"/>
        <v>0.24906883647146749</v>
      </c>
      <c r="S6" s="29">
        <v>135787.25</v>
      </c>
      <c r="T6" s="24">
        <f t="shared" si="8"/>
        <v>-0.11051785626204114</v>
      </c>
      <c r="U6" s="29">
        <v>134836.63</v>
      </c>
      <c r="V6" s="24">
        <f t="shared" si="9"/>
        <v>-7.0008045674391228E-3</v>
      </c>
      <c r="W6" s="29">
        <v>148984.44</v>
      </c>
      <c r="X6" s="24">
        <f t="shared" si="10"/>
        <v>0.10492556807449138</v>
      </c>
      <c r="Y6" s="29">
        <v>130372</v>
      </c>
      <c r="Z6" s="24">
        <f t="shared" si="11"/>
        <v>-0.12492875094875677</v>
      </c>
      <c r="AA6" s="42">
        <f>C6+E6+G6+I6+K6+M6+O6+Q6+S6+U6+W6+Y6</f>
        <v>1489704.98</v>
      </c>
      <c r="AB6" s="8">
        <f t="shared" si="12"/>
        <v>6.8243270506957041E-2</v>
      </c>
    </row>
    <row r="7" spans="1:28" ht="20.149999999999999" customHeight="1" x14ac:dyDescent="0.35">
      <c r="A7" s="3" t="s">
        <v>3</v>
      </c>
      <c r="B7" s="29">
        <v>2044.33</v>
      </c>
      <c r="C7" s="29">
        <v>3161.19</v>
      </c>
      <c r="D7" s="24">
        <f t="shared" si="0"/>
        <v>0.54632079947953627</v>
      </c>
      <c r="E7" s="29">
        <v>1528.4</v>
      </c>
      <c r="F7" s="24">
        <f t="shared" si="1"/>
        <v>-0.51651118724277878</v>
      </c>
      <c r="G7" s="29">
        <v>1916</v>
      </c>
      <c r="H7" s="24">
        <f t="shared" si="2"/>
        <v>0.25359853441507441</v>
      </c>
      <c r="I7" s="29">
        <v>2825.14</v>
      </c>
      <c r="J7" s="24">
        <f t="shared" si="3"/>
        <v>0.47449895615866389</v>
      </c>
      <c r="K7" s="29">
        <v>2292.6999999999998</v>
      </c>
      <c r="L7" s="24">
        <f t="shared" si="4"/>
        <v>-0.18846499642495596</v>
      </c>
      <c r="M7" s="29">
        <v>550.21</v>
      </c>
      <c r="N7" s="24">
        <f t="shared" si="5"/>
        <v>-0.76001657434465908</v>
      </c>
      <c r="O7" s="29">
        <v>20.63</v>
      </c>
      <c r="P7" s="24">
        <f t="shared" si="6"/>
        <v>-0.96250522527762128</v>
      </c>
      <c r="Q7" s="29">
        <v>538.87</v>
      </c>
      <c r="R7" s="24">
        <f t="shared" si="7"/>
        <v>25.120698012603007</v>
      </c>
      <c r="S7" s="29">
        <v>100.25</v>
      </c>
      <c r="T7" s="24">
        <f t="shared" si="8"/>
        <v>-0.81396255126468353</v>
      </c>
      <c r="U7" s="29">
        <v>1757.14</v>
      </c>
      <c r="V7" s="24">
        <f t="shared" si="9"/>
        <v>16.527581047381545</v>
      </c>
      <c r="W7" s="29">
        <v>1584.43</v>
      </c>
      <c r="X7" s="24">
        <f t="shared" si="10"/>
        <v>-9.8290403724233699E-2</v>
      </c>
      <c r="Y7" s="29">
        <v>1567.77</v>
      </c>
      <c r="Z7" s="24">
        <f t="shared" si="11"/>
        <v>-1.0514822365140786E-2</v>
      </c>
      <c r="AA7" s="42">
        <f>C7+E7+G7+I7+K7+M7+O7+Q7+S7+U7+W7+Y7</f>
        <v>17842.73</v>
      </c>
      <c r="AB7" s="8">
        <f t="shared" si="12"/>
        <v>8.1737408837325462E-4</v>
      </c>
    </row>
    <row r="8" spans="1:28" ht="20.149999999999999" customHeight="1" x14ac:dyDescent="0.35">
      <c r="A8" s="3" t="s">
        <v>7</v>
      </c>
      <c r="B8" s="30">
        <f>SUM(B4:B7)</f>
        <v>1430554.4200000002</v>
      </c>
      <c r="C8" s="30">
        <f>SUM(C4:C7)</f>
        <v>1962544.59</v>
      </c>
      <c r="D8" s="24">
        <f t="shared" si="0"/>
        <v>0.37187691888016383</v>
      </c>
      <c r="E8" s="30">
        <f>SUM(E4:E7)</f>
        <v>1673572.5499999998</v>
      </c>
      <c r="F8" s="24">
        <f t="shared" si="1"/>
        <v>-0.14724355383945709</v>
      </c>
      <c r="G8" s="30">
        <f>SUM(G4:G7)</f>
        <v>1857222.2700000003</v>
      </c>
      <c r="H8" s="24">
        <f t="shared" si="2"/>
        <v>0.10973514115058847</v>
      </c>
      <c r="I8" s="30">
        <f>SUM(I4:I7)</f>
        <v>1647697.44</v>
      </c>
      <c r="J8" s="24">
        <f t="shared" si="3"/>
        <v>-0.11281623819856534</v>
      </c>
      <c r="K8" s="30">
        <f>SUM(K4:K7)</f>
        <v>1417587.14</v>
      </c>
      <c r="L8" s="24">
        <f t="shared" si="4"/>
        <v>-0.13965567610519569</v>
      </c>
      <c r="M8" s="30">
        <f>SUM(M4:M7)</f>
        <v>1535137.98</v>
      </c>
      <c r="N8" s="24">
        <f t="shared" si="5"/>
        <v>8.2923184531710659E-2</v>
      </c>
      <c r="O8" s="30">
        <f>SUM(O4:O7)</f>
        <v>2027487.83</v>
      </c>
      <c r="P8" s="24">
        <f t="shared" si="6"/>
        <v>0.32072025864411224</v>
      </c>
      <c r="Q8" s="30">
        <f>SUM(Q4:Q7)</f>
        <v>2021712.57</v>
      </c>
      <c r="R8" s="24">
        <f t="shared" si="7"/>
        <v>-2.848480723063096E-3</v>
      </c>
      <c r="S8" s="30">
        <f>SUM(S4:S7)</f>
        <v>2115784.9</v>
      </c>
      <c r="T8" s="24">
        <f t="shared" si="8"/>
        <v>4.6531011082351803E-2</v>
      </c>
      <c r="U8" s="30">
        <f>SUM(U4:U7)</f>
        <v>2087196.8</v>
      </c>
      <c r="V8" s="24">
        <f t="shared" si="9"/>
        <v>-1.3511817765596068E-2</v>
      </c>
      <c r="W8" s="30">
        <f>SUM(W4:W7)</f>
        <v>1791977.2299999997</v>
      </c>
      <c r="X8" s="24">
        <f t="shared" si="10"/>
        <v>-0.14144309247695297</v>
      </c>
      <c r="Y8" s="30">
        <f>SUM(Y4:Y7)</f>
        <v>1691410.28</v>
      </c>
      <c r="Z8" s="24">
        <f t="shared" si="11"/>
        <v>-5.6120662872485072E-2</v>
      </c>
      <c r="AA8" s="42">
        <f>C8+E8+G8+I8+K8+M8+O8+Q8+S8+U8+W8+Y8</f>
        <v>21829331.580000002</v>
      </c>
      <c r="AB8" s="8">
        <f t="shared" si="12"/>
        <v>1</v>
      </c>
    </row>
    <row r="9" spans="1:28" ht="20.149999999999999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.149999999999999" customHeight="1" x14ac:dyDescent="0.35">
      <c r="A10" s="3" t="s">
        <v>4</v>
      </c>
      <c r="B10" s="4">
        <v>43800</v>
      </c>
      <c r="C10" s="4">
        <v>43831</v>
      </c>
      <c r="D10" s="4" t="s">
        <v>9</v>
      </c>
      <c r="E10" s="4">
        <v>43862</v>
      </c>
      <c r="F10" s="4" t="s">
        <v>9</v>
      </c>
      <c r="G10" s="4">
        <v>43891</v>
      </c>
      <c r="H10" s="4" t="s">
        <v>9</v>
      </c>
      <c r="I10" s="4">
        <v>43922</v>
      </c>
      <c r="J10" s="4" t="s">
        <v>9</v>
      </c>
      <c r="K10" s="4">
        <v>43952</v>
      </c>
      <c r="L10" s="4" t="s">
        <v>9</v>
      </c>
      <c r="M10" s="4">
        <v>43983</v>
      </c>
      <c r="N10" s="4" t="s">
        <v>9</v>
      </c>
      <c r="O10" s="4">
        <v>44013</v>
      </c>
      <c r="P10" s="4" t="s">
        <v>9</v>
      </c>
      <c r="Q10" s="4">
        <v>44044</v>
      </c>
      <c r="R10" s="4" t="s">
        <v>9</v>
      </c>
      <c r="S10" s="4">
        <v>44075</v>
      </c>
      <c r="T10" s="4" t="s">
        <v>9</v>
      </c>
      <c r="U10" s="4">
        <v>44105</v>
      </c>
      <c r="V10" s="4" t="s">
        <v>9</v>
      </c>
      <c r="W10" s="4">
        <v>44136</v>
      </c>
      <c r="X10" s="4" t="s">
        <v>9</v>
      </c>
      <c r="Y10" s="4">
        <v>44166</v>
      </c>
      <c r="Z10" s="4" t="s">
        <v>9</v>
      </c>
      <c r="AA10" s="43" t="s">
        <v>32</v>
      </c>
      <c r="AB10" s="3" t="s">
        <v>11</v>
      </c>
    </row>
    <row r="11" spans="1:28" ht="20.149999999999999" customHeight="1" x14ac:dyDescent="0.35">
      <c r="A11" s="3" t="s">
        <v>0</v>
      </c>
      <c r="B11" s="23">
        <v>10842233</v>
      </c>
      <c r="C11" s="23">
        <v>14430893</v>
      </c>
      <c r="D11" s="24">
        <f>C11/B11-1</f>
        <v>0.33098901305662776</v>
      </c>
      <c r="E11" s="23">
        <v>11851448</v>
      </c>
      <c r="F11" s="24">
        <f>E11/C11-1</f>
        <v>-0.17874465564951525</v>
      </c>
      <c r="G11" s="23">
        <v>14271760</v>
      </c>
      <c r="H11" s="24">
        <f>G11/E11-1</f>
        <v>0.20422078382320885</v>
      </c>
      <c r="I11" s="23">
        <v>14515488</v>
      </c>
      <c r="J11" s="24">
        <f>I11/G11-1</f>
        <v>1.7077641440158775E-2</v>
      </c>
      <c r="K11" s="23">
        <v>13029968</v>
      </c>
      <c r="L11" s="24">
        <f>K11/I11-1</f>
        <v>-0.10234034157170602</v>
      </c>
      <c r="M11" s="23">
        <v>12952065</v>
      </c>
      <c r="N11" s="24">
        <f>M11/K11-1</f>
        <v>-5.9787560491322278E-3</v>
      </c>
      <c r="O11" s="23">
        <v>14745399</v>
      </c>
      <c r="P11" s="24">
        <f>O11/M11-1</f>
        <v>0.13845931131445055</v>
      </c>
      <c r="Q11" s="23">
        <v>12800622</v>
      </c>
      <c r="R11" s="24">
        <f>Q11/O11-1</f>
        <v>-0.13189042900771963</v>
      </c>
      <c r="S11" s="23">
        <v>13231364</v>
      </c>
      <c r="T11" s="24">
        <f>S11/Q11-1</f>
        <v>3.3650083566251654E-2</v>
      </c>
      <c r="U11" s="23">
        <v>12553858</v>
      </c>
      <c r="V11" s="24">
        <f>U11/S11-1</f>
        <v>-5.1204547014200519E-2</v>
      </c>
      <c r="W11" s="23">
        <v>10302378</v>
      </c>
      <c r="X11" s="24">
        <f>W11/U11-1</f>
        <v>-0.17934566409784147</v>
      </c>
      <c r="Y11" s="23">
        <v>10636377</v>
      </c>
      <c r="Z11" s="24">
        <f>Y11/W11-1</f>
        <v>3.2419602542248072E-2</v>
      </c>
      <c r="AA11" s="44">
        <f>C11+E11+G11+I11+K11+M11+O11+Q11+S11+U11+W11+Y11</f>
        <v>155321620</v>
      </c>
      <c r="AB11" s="8">
        <f>AA11/$AA$15</f>
        <v>0.48445746869097961</v>
      </c>
    </row>
    <row r="12" spans="1:28" ht="20.149999999999999" customHeight="1" x14ac:dyDescent="0.35">
      <c r="A12" s="3" t="s">
        <v>2</v>
      </c>
      <c r="B12" s="23">
        <v>10152010.32</v>
      </c>
      <c r="C12" s="23">
        <v>13620018.51</v>
      </c>
      <c r="D12" s="24">
        <f t="shared" ref="D12:D15" si="13">C12/B12-1</f>
        <v>0.34160802448829664</v>
      </c>
      <c r="E12" s="23">
        <v>13330670.609999999</v>
      </c>
      <c r="F12" s="24">
        <f t="shared" ref="F12:F15" si="14">E12/C12-1</f>
        <v>-2.124431033537566E-2</v>
      </c>
      <c r="G12" s="23">
        <v>12041554.560000001</v>
      </c>
      <c r="H12" s="24">
        <f t="shared" ref="H12:H15" si="15">G12/E12-1</f>
        <v>-9.6703015753233701E-2</v>
      </c>
      <c r="I12" s="23">
        <v>9647011.0199999996</v>
      </c>
      <c r="J12" s="24">
        <f t="shared" ref="J12:J15" si="16">I12/G12-1</f>
        <v>-0.19885667818624253</v>
      </c>
      <c r="K12" s="23">
        <v>8874180.5999999996</v>
      </c>
      <c r="L12" s="24">
        <f t="shared" ref="L12:L15" si="17">K12/I12-1</f>
        <v>-8.0110867334740488E-2</v>
      </c>
      <c r="M12" s="23">
        <v>10285686.33</v>
      </c>
      <c r="N12" s="24">
        <f t="shared" ref="N12:N15" si="18">M12/K12-1</f>
        <v>0.1590575844264428</v>
      </c>
      <c r="O12" s="23">
        <v>12837631.01</v>
      </c>
      <c r="P12" s="24">
        <f t="shared" ref="P12:P15" si="19">O12/M12-1</f>
        <v>0.24810640711031673</v>
      </c>
      <c r="Q12" s="23">
        <v>12382519.01</v>
      </c>
      <c r="R12" s="24">
        <f t="shared" ref="R12:R15" si="20">Q12/O12-1</f>
        <v>-3.5451400624109342E-2</v>
      </c>
      <c r="S12" s="23">
        <v>13545851.560000001</v>
      </c>
      <c r="T12" s="24">
        <f t="shared" ref="T12:T15" si="21">S12/Q12-1</f>
        <v>9.3949587241538346E-2</v>
      </c>
      <c r="U12" s="23">
        <v>13558084.859999999</v>
      </c>
      <c r="V12" s="24">
        <f t="shared" ref="V12:V15" si="22">U12/S12-1</f>
        <v>9.031030604322865E-4</v>
      </c>
      <c r="W12" s="23">
        <v>10938848.310000001</v>
      </c>
      <c r="X12" s="24">
        <f t="shared" ref="X12:X15" si="23">W12/U12-1</f>
        <v>-0.19318632218680476</v>
      </c>
      <c r="Y12" s="23">
        <v>10605104</v>
      </c>
      <c r="Z12" s="24">
        <f t="shared" ref="Z12:Z15" si="24">Y12/W12-1</f>
        <v>-3.0510004393689227E-2</v>
      </c>
      <c r="AA12" s="44">
        <f t="shared" ref="AA12:AA15" si="25">C12+E12+G12+I12+K12+M12+O12+Q12+S12+U12+W12+Y12</f>
        <v>141667160.38000003</v>
      </c>
      <c r="AB12" s="8">
        <f t="shared" ref="AB12:AB15" si="26">AA12/$AA$15</f>
        <v>0.44186838840809056</v>
      </c>
    </row>
    <row r="13" spans="1:28" ht="20.149999999999999" customHeight="1" x14ac:dyDescent="0.35">
      <c r="A13" s="3" t="s">
        <v>1</v>
      </c>
      <c r="B13" s="23">
        <v>1255881</v>
      </c>
      <c r="C13" s="23">
        <v>2113412</v>
      </c>
      <c r="D13" s="24">
        <f t="shared" si="13"/>
        <v>0.68281230466899334</v>
      </c>
      <c r="E13" s="23">
        <v>1785821</v>
      </c>
      <c r="F13" s="24">
        <f t="shared" si="14"/>
        <v>-0.15500574426567082</v>
      </c>
      <c r="G13" s="23">
        <v>1898613</v>
      </c>
      <c r="H13" s="24">
        <f t="shared" si="15"/>
        <v>6.3159745573604598E-2</v>
      </c>
      <c r="I13" s="23">
        <v>1591052</v>
      </c>
      <c r="J13" s="24">
        <f t="shared" si="16"/>
        <v>-0.16199246502578457</v>
      </c>
      <c r="K13" s="23">
        <v>1735253</v>
      </c>
      <c r="L13" s="24">
        <f t="shared" si="17"/>
        <v>9.0632487184579835E-2</v>
      </c>
      <c r="M13" s="23">
        <v>1696115</v>
      </c>
      <c r="N13" s="24">
        <f t="shared" si="18"/>
        <v>-2.2554636125106775E-2</v>
      </c>
      <c r="O13" s="23">
        <v>1960853</v>
      </c>
      <c r="P13" s="24">
        <f t="shared" si="19"/>
        <v>0.15608493527856315</v>
      </c>
      <c r="Q13" s="23">
        <v>2045561</v>
      </c>
      <c r="R13" s="24">
        <f t="shared" si="20"/>
        <v>4.3199566719177795E-2</v>
      </c>
      <c r="S13" s="23">
        <v>1982626</v>
      </c>
      <c r="T13" s="24">
        <f t="shared" si="21"/>
        <v>-3.0766620990525295E-2</v>
      </c>
      <c r="U13" s="23">
        <v>1872691</v>
      </c>
      <c r="V13" s="24">
        <f t="shared" si="22"/>
        <v>-5.5449187088235541E-2</v>
      </c>
      <c r="W13" s="23">
        <v>1864584</v>
      </c>
      <c r="X13" s="24">
        <f t="shared" si="23"/>
        <v>-4.3290644318790816E-3</v>
      </c>
      <c r="Y13" s="23">
        <v>1762854</v>
      </c>
      <c r="Z13" s="24">
        <f t="shared" si="24"/>
        <v>-5.4559086638091947E-2</v>
      </c>
      <c r="AA13" s="44">
        <f t="shared" si="25"/>
        <v>22309435</v>
      </c>
      <c r="AB13" s="8">
        <f t="shared" si="26"/>
        <v>6.9584468717400344E-2</v>
      </c>
    </row>
    <row r="14" spans="1:28" ht="20.149999999999999" customHeight="1" x14ac:dyDescent="0.35">
      <c r="A14" s="3" t="s">
        <v>3</v>
      </c>
      <c r="B14" s="23">
        <v>150084</v>
      </c>
      <c r="C14" s="23">
        <v>219632</v>
      </c>
      <c r="D14" s="24">
        <f t="shared" si="13"/>
        <v>0.46339383278697266</v>
      </c>
      <c r="E14" s="23">
        <v>115090</v>
      </c>
      <c r="F14" s="24">
        <f t="shared" si="14"/>
        <v>-0.47598710570408687</v>
      </c>
      <c r="G14" s="23">
        <v>153176</v>
      </c>
      <c r="H14" s="24">
        <f t="shared" si="15"/>
        <v>0.33092362498913896</v>
      </c>
      <c r="I14" s="23">
        <v>173988</v>
      </c>
      <c r="J14" s="24">
        <f t="shared" si="16"/>
        <v>0.13586984906251631</v>
      </c>
      <c r="K14" s="23">
        <v>159834</v>
      </c>
      <c r="L14" s="24">
        <f t="shared" si="17"/>
        <v>-8.1350437961238753E-2</v>
      </c>
      <c r="M14" s="23">
        <v>41096</v>
      </c>
      <c r="N14" s="24">
        <f t="shared" si="18"/>
        <v>-0.74288324136291406</v>
      </c>
      <c r="O14" s="23">
        <v>702</v>
      </c>
      <c r="P14" s="24">
        <f t="shared" si="19"/>
        <v>-0.98291804555187856</v>
      </c>
      <c r="Q14" s="23">
        <v>41168</v>
      </c>
      <c r="R14" s="24">
        <f t="shared" si="20"/>
        <v>57.643874643874646</v>
      </c>
      <c r="S14" s="23">
        <v>1222</v>
      </c>
      <c r="T14" s="24">
        <f t="shared" si="21"/>
        <v>-0.97031675087446556</v>
      </c>
      <c r="U14" s="23">
        <v>164924</v>
      </c>
      <c r="V14" s="24">
        <f t="shared" si="22"/>
        <v>133.96235679214402</v>
      </c>
      <c r="W14" s="23">
        <v>121302</v>
      </c>
      <c r="X14" s="24">
        <f t="shared" si="23"/>
        <v>-0.26449758676723822</v>
      </c>
      <c r="Y14" s="23">
        <v>119054</v>
      </c>
      <c r="Z14" s="24">
        <f t="shared" si="24"/>
        <v>-1.8532258330448026E-2</v>
      </c>
      <c r="AA14" s="44">
        <f t="shared" si="25"/>
        <v>1311188</v>
      </c>
      <c r="AB14" s="8">
        <f t="shared" si="26"/>
        <v>4.0896741835295576E-3</v>
      </c>
    </row>
    <row r="15" spans="1:28" ht="20.149999999999999" customHeight="1" x14ac:dyDescent="0.35">
      <c r="A15" s="3" t="s">
        <v>7</v>
      </c>
      <c r="B15" s="25">
        <f>SUM(B11:B14)</f>
        <v>22400208.32</v>
      </c>
      <c r="C15" s="25">
        <f>SUM(C11:C14)</f>
        <v>30383955.509999998</v>
      </c>
      <c r="D15" s="24">
        <f t="shared" si="13"/>
        <v>0.35641397061793034</v>
      </c>
      <c r="E15" s="25">
        <f>SUM(E11:E14)</f>
        <v>27083029.609999999</v>
      </c>
      <c r="F15" s="24">
        <f t="shared" si="14"/>
        <v>-0.10864042698172049</v>
      </c>
      <c r="G15" s="25">
        <f>SUM(G11:G14)</f>
        <v>28365103.560000002</v>
      </c>
      <c r="H15" s="24">
        <f t="shared" si="15"/>
        <v>4.7338645951434444E-2</v>
      </c>
      <c r="I15" s="25">
        <f>SUM(I11:I14)</f>
        <v>25927539.02</v>
      </c>
      <c r="J15" s="24">
        <f t="shared" si="16"/>
        <v>-8.5935330179348068E-2</v>
      </c>
      <c r="K15" s="25">
        <f>SUM(K11:K14)</f>
        <v>23799235.600000001</v>
      </c>
      <c r="L15" s="24">
        <f t="shared" si="17"/>
        <v>-8.2086595968798526E-2</v>
      </c>
      <c r="M15" s="25">
        <f>SUM(M11:M14)</f>
        <v>24974962.329999998</v>
      </c>
      <c r="N15" s="24">
        <f t="shared" si="18"/>
        <v>4.9401869444916091E-2</v>
      </c>
      <c r="O15" s="25">
        <f>SUM(O11:O14)</f>
        <v>29544585.009999998</v>
      </c>
      <c r="P15" s="24">
        <f t="shared" si="19"/>
        <v>0.18296815104745745</v>
      </c>
      <c r="Q15" s="25">
        <f>SUM(Q11:Q14)</f>
        <v>27269870.009999998</v>
      </c>
      <c r="R15" s="24">
        <f t="shared" si="20"/>
        <v>-7.6992619772119797E-2</v>
      </c>
      <c r="S15" s="25">
        <f>SUM(S11:S14)</f>
        <v>28761063.560000002</v>
      </c>
      <c r="T15" s="24">
        <f t="shared" si="21"/>
        <v>5.4682825750660857E-2</v>
      </c>
      <c r="U15" s="25">
        <f>SUM(U11:U14)</f>
        <v>28149557.859999999</v>
      </c>
      <c r="V15" s="24">
        <f t="shared" si="22"/>
        <v>-2.1261581607519786E-2</v>
      </c>
      <c r="W15" s="25">
        <f>SUM(W11:W14)</f>
        <v>23227112.310000002</v>
      </c>
      <c r="X15" s="24">
        <f t="shared" si="23"/>
        <v>-0.17486759736978674</v>
      </c>
      <c r="Y15" s="25">
        <f>SUM(Y11:Y14)</f>
        <v>23123389</v>
      </c>
      <c r="Z15" s="24">
        <f t="shared" si="24"/>
        <v>-4.4656136594021234E-3</v>
      </c>
      <c r="AA15" s="44">
        <f t="shared" si="25"/>
        <v>320609403.38</v>
      </c>
      <c r="AB15" s="8">
        <f t="shared" si="26"/>
        <v>1</v>
      </c>
    </row>
    <row r="16" spans="1:28" ht="20.149999999999999" customHeight="1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33"/>
      <c r="AB16" s="12"/>
    </row>
    <row r="17" spans="1:28" ht="20.149999999999999" customHeight="1" x14ac:dyDescent="0.3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33"/>
      <c r="AB17" s="12"/>
    </row>
    <row r="18" spans="1:28" ht="20.149999999999999" customHeight="1" x14ac:dyDescent="0.35">
      <c r="A18" s="3" t="s">
        <v>6</v>
      </c>
      <c r="B18" s="4">
        <v>43800</v>
      </c>
      <c r="C18" s="4">
        <v>43831</v>
      </c>
      <c r="D18" s="4" t="s">
        <v>9</v>
      </c>
      <c r="E18" s="4">
        <v>43862</v>
      </c>
      <c r="F18" s="4" t="s">
        <v>9</v>
      </c>
      <c r="G18" s="4">
        <v>43891</v>
      </c>
      <c r="H18" s="4" t="s">
        <v>9</v>
      </c>
      <c r="I18" s="36">
        <v>43922</v>
      </c>
      <c r="J18" s="36" t="s">
        <v>9</v>
      </c>
      <c r="K18" s="36">
        <v>43952</v>
      </c>
      <c r="L18" s="36" t="s">
        <v>9</v>
      </c>
      <c r="M18" s="36">
        <v>43983</v>
      </c>
      <c r="N18" s="36" t="s">
        <v>9</v>
      </c>
      <c r="O18" s="4">
        <v>44013</v>
      </c>
      <c r="P18" s="4" t="s">
        <v>9</v>
      </c>
      <c r="Q18" s="4">
        <v>44044</v>
      </c>
      <c r="R18" s="4" t="s">
        <v>9</v>
      </c>
      <c r="S18" s="36">
        <v>44075</v>
      </c>
      <c r="T18" s="36" t="s">
        <v>9</v>
      </c>
      <c r="U18" s="36">
        <v>44105</v>
      </c>
      <c r="V18" s="36" t="s">
        <v>9</v>
      </c>
      <c r="W18" s="4">
        <v>44136</v>
      </c>
      <c r="X18" s="4" t="s">
        <v>9</v>
      </c>
      <c r="Y18" s="4">
        <v>44166</v>
      </c>
      <c r="Z18" s="4" t="s">
        <v>9</v>
      </c>
      <c r="AA18" s="34" t="s">
        <v>33</v>
      </c>
      <c r="AB18" s="12"/>
    </row>
    <row r="19" spans="1:28" ht="20.149999999999999" customHeight="1" x14ac:dyDescent="0.35">
      <c r="A19" s="3" t="s">
        <v>0</v>
      </c>
      <c r="B19" s="26">
        <f>B4/B11*100</f>
        <v>6.6243431588308423</v>
      </c>
      <c r="C19" s="26">
        <f>C4/C11*100</f>
        <v>6.7073422275392103</v>
      </c>
      <c r="D19" s="24">
        <f>C19/B19-1</f>
        <v>1.252940355267107E-2</v>
      </c>
      <c r="E19" s="26">
        <f>E4/E11*100</f>
        <v>6.5700073104991059</v>
      </c>
      <c r="F19" s="24">
        <f>E19/C19-1</f>
        <v>-2.0475310843128036E-2</v>
      </c>
      <c r="G19" s="35">
        <f>G4/G11*100</f>
        <v>6.7342254914600579</v>
      </c>
      <c r="H19" s="27">
        <f>G19/E19-1</f>
        <v>2.4995129107166392E-2</v>
      </c>
      <c r="I19" s="35">
        <f>I4/I11*100</f>
        <v>6.4020088060422076</v>
      </c>
      <c r="J19" s="27">
        <f>I19/G19-1</f>
        <v>-4.9332575192076344E-2</v>
      </c>
      <c r="K19" s="35">
        <f>K4/K11*100</f>
        <v>6.2072279072366108</v>
      </c>
      <c r="L19" s="27">
        <f>K19/I19-1</f>
        <v>-3.0424965773518275E-2</v>
      </c>
      <c r="M19" s="35">
        <f>M4/M11*100</f>
        <v>6.2188462611946438</v>
      </c>
      <c r="N19" s="27">
        <f>M19/K19-1</f>
        <v>1.8717459921986368E-3</v>
      </c>
      <c r="O19" s="35">
        <f>O4/O11*100</f>
        <v>7.2989942828946175</v>
      </c>
      <c r="P19" s="27">
        <f>O19/M19-1</f>
        <v>0.17368945562138349</v>
      </c>
      <c r="Q19" s="35">
        <f>Q4/Q11*100</f>
        <v>7.5156343183948398</v>
      </c>
      <c r="R19" s="27">
        <f>Q19/O19-1</f>
        <v>2.9680806300660389E-2</v>
      </c>
      <c r="S19" s="35">
        <f>S4/S11*100</f>
        <v>7.6564013354934524</v>
      </c>
      <c r="T19" s="27">
        <f>S19/Q19-1</f>
        <v>1.872989173436479E-2</v>
      </c>
      <c r="U19" s="35">
        <f>U4/U11*100</f>
        <v>7.5885648061337001</v>
      </c>
      <c r="V19" s="27">
        <f>U19/S19-1</f>
        <v>-8.8601062545241582E-3</v>
      </c>
      <c r="W19" s="26">
        <f>W4/W11*100</f>
        <v>7.8493378907277522</v>
      </c>
      <c r="X19" s="27">
        <f>W19/U19-1</f>
        <v>3.4363953034080241E-2</v>
      </c>
      <c r="Y19" s="26">
        <f>Y4/Y11*100</f>
        <v>7.648661851681263</v>
      </c>
      <c r="Z19" s="24">
        <f>Y19/W19-1</f>
        <v>-2.5565982996291092E-2</v>
      </c>
      <c r="AA19" s="41">
        <f>(C19+E19+G19+I19+K19+M19+O19+Q19+S19+U19+W19)/12</f>
        <v>6.3957158864680173</v>
      </c>
      <c r="AB19" s="12"/>
    </row>
    <row r="20" spans="1:28" ht="20.149999999999999" customHeight="1" x14ac:dyDescent="0.35">
      <c r="A20" s="3" t="s">
        <v>2</v>
      </c>
      <c r="B20" s="26">
        <f t="shared" ref="B20:B23" si="27">B5/B12*100</f>
        <v>6.1852187912275491</v>
      </c>
      <c r="C20" s="26">
        <f t="shared" ref="C20:C23" si="28">C5/C12*100</f>
        <v>6.3423871220568557</v>
      </c>
      <c r="D20" s="24">
        <f t="shared" ref="D20:D23" si="29">C20/B20-1</f>
        <v>2.5410310634802036E-2</v>
      </c>
      <c r="E20" s="26">
        <f t="shared" ref="E20:E23" si="30">E5/E12*100</f>
        <v>5.9247200917823903</v>
      </c>
      <c r="F20" s="24">
        <f t="shared" ref="F20:F23" si="31">E20/C20-1</f>
        <v>-6.5853285558989172E-2</v>
      </c>
      <c r="G20" s="35">
        <f t="shared" ref="G20:G23" si="32">G5/G12*100</f>
        <v>6.4104258810915526</v>
      </c>
      <c r="H20" s="27">
        <f t="shared" ref="H20:H23" si="33">G20/E20-1</f>
        <v>8.1979533511268743E-2</v>
      </c>
      <c r="I20" s="35">
        <f t="shared" ref="I20:I23" si="34">I5/I12*100</f>
        <v>6.4503129384836138</v>
      </c>
      <c r="J20" s="27">
        <f t="shared" ref="J20:J23" si="35">I20/G20-1</f>
        <v>6.2222164536234192E-3</v>
      </c>
      <c r="K20" s="35">
        <f t="shared" ref="K20:K23" si="36">K5/K12*100</f>
        <v>5.672348723666949</v>
      </c>
      <c r="L20" s="27">
        <f t="shared" ref="L20:L23" si="37">K20/I20-1</f>
        <v>-0.12060875530165427</v>
      </c>
      <c r="M20" s="35">
        <f t="shared" ref="M20:M23" si="38">M5/M12*100</f>
        <v>5.9717450084830652</v>
      </c>
      <c r="N20" s="27">
        <f t="shared" ref="N20:N23" si="39">M20/K20-1</f>
        <v>5.2781713431498734E-2</v>
      </c>
      <c r="O20" s="35">
        <f t="shared" ref="O20:O23" si="40">O5/O12*100</f>
        <v>6.4574477125433445</v>
      </c>
      <c r="P20" s="27">
        <f t="shared" ref="P20:P23" si="41">O20/M20-1</f>
        <v>8.1333463396431327E-2</v>
      </c>
      <c r="Q20" s="35">
        <f t="shared" ref="Q20:Q23" si="42">Q5/Q12*100</f>
        <v>7.3205378426469307</v>
      </c>
      <c r="R20" s="27">
        <f t="shared" ref="R20:R23" si="43">Q20/O20-1</f>
        <v>0.1336580903980169</v>
      </c>
      <c r="S20" s="35">
        <f t="shared" ref="S20:S23" si="44">S5/S12*100</f>
        <v>7.1376174891436648</v>
      </c>
      <c r="T20" s="27">
        <f t="shared" ref="T20:T23" si="45">S20/Q20-1</f>
        <v>-2.4987283371125435E-2</v>
      </c>
      <c r="U20" s="35">
        <f t="shared" ref="U20:U23" si="46">U5/U12*100</f>
        <v>7.3605187628247375</v>
      </c>
      <c r="V20" s="27">
        <f t="shared" ref="V20:V23" si="47">U20/S20-1</f>
        <v>3.1229086459187094E-2</v>
      </c>
      <c r="W20" s="26">
        <f t="shared" ref="W20:W23" si="48">W5/W12*100</f>
        <v>7.6126834964767882</v>
      </c>
      <c r="X20" s="27">
        <f t="shared" ref="X20:X23" si="49">W20/U20-1</f>
        <v>3.4259098003477817E-2</v>
      </c>
      <c r="Y20" s="26">
        <f t="shared" ref="Y20:Y23" si="50">Y5/Y12*100</f>
        <v>7.0336886842410973</v>
      </c>
      <c r="Z20" s="24">
        <f t="shared" ref="Z20:Z23" si="51">Y20/W20-1</f>
        <v>-7.6056598504805062E-2</v>
      </c>
      <c r="AA20" s="41">
        <f t="shared" ref="AA20:AA23" si="52">(C20+E20+G20+I20+K20+M20+O20+Q20+S20+U20+W20)/12</f>
        <v>6.0550620890999909</v>
      </c>
      <c r="AB20" s="12"/>
    </row>
    <row r="21" spans="1:28" ht="20.149999999999999" customHeight="1" x14ac:dyDescent="0.35">
      <c r="A21" s="3" t="s">
        <v>1</v>
      </c>
      <c r="B21" s="26">
        <f t="shared" si="27"/>
        <v>6.5578920295792358</v>
      </c>
      <c r="C21" s="26">
        <f t="shared" si="28"/>
        <v>6.0385632332928925</v>
      </c>
      <c r="D21" s="24">
        <f t="shared" si="29"/>
        <v>-7.9191422174064718E-2</v>
      </c>
      <c r="E21" s="26">
        <f t="shared" si="30"/>
        <v>5.8011542030248266</v>
      </c>
      <c r="F21" s="24">
        <f t="shared" si="31"/>
        <v>-3.9315483020719189E-2</v>
      </c>
      <c r="G21" s="35">
        <f t="shared" si="32"/>
        <v>6.4414833354664687</v>
      </c>
      <c r="H21" s="27">
        <f t="shared" si="33"/>
        <v>0.11037960895915555</v>
      </c>
      <c r="I21" s="35">
        <f t="shared" si="34"/>
        <v>5.8657466883546237</v>
      </c>
      <c r="J21" s="27">
        <f t="shared" si="35"/>
        <v>-8.9379513557361734E-2</v>
      </c>
      <c r="K21" s="35">
        <f t="shared" si="36"/>
        <v>5.9426585057049319</v>
      </c>
      <c r="L21" s="27">
        <f t="shared" si="37"/>
        <v>1.3112025021980944E-2</v>
      </c>
      <c r="M21" s="35">
        <f t="shared" si="38"/>
        <v>6.7733496844258791</v>
      </c>
      <c r="N21" s="27">
        <f t="shared" si="39"/>
        <v>0.13978443787801131</v>
      </c>
      <c r="O21" s="35">
        <f t="shared" si="40"/>
        <v>6.2329027214176689</v>
      </c>
      <c r="P21" s="27">
        <f t="shared" si="41"/>
        <v>-7.9790205465232744E-2</v>
      </c>
      <c r="Q21" s="35">
        <f t="shared" si="42"/>
        <v>7.4629292404381973</v>
      </c>
      <c r="R21" s="27">
        <f t="shared" si="43"/>
        <v>0.19734409054610746</v>
      </c>
      <c r="S21" s="35">
        <f t="shared" si="44"/>
        <v>6.8488585340856014</v>
      </c>
      <c r="T21" s="27">
        <f t="shared" si="45"/>
        <v>-8.2282798961194503E-2</v>
      </c>
      <c r="U21" s="35">
        <f t="shared" si="46"/>
        <v>7.2001536825883186</v>
      </c>
      <c r="V21" s="27">
        <f t="shared" si="47"/>
        <v>5.1292510533599289E-2</v>
      </c>
      <c r="W21" s="26">
        <f t="shared" si="48"/>
        <v>7.9902240928807711</v>
      </c>
      <c r="X21" s="27">
        <f t="shared" si="49"/>
        <v>0.10972965927144451</v>
      </c>
      <c r="Y21" s="26">
        <f t="shared" si="50"/>
        <v>7.3955075122500213</v>
      </c>
      <c r="Z21" s="24">
        <f t="shared" si="51"/>
        <v>-7.4430525817246851E-2</v>
      </c>
      <c r="AA21" s="41">
        <f t="shared" si="52"/>
        <v>6.049835326806682</v>
      </c>
      <c r="AB21" s="12"/>
    </row>
    <row r="22" spans="1:28" ht="20.149999999999999" customHeight="1" x14ac:dyDescent="0.35">
      <c r="A22" s="3" t="s">
        <v>3</v>
      </c>
      <c r="B22" s="26">
        <f t="shared" si="27"/>
        <v>1.3621238772953812</v>
      </c>
      <c r="C22" s="26">
        <f t="shared" si="28"/>
        <v>1.439312122095141</v>
      </c>
      <c r="D22" s="24">
        <f t="shared" si="29"/>
        <v>5.6667566060895957E-2</v>
      </c>
      <c r="E22" s="26">
        <f t="shared" si="30"/>
        <v>1.3280041706490573</v>
      </c>
      <c r="F22" s="24">
        <f t="shared" si="31"/>
        <v>-7.7334130476201302E-2</v>
      </c>
      <c r="G22" s="35">
        <f t="shared" si="32"/>
        <v>1.2508486969238002</v>
      </c>
      <c r="H22" s="27">
        <f t="shared" si="33"/>
        <v>-5.809881883695267E-2</v>
      </c>
      <c r="I22" s="35">
        <f t="shared" si="34"/>
        <v>1.6237556613099753</v>
      </c>
      <c r="J22" s="27">
        <f t="shared" si="35"/>
        <v>0.29812315854288496</v>
      </c>
      <c r="K22" s="35">
        <f t="shared" si="36"/>
        <v>1.4344257166810563</v>
      </c>
      <c r="L22" s="27">
        <f t="shared" si="37"/>
        <v>-0.11660002125946445</v>
      </c>
      <c r="M22" s="35">
        <f t="shared" si="38"/>
        <v>1.3388407630912984</v>
      </c>
      <c r="N22" s="27">
        <f t="shared" si="39"/>
        <v>-6.6636391468859357E-2</v>
      </c>
      <c r="O22" s="35">
        <f t="shared" si="40"/>
        <v>2.9387464387464384</v>
      </c>
      <c r="P22" s="27">
        <f t="shared" si="41"/>
        <v>1.1949932506992536</v>
      </c>
      <c r="Q22" s="35">
        <f t="shared" si="42"/>
        <v>1.3089535561601244</v>
      </c>
      <c r="R22" s="27">
        <f t="shared" si="43"/>
        <v>-0.55458778651264784</v>
      </c>
      <c r="S22" s="35">
        <f t="shared" si="44"/>
        <v>8.2037643207855968</v>
      </c>
      <c r="T22" s="27">
        <f t="shared" si="45"/>
        <v>5.2674220045298759</v>
      </c>
      <c r="U22" s="35">
        <f t="shared" si="46"/>
        <v>1.0654240741189882</v>
      </c>
      <c r="V22" s="27">
        <f t="shared" si="47"/>
        <v>-0.87012985350888739</v>
      </c>
      <c r="W22" s="26">
        <f t="shared" si="48"/>
        <v>1.3061862129231174</v>
      </c>
      <c r="X22" s="27">
        <f t="shared" si="49"/>
        <v>0.22597775350929461</v>
      </c>
      <c r="Y22" s="26">
        <f t="shared" si="50"/>
        <v>1.3168562165067952</v>
      </c>
      <c r="Z22" s="24">
        <f t="shared" si="51"/>
        <v>8.1688226977985057E-3</v>
      </c>
      <c r="AA22" s="41">
        <f t="shared" si="52"/>
        <v>1.9365218111237159</v>
      </c>
      <c r="AB22" s="12"/>
    </row>
    <row r="23" spans="1:28" ht="20.149999999999999" customHeight="1" x14ac:dyDescent="0.35">
      <c r="A23" s="3" t="s">
        <v>8</v>
      </c>
      <c r="B23" s="28">
        <f t="shared" si="27"/>
        <v>6.3863442677125972</v>
      </c>
      <c r="C23" s="28">
        <f t="shared" si="28"/>
        <v>6.4591477872395036</v>
      </c>
      <c r="D23" s="38">
        <f t="shared" si="29"/>
        <v>1.1399873930219906E-2</v>
      </c>
      <c r="E23" s="28">
        <f t="shared" si="30"/>
        <v>6.1794140984214643</v>
      </c>
      <c r="F23" s="38">
        <f t="shared" si="31"/>
        <v>-4.3308141883774964E-2</v>
      </c>
      <c r="G23" s="39">
        <f t="shared" si="32"/>
        <v>6.5475603361414283</v>
      </c>
      <c r="H23" s="40">
        <f t="shared" si="33"/>
        <v>5.957623681733959E-2</v>
      </c>
      <c r="I23" s="39">
        <f t="shared" si="34"/>
        <v>6.3550090069443081</v>
      </c>
      <c r="J23" s="40">
        <f t="shared" si="35"/>
        <v>-2.9408103066155711E-2</v>
      </c>
      <c r="K23" s="39">
        <f t="shared" si="36"/>
        <v>5.9564397942259957</v>
      </c>
      <c r="L23" s="40">
        <f t="shared" si="37"/>
        <v>-6.2717332466843745E-2</v>
      </c>
      <c r="M23" s="39">
        <f t="shared" si="38"/>
        <v>6.146707889749198</v>
      </c>
      <c r="N23" s="40">
        <f t="shared" si="39"/>
        <v>3.1943258405405572E-2</v>
      </c>
      <c r="O23" s="39">
        <f t="shared" si="40"/>
        <v>6.8624684669415847</v>
      </c>
      <c r="P23" s="40">
        <f t="shared" si="41"/>
        <v>0.11644616761210558</v>
      </c>
      <c r="Q23" s="35">
        <f t="shared" si="42"/>
        <v>7.4137227983068046</v>
      </c>
      <c r="R23" s="27">
        <f t="shared" si="43"/>
        <v>8.0328869126432334E-2</v>
      </c>
      <c r="S23" s="35">
        <f t="shared" si="44"/>
        <v>7.3564209320220275</v>
      </c>
      <c r="T23" s="27">
        <f t="shared" si="45"/>
        <v>-7.729162236530307E-3</v>
      </c>
      <c r="U23" s="35">
        <f t="shared" si="46"/>
        <v>7.4146699226344444</v>
      </c>
      <c r="V23" s="27">
        <f t="shared" si="47"/>
        <v>7.9181155008223314E-3</v>
      </c>
      <c r="W23" s="26">
        <f t="shared" si="48"/>
        <v>7.7150237450244603</v>
      </c>
      <c r="X23" s="27">
        <f t="shared" si="49"/>
        <v>4.0508050327788592E-2</v>
      </c>
      <c r="Y23" s="26">
        <f t="shared" si="50"/>
        <v>7.3147161949314619</v>
      </c>
      <c r="Z23" s="24">
        <f t="shared" si="51"/>
        <v>-5.1886755416814201E-2</v>
      </c>
      <c r="AA23" s="41">
        <f t="shared" si="52"/>
        <v>6.2005487314709358</v>
      </c>
      <c r="AB23" s="12"/>
    </row>
    <row r="24" spans="1:28" x14ac:dyDescent="0.35">
      <c r="A24" s="2" t="s">
        <v>10</v>
      </c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8" ht="15.5" x14ac:dyDescent="0.35">
      <c r="A25" s="18" t="s">
        <v>35</v>
      </c>
      <c r="B25" s="18"/>
      <c r="C25" s="18"/>
      <c r="D25" s="18"/>
      <c r="E25" s="18"/>
      <c r="F25" s="18"/>
      <c r="G25" s="18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"/>
    </row>
    <row r="26" spans="1:28" ht="15.5" x14ac:dyDescent="0.35">
      <c r="A26" s="56" t="s">
        <v>34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S26" s="32"/>
      <c r="U26" s="45"/>
      <c r="W26" s="45"/>
    </row>
    <row r="27" spans="1:28" ht="15.5" x14ac:dyDescent="0.35">
      <c r="A27" s="20" t="s">
        <v>36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37"/>
      <c r="T27" s="37"/>
    </row>
    <row r="28" spans="1:28" ht="15.5" x14ac:dyDescent="0.35">
      <c r="A28" s="18" t="s">
        <v>39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U28" s="31"/>
      <c r="AA28" s="31"/>
    </row>
    <row r="29" spans="1:28" ht="15.5" x14ac:dyDescent="0.35">
      <c r="A29" s="20" t="s">
        <v>37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18"/>
      <c r="R29" s="18"/>
      <c r="S29" s="45"/>
    </row>
    <row r="30" spans="1:28" ht="15.5" x14ac:dyDescent="0.35">
      <c r="A30" s="57" t="s">
        <v>38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</sheetData>
  <mergeCells count="3">
    <mergeCell ref="A1:AB1"/>
    <mergeCell ref="A26:O26"/>
    <mergeCell ref="A30:R3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0"/>
  <sheetViews>
    <sheetView topLeftCell="E1" zoomScale="90" zoomScaleNormal="90" workbookViewId="0">
      <selection activeCell="AB5" sqref="AB5"/>
    </sheetView>
  </sheetViews>
  <sheetFormatPr defaultRowHeight="14.5" x14ac:dyDescent="0.35"/>
  <cols>
    <col min="2" max="3" width="9.36328125" bestFit="1" customWidth="1"/>
    <col min="4" max="4" width="5.6328125" customWidth="1"/>
    <col min="5" max="5" width="9.36328125" bestFit="1" customWidth="1"/>
    <col min="6" max="6" width="5.6328125" customWidth="1"/>
    <col min="7" max="7" width="9.36328125" bestFit="1" customWidth="1"/>
    <col min="8" max="8" width="5.6328125" customWidth="1"/>
    <col min="9" max="9" width="9.36328125" bestFit="1" customWidth="1"/>
    <col min="10" max="10" width="5.6328125" customWidth="1"/>
    <col min="11" max="11" width="9.36328125" bestFit="1" customWidth="1"/>
    <col min="12" max="12" width="5.6328125" customWidth="1"/>
    <col min="13" max="13" width="9.36328125" bestFit="1" customWidth="1"/>
    <col min="14" max="14" width="5.6328125" customWidth="1"/>
    <col min="15" max="15" width="9.36328125" bestFit="1" customWidth="1"/>
    <col min="16" max="16" width="5.6328125" customWidth="1"/>
    <col min="17" max="17" width="9.36328125" bestFit="1" customWidth="1"/>
    <col min="18" max="18" width="5.6328125" customWidth="1"/>
    <col min="19" max="19" width="9.36328125" bestFit="1" customWidth="1"/>
    <col min="20" max="20" width="5.6328125" customWidth="1"/>
    <col min="21" max="21" width="9.36328125" bestFit="1" customWidth="1"/>
    <col min="22" max="22" width="5.6328125" customWidth="1"/>
    <col min="23" max="23" width="9.36328125" bestFit="1" customWidth="1"/>
    <col min="24" max="24" width="5.6328125" customWidth="1"/>
    <col min="25" max="25" width="9.36328125" bestFit="1" customWidth="1"/>
    <col min="26" max="26" width="5.6328125" customWidth="1"/>
    <col min="27" max="27" width="12.36328125" customWidth="1"/>
    <col min="28" max="28" width="5.6328125" customWidth="1"/>
  </cols>
  <sheetData>
    <row r="1" spans="1:28" ht="20" x14ac:dyDescent="0.4">
      <c r="A1" s="55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20" x14ac:dyDescent="0.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35">
      <c r="A3" s="3" t="s">
        <v>5</v>
      </c>
      <c r="B3" s="4">
        <v>44166</v>
      </c>
      <c r="C3" s="4">
        <v>44197</v>
      </c>
      <c r="D3" s="4" t="s">
        <v>9</v>
      </c>
      <c r="E3" s="4">
        <v>44228</v>
      </c>
      <c r="F3" s="4" t="s">
        <v>9</v>
      </c>
      <c r="G3" s="4">
        <v>44256</v>
      </c>
      <c r="H3" s="4" t="s">
        <v>9</v>
      </c>
      <c r="I3" s="4">
        <v>44287</v>
      </c>
      <c r="J3" s="4" t="s">
        <v>9</v>
      </c>
      <c r="K3" s="4">
        <v>44317</v>
      </c>
      <c r="L3" s="4" t="s">
        <v>9</v>
      </c>
      <c r="M3" s="4">
        <v>44348</v>
      </c>
      <c r="N3" s="4" t="s">
        <v>9</v>
      </c>
      <c r="O3" s="4">
        <v>44378</v>
      </c>
      <c r="P3" s="4" t="s">
        <v>9</v>
      </c>
      <c r="Q3" s="4">
        <v>44409</v>
      </c>
      <c r="R3" s="4" t="s">
        <v>9</v>
      </c>
      <c r="S3" s="4">
        <v>44440</v>
      </c>
      <c r="T3" s="4" t="s">
        <v>9</v>
      </c>
      <c r="U3" s="4">
        <v>44470</v>
      </c>
      <c r="V3" s="4" t="s">
        <v>9</v>
      </c>
      <c r="W3" s="4">
        <v>44501</v>
      </c>
      <c r="X3" s="4" t="s">
        <v>9</v>
      </c>
      <c r="Y3" s="4">
        <v>44531</v>
      </c>
      <c r="Z3" s="4" t="s">
        <v>9</v>
      </c>
      <c r="AA3" s="4" t="s">
        <v>41</v>
      </c>
      <c r="AB3" s="3" t="s">
        <v>11</v>
      </c>
    </row>
    <row r="4" spans="1:28" x14ac:dyDescent="0.35">
      <c r="A4" s="3" t="s">
        <v>0</v>
      </c>
      <c r="B4" s="29">
        <v>813540.51</v>
      </c>
      <c r="C4" s="29">
        <v>965136.4</v>
      </c>
      <c r="D4" s="24">
        <f>C4/B4-1</f>
        <v>0.18634092357613508</v>
      </c>
      <c r="E4" s="29">
        <v>793295.37</v>
      </c>
      <c r="F4" s="24">
        <f>E4/C4-1</f>
        <v>-0.17804843957807415</v>
      </c>
      <c r="G4" s="29">
        <v>797558.33</v>
      </c>
      <c r="H4" s="24">
        <f>G4/E4-1</f>
        <v>5.3737361406760442E-3</v>
      </c>
      <c r="I4" s="29">
        <v>1114625.05</v>
      </c>
      <c r="J4" s="24">
        <f>I4/G4-1</f>
        <v>0.39754674745858409</v>
      </c>
      <c r="K4" s="29">
        <v>1073041.1000000001</v>
      </c>
      <c r="L4" s="24">
        <f>K4/I4-1</f>
        <v>-3.7307568136926372E-2</v>
      </c>
      <c r="M4" s="29">
        <v>930470.34</v>
      </c>
      <c r="N4" s="24">
        <f>M4/K4-1</f>
        <v>-0.13286607567967357</v>
      </c>
      <c r="O4" s="29">
        <v>1093516.93</v>
      </c>
      <c r="P4" s="24">
        <f>O4/M4-1</f>
        <v>0.17523029267112378</v>
      </c>
      <c r="Q4" s="29">
        <v>961306.19</v>
      </c>
      <c r="R4" s="24">
        <f>Q4/O4-1</f>
        <v>-0.12090415463435034</v>
      </c>
      <c r="S4" s="29">
        <v>1043577.61</v>
      </c>
      <c r="T4" s="24">
        <f>S4/Q4-1</f>
        <v>8.5582950422903314E-2</v>
      </c>
      <c r="U4" s="29">
        <v>1032702.15</v>
      </c>
      <c r="V4" s="24">
        <f>U4/S4-1</f>
        <v>-1.0421323623453382E-2</v>
      </c>
      <c r="W4" s="29">
        <v>1036321.42</v>
      </c>
      <c r="X4" s="24">
        <f>W4/U4-1</f>
        <v>3.5046600803532169E-3</v>
      </c>
      <c r="Y4" s="29">
        <v>994957.89</v>
      </c>
      <c r="Z4" s="24">
        <f>Y4/W4-1</f>
        <v>-3.991380396248112E-2</v>
      </c>
      <c r="AA4" s="42">
        <f>C4+E4+G4+I4+K4+M4+O4+Q4+S4+U4+W4+Y4</f>
        <v>11836508.779999999</v>
      </c>
      <c r="AB4" s="8">
        <f>AA4/$AA$8</f>
        <v>0.41671898082306302</v>
      </c>
    </row>
    <row r="5" spans="1:28" x14ac:dyDescent="0.35">
      <c r="A5" s="3" t="s">
        <v>2</v>
      </c>
      <c r="B5" s="29">
        <v>745930</v>
      </c>
      <c r="C5" s="29">
        <v>934697.87</v>
      </c>
      <c r="D5" s="24">
        <f t="shared" ref="D5:D7" si="0">C5/B5-1</f>
        <v>0.2530637861461531</v>
      </c>
      <c r="E5" s="29">
        <v>800427.68</v>
      </c>
      <c r="F5" s="24">
        <f t="shared" ref="F5:F8" si="1">E5/C5-1</f>
        <v>-0.14365089972870049</v>
      </c>
      <c r="G5" s="29">
        <v>1248568.79</v>
      </c>
      <c r="H5" s="24">
        <f t="shared" ref="H5:H8" si="2">G5/E5-1</f>
        <v>0.55987707721452096</v>
      </c>
      <c r="I5" s="29">
        <v>1190424.18</v>
      </c>
      <c r="J5" s="24">
        <f t="shared" ref="J5:J8" si="3">I5/G5-1</f>
        <v>-4.656900802397923E-2</v>
      </c>
      <c r="K5" s="29">
        <v>1107144.68</v>
      </c>
      <c r="L5" s="24">
        <f t="shared" ref="L5:L8" si="4">K5/I5-1</f>
        <v>-6.9957836373921722E-2</v>
      </c>
      <c r="M5" s="29">
        <v>1441360.51</v>
      </c>
      <c r="N5" s="24">
        <f t="shared" ref="N5:N8" si="5">M5/K5-1</f>
        <v>0.30187186556322532</v>
      </c>
      <c r="O5" s="29">
        <v>1440615.66</v>
      </c>
      <c r="P5" s="24">
        <f t="shared" ref="P5:P8" si="6">O5/M5-1</f>
        <v>-5.1676870209249604E-4</v>
      </c>
      <c r="Q5" s="29">
        <v>1297483.57</v>
      </c>
      <c r="R5" s="24">
        <f t="shared" ref="R5:R8" si="7">Q5/O5-1</f>
        <v>-9.9354806402701334E-2</v>
      </c>
      <c r="S5" s="29">
        <v>1381316.79</v>
      </c>
      <c r="T5" s="24">
        <f t="shared" ref="T5:T8" si="8">S5/Q5-1</f>
        <v>6.4612163065771888E-2</v>
      </c>
      <c r="U5" s="29">
        <v>1228203.56</v>
      </c>
      <c r="V5" s="24">
        <f t="shared" ref="V5:V8" si="9">U5/S5-1</f>
        <v>-0.11084584731645808</v>
      </c>
      <c r="W5" s="29">
        <v>1169143.8700000001</v>
      </c>
      <c r="X5" s="24">
        <f t="shared" ref="X5:X8" si="10">W5/U5-1</f>
        <v>-4.8086239059590419E-2</v>
      </c>
      <c r="Y5" s="29">
        <v>1095046.6000000001</v>
      </c>
      <c r="Z5" s="24">
        <f t="shared" ref="Z5:Z8" si="11">Y5/W5-1</f>
        <v>-6.337737544653077E-2</v>
      </c>
      <c r="AA5" s="42">
        <f>C5+E5+G5+I5+K5+M5+O5+Q5+S5+U5+W5+Y5</f>
        <v>14334433.76</v>
      </c>
      <c r="AB5" s="8">
        <f t="shared" ref="AB5:AB8" si="12">AA5/$AA$8</f>
        <v>0.50466152969329414</v>
      </c>
    </row>
    <row r="6" spans="1:28" x14ac:dyDescent="0.35">
      <c r="A6" s="3" t="s">
        <v>1</v>
      </c>
      <c r="B6" s="29">
        <v>130372</v>
      </c>
      <c r="C6" s="29">
        <v>161380.35</v>
      </c>
      <c r="D6" s="24">
        <f t="shared" si="0"/>
        <v>0.23784516613996876</v>
      </c>
      <c r="E6" s="29">
        <v>137406.76</v>
      </c>
      <c r="F6" s="24">
        <f t="shared" si="1"/>
        <v>-0.14855333998222209</v>
      </c>
      <c r="G6" s="29">
        <v>161131.68</v>
      </c>
      <c r="H6" s="24">
        <f t="shared" si="2"/>
        <v>0.17266195636954085</v>
      </c>
      <c r="I6" s="29">
        <v>166551.09</v>
      </c>
      <c r="J6" s="24">
        <f t="shared" si="3"/>
        <v>3.3633423297020126E-2</v>
      </c>
      <c r="K6" s="29">
        <v>181922.53</v>
      </c>
      <c r="L6" s="24">
        <f t="shared" si="4"/>
        <v>9.2292641255004693E-2</v>
      </c>
      <c r="M6" s="29">
        <v>172514.05</v>
      </c>
      <c r="N6" s="24">
        <f t="shared" si="5"/>
        <v>-5.1716958861555029E-2</v>
      </c>
      <c r="O6" s="29">
        <v>195118.73</v>
      </c>
      <c r="P6" s="24">
        <f t="shared" si="6"/>
        <v>0.13103095081241212</v>
      </c>
      <c r="Q6" s="29">
        <v>213427.14</v>
      </c>
      <c r="R6" s="24">
        <f t="shared" si="7"/>
        <v>9.3832150301511374E-2</v>
      </c>
      <c r="S6" s="29">
        <v>177491.55</v>
      </c>
      <c r="T6" s="24">
        <f t="shared" si="8"/>
        <v>-0.16837404090220209</v>
      </c>
      <c r="U6" s="29">
        <v>209717.57</v>
      </c>
      <c r="V6" s="24">
        <f t="shared" si="9"/>
        <v>0.18156368570785486</v>
      </c>
      <c r="W6" s="29">
        <v>213178.64</v>
      </c>
      <c r="X6" s="24">
        <f t="shared" si="10"/>
        <v>1.6503481324907643E-2</v>
      </c>
      <c r="Y6" s="29">
        <v>221462.19</v>
      </c>
      <c r="Z6" s="24">
        <f t="shared" si="11"/>
        <v>3.8857317037016337E-2</v>
      </c>
      <c r="AA6" s="42">
        <f>C6+E6+G6+I6+K6+M6+O6+Q6+S6+U6+W6+Y6</f>
        <v>2211302.2800000003</v>
      </c>
      <c r="AB6" s="8">
        <f t="shared" si="12"/>
        <v>7.7851641015157139E-2</v>
      </c>
    </row>
    <row r="7" spans="1:28" x14ac:dyDescent="0.35">
      <c r="A7" s="3" t="s">
        <v>3</v>
      </c>
      <c r="B7" s="29">
        <v>1567.77</v>
      </c>
      <c r="C7" s="29">
        <v>680.61</v>
      </c>
      <c r="D7" s="24">
        <f t="shared" si="0"/>
        <v>-0.56587382077728243</v>
      </c>
      <c r="E7" s="29">
        <v>530.42999999999995</v>
      </c>
      <c r="F7" s="24">
        <f t="shared" si="1"/>
        <v>-0.22065500066117172</v>
      </c>
      <c r="G7" s="29">
        <v>2170.7600000000002</v>
      </c>
      <c r="H7" s="24">
        <f t="shared" si="2"/>
        <v>3.0924532926116557</v>
      </c>
      <c r="I7" s="29">
        <v>0</v>
      </c>
      <c r="J7" s="24">
        <f t="shared" si="3"/>
        <v>-1</v>
      </c>
      <c r="K7" s="29">
        <v>2538.06</v>
      </c>
      <c r="L7" s="24" t="e">
        <f t="shared" si="4"/>
        <v>#DIV/0!</v>
      </c>
      <c r="M7" s="29">
        <v>2703.33</v>
      </c>
      <c r="N7" s="24">
        <f t="shared" si="5"/>
        <v>6.5116663908654671E-2</v>
      </c>
      <c r="O7" s="29">
        <v>3129.4</v>
      </c>
      <c r="P7" s="24">
        <f t="shared" si="6"/>
        <v>0.15760931887708862</v>
      </c>
      <c r="Q7" s="29">
        <v>3311.69</v>
      </c>
      <c r="R7" s="24">
        <f t="shared" si="7"/>
        <v>5.8250782897680153E-2</v>
      </c>
      <c r="S7" s="29">
        <v>2590.91</v>
      </c>
      <c r="T7" s="24">
        <f t="shared" si="8"/>
        <v>-0.21764718316025966</v>
      </c>
      <c r="U7" s="29">
        <v>2199.66</v>
      </c>
      <c r="V7" s="24">
        <f t="shared" si="9"/>
        <v>-0.15100871894430912</v>
      </c>
      <c r="W7" s="29">
        <v>475</v>
      </c>
      <c r="X7" s="24">
        <f t="shared" si="10"/>
        <v>-0.78405753616467999</v>
      </c>
      <c r="Y7" s="29">
        <v>1480.16</v>
      </c>
      <c r="Z7" s="24">
        <f t="shared" si="11"/>
        <v>2.1161263157894741</v>
      </c>
      <c r="AA7" s="42">
        <f>C7+E7+G7+I7+K7+M7+O7+Q7+S7+U7+W7+Y7</f>
        <v>21810.010000000002</v>
      </c>
      <c r="AB7" s="8">
        <f t="shared" si="12"/>
        <v>7.6784846848572299E-4</v>
      </c>
    </row>
    <row r="8" spans="1:28" x14ac:dyDescent="0.35">
      <c r="A8" s="3" t="s">
        <v>7</v>
      </c>
      <c r="B8" s="30">
        <v>1691410.25</v>
      </c>
      <c r="C8" s="30">
        <f>SUM(C4:C7)</f>
        <v>2061895.2300000002</v>
      </c>
      <c r="D8" s="24">
        <f t="shared" ref="D8" si="13">C8/B8-1</f>
        <v>0.21903910065579901</v>
      </c>
      <c r="E8" s="30">
        <f>SUM(E4:E7)</f>
        <v>1731660.24</v>
      </c>
      <c r="F8" s="24">
        <f t="shared" si="1"/>
        <v>-0.16016089721493765</v>
      </c>
      <c r="G8" s="30">
        <f>SUM(G4:G7)</f>
        <v>2209429.56</v>
      </c>
      <c r="H8" s="24">
        <f t="shared" si="2"/>
        <v>0.27590245994214202</v>
      </c>
      <c r="I8" s="30">
        <f>SUM(I4:I7)</f>
        <v>2471600.3199999998</v>
      </c>
      <c r="J8" s="24">
        <f t="shared" si="3"/>
        <v>0.1186599313897112</v>
      </c>
      <c r="K8" s="30">
        <f>SUM(K4:K7)</f>
        <v>2364646.37</v>
      </c>
      <c r="L8" s="24">
        <f t="shared" si="4"/>
        <v>-4.327315753058314E-2</v>
      </c>
      <c r="M8" s="30">
        <f>SUM(M4:M7)</f>
        <v>2547048.23</v>
      </c>
      <c r="N8" s="24">
        <f t="shared" si="5"/>
        <v>7.7137056227143175E-2</v>
      </c>
      <c r="O8" s="30">
        <f>SUM(O4:O7)</f>
        <v>2732380.7199999997</v>
      </c>
      <c r="P8" s="24">
        <f t="shared" si="6"/>
        <v>7.2763635889218969E-2</v>
      </c>
      <c r="Q8" s="30">
        <f>SUM(Q4:Q7)</f>
        <v>2475528.59</v>
      </c>
      <c r="R8" s="24">
        <f t="shared" si="7"/>
        <v>-9.4003053132361458E-2</v>
      </c>
      <c r="S8" s="30">
        <f>SUM(S4:S7)</f>
        <v>2604976.86</v>
      </c>
      <c r="T8" s="24">
        <f t="shared" si="8"/>
        <v>5.2291163399571072E-2</v>
      </c>
      <c r="U8" s="30">
        <f>SUM(U4:U7)</f>
        <v>2472822.94</v>
      </c>
      <c r="V8" s="24">
        <f t="shared" si="9"/>
        <v>-5.0731322043298333E-2</v>
      </c>
      <c r="W8" s="30">
        <f>SUM(W4:W7)</f>
        <v>2419118.9300000002</v>
      </c>
      <c r="X8" s="24">
        <f t="shared" si="10"/>
        <v>-2.171769322068795E-2</v>
      </c>
      <c r="Y8" s="30">
        <f>SUM(Y4:Y7)</f>
        <v>2312946.8400000003</v>
      </c>
      <c r="Z8" s="24">
        <f t="shared" si="11"/>
        <v>-4.3888743411221953E-2</v>
      </c>
      <c r="AA8" s="42">
        <f>C8+E8+G8+I8+K8+M8+O8+Q8+S8+U8+W8+Y8</f>
        <v>28404054.829999998</v>
      </c>
      <c r="AB8" s="46">
        <f t="shared" si="12"/>
        <v>1</v>
      </c>
    </row>
    <row r="9" spans="1:2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5">
      <c r="A10" s="3" t="s">
        <v>4</v>
      </c>
      <c r="B10" s="4">
        <v>44166</v>
      </c>
      <c r="C10" s="4">
        <v>44197</v>
      </c>
      <c r="D10" s="4" t="s">
        <v>9</v>
      </c>
      <c r="E10" s="4">
        <v>44228</v>
      </c>
      <c r="F10" s="4" t="s">
        <v>9</v>
      </c>
      <c r="G10" s="4">
        <v>44256</v>
      </c>
      <c r="H10" s="4" t="s">
        <v>9</v>
      </c>
      <c r="I10" s="4">
        <v>44287</v>
      </c>
      <c r="J10" s="4" t="s">
        <v>9</v>
      </c>
      <c r="K10" s="4">
        <v>44317</v>
      </c>
      <c r="L10" s="4" t="s">
        <v>9</v>
      </c>
      <c r="M10" s="4">
        <v>44348</v>
      </c>
      <c r="N10" s="4" t="s">
        <v>9</v>
      </c>
      <c r="O10" s="4">
        <v>44378</v>
      </c>
      <c r="P10" s="4" t="s">
        <v>9</v>
      </c>
      <c r="Q10" s="4">
        <v>44409</v>
      </c>
      <c r="R10" s="4" t="s">
        <v>9</v>
      </c>
      <c r="S10" s="4">
        <v>44440</v>
      </c>
      <c r="T10" s="4" t="s">
        <v>9</v>
      </c>
      <c r="U10" s="4">
        <v>44470</v>
      </c>
      <c r="V10" s="4" t="s">
        <v>9</v>
      </c>
      <c r="W10" s="4">
        <v>44501</v>
      </c>
      <c r="X10" s="4" t="s">
        <v>9</v>
      </c>
      <c r="Y10" s="4">
        <v>44531</v>
      </c>
      <c r="Z10" s="4" t="s">
        <v>9</v>
      </c>
      <c r="AA10" s="43" t="s">
        <v>42</v>
      </c>
      <c r="AB10" s="3" t="s">
        <v>11</v>
      </c>
    </row>
    <row r="11" spans="1:28" x14ac:dyDescent="0.35">
      <c r="A11" s="3" t="s">
        <v>0</v>
      </c>
      <c r="B11" s="23">
        <v>10636377</v>
      </c>
      <c r="C11" s="23">
        <v>12890101</v>
      </c>
      <c r="D11" s="24">
        <f>C11/B11-1</f>
        <v>0.21188831497792915</v>
      </c>
      <c r="E11" s="23">
        <v>9793686</v>
      </c>
      <c r="F11" s="24">
        <f>E11/C11-1</f>
        <v>-0.2402165041220391</v>
      </c>
      <c r="G11" s="23">
        <v>9284456</v>
      </c>
      <c r="H11" s="24">
        <f>G11/E11-1</f>
        <v>-5.1995745013675099E-2</v>
      </c>
      <c r="I11" s="23">
        <v>12882534</v>
      </c>
      <c r="J11" s="24">
        <f>I11/G11-1</f>
        <v>0.38753783743495585</v>
      </c>
      <c r="K11" s="23">
        <v>11997457</v>
      </c>
      <c r="L11" s="24">
        <f>K11/I11-1</f>
        <v>-6.8703641690369355E-2</v>
      </c>
      <c r="M11" s="23">
        <v>10478418</v>
      </c>
      <c r="N11" s="24">
        <f>M11/K11-1</f>
        <v>-0.12661341482615862</v>
      </c>
      <c r="O11" s="23">
        <v>11291584</v>
      </c>
      <c r="P11" s="24">
        <f>O11/M11-1</f>
        <v>7.7603890205563575E-2</v>
      </c>
      <c r="Q11" s="23">
        <v>10309445</v>
      </c>
      <c r="R11" s="24">
        <f>Q11/O11-1</f>
        <v>-8.6979736412535202E-2</v>
      </c>
      <c r="S11" s="23">
        <v>11501537</v>
      </c>
      <c r="T11" s="24">
        <f>S11/Q11-1</f>
        <v>0.11563105482399871</v>
      </c>
      <c r="U11" s="23">
        <v>10897209</v>
      </c>
      <c r="V11" s="24">
        <f>U11/S11-1</f>
        <v>-5.2543238351535071E-2</v>
      </c>
      <c r="W11" s="23">
        <v>11123332</v>
      </c>
      <c r="X11" s="24">
        <f>W11/U11-1</f>
        <v>2.075054263894538E-2</v>
      </c>
      <c r="Y11" s="23">
        <v>10424242</v>
      </c>
      <c r="Z11" s="24">
        <f>Y11/W11-1</f>
        <v>-6.284897367083897E-2</v>
      </c>
      <c r="AA11" s="44">
        <f>+C11+E11+G11+I11+K11+M11+O11+Q11+S11+U11+W11+Y11</f>
        <v>132874001</v>
      </c>
      <c r="AB11" s="8">
        <f>AA11/$AA$15</f>
        <v>0.40958565730959134</v>
      </c>
    </row>
    <row r="12" spans="1:28" x14ac:dyDescent="0.35">
      <c r="A12" s="3" t="s">
        <v>2</v>
      </c>
      <c r="B12" s="23">
        <v>10605104</v>
      </c>
      <c r="C12" s="23">
        <v>13264247.52</v>
      </c>
      <c r="D12" s="24">
        <f t="shared" ref="D12:D15" si="14">C12/B12-1</f>
        <v>0.25074186165453916</v>
      </c>
      <c r="E12" s="23">
        <v>10590519.970000001</v>
      </c>
      <c r="F12" s="24">
        <f t="shared" ref="F12:F15" si="15">E12/C12-1</f>
        <v>-0.20157400907729739</v>
      </c>
      <c r="G12" s="23">
        <v>15903188.039999999</v>
      </c>
      <c r="H12" s="24">
        <f t="shared" ref="H12:H15" si="16">G12/E12-1</f>
        <v>0.50164374223827624</v>
      </c>
      <c r="I12" s="23">
        <v>14303973.26</v>
      </c>
      <c r="J12" s="24">
        <f t="shared" ref="J12:J15" si="17">I12/G12-1</f>
        <v>-0.10055938318641666</v>
      </c>
      <c r="K12" s="23">
        <v>12834396.67</v>
      </c>
      <c r="L12" s="24">
        <f t="shared" ref="L12:L15" si="18">K12/I12-1</f>
        <v>-0.10273904762598807</v>
      </c>
      <c r="M12" s="23">
        <v>16026936.130000001</v>
      </c>
      <c r="N12" s="24">
        <f t="shared" ref="N12:N15" si="19">M12/K12-1</f>
        <v>0.2487486979004212</v>
      </c>
      <c r="O12" s="23">
        <v>14977557.48</v>
      </c>
      <c r="P12" s="24">
        <f t="shared" ref="P12:P15" si="20">O12/M12-1</f>
        <v>-6.5475936354155828E-2</v>
      </c>
      <c r="Q12" s="23">
        <v>14322573.98</v>
      </c>
      <c r="R12" s="24">
        <f t="shared" ref="R12:R15" si="21">Q12/O12-1</f>
        <v>-4.3730995582865861E-2</v>
      </c>
      <c r="S12" s="23">
        <v>15103938.23</v>
      </c>
      <c r="T12" s="24">
        <f t="shared" ref="T12:T15" si="22">S12/Q12-1</f>
        <v>5.4554736536260418E-2</v>
      </c>
      <c r="U12" s="23">
        <v>13679709.16</v>
      </c>
      <c r="V12" s="24">
        <f t="shared" ref="V12:V15" si="23">U12/S12-1</f>
        <v>-9.429521283205089E-2</v>
      </c>
      <c r="W12" s="23">
        <v>12439767.67</v>
      </c>
      <c r="X12" s="24">
        <f t="shared" ref="X12:X15" si="24">W12/U12-1</f>
        <v>-9.0640924854282545E-2</v>
      </c>
      <c r="Y12" s="23">
        <v>12126280.07</v>
      </c>
      <c r="Z12" s="24">
        <f t="shared" ref="Z12:Z15" si="25">Y12/W12-1</f>
        <v>-2.520043849018283E-2</v>
      </c>
      <c r="AA12" s="44">
        <f t="shared" ref="AA12:AA15" si="26">+C12+E12+G12+I12+K12+M12+O12+Q12+S12+U12+W12+Y12</f>
        <v>165573088.18000001</v>
      </c>
      <c r="AB12" s="8">
        <f t="shared" ref="AB12:AB15" si="27">AA12/$AA$15</f>
        <v>0.51038097479268529</v>
      </c>
    </row>
    <row r="13" spans="1:28" x14ac:dyDescent="0.35">
      <c r="A13" s="3" t="s">
        <v>1</v>
      </c>
      <c r="B13" s="23">
        <v>1762854</v>
      </c>
      <c r="C13" s="23">
        <v>2063662</v>
      </c>
      <c r="D13" s="24">
        <f t="shared" si="14"/>
        <v>0.17063693306422434</v>
      </c>
      <c r="E13" s="23">
        <v>1949712</v>
      </c>
      <c r="F13" s="24">
        <f t="shared" si="15"/>
        <v>-5.521737571365859E-2</v>
      </c>
      <c r="G13" s="23">
        <v>2091965</v>
      </c>
      <c r="H13" s="24">
        <f t="shared" si="16"/>
        <v>7.2961032193472608E-2</v>
      </c>
      <c r="I13" s="23">
        <v>1963075</v>
      </c>
      <c r="J13" s="24">
        <f t="shared" si="17"/>
        <v>-6.1611929453886605E-2</v>
      </c>
      <c r="K13" s="23">
        <v>2066808</v>
      </c>
      <c r="L13" s="24">
        <f t="shared" si="18"/>
        <v>5.2842097219922834E-2</v>
      </c>
      <c r="M13" s="23">
        <v>1992005</v>
      </c>
      <c r="N13" s="24">
        <f t="shared" si="19"/>
        <v>-3.6192524898297274E-2</v>
      </c>
      <c r="O13" s="23">
        <v>1979280</v>
      </c>
      <c r="P13" s="24">
        <f t="shared" si="20"/>
        <v>-6.3880361746080361E-3</v>
      </c>
      <c r="Q13" s="23">
        <v>2244377</v>
      </c>
      <c r="R13" s="24">
        <f t="shared" si="21"/>
        <v>0.1339360777656522</v>
      </c>
      <c r="S13" s="23">
        <v>1745535</v>
      </c>
      <c r="T13" s="24">
        <f t="shared" si="22"/>
        <v>-0.22226301552724881</v>
      </c>
      <c r="U13" s="23">
        <v>2200014</v>
      </c>
      <c r="V13" s="24">
        <f t="shared" si="23"/>
        <v>0.26036659247737792</v>
      </c>
      <c r="W13" s="23">
        <v>2233895</v>
      </c>
      <c r="X13" s="24">
        <f t="shared" si="24"/>
        <v>1.5400356543185723E-2</v>
      </c>
      <c r="Y13" s="23">
        <v>1958808</v>
      </c>
      <c r="Z13" s="24">
        <f t="shared" si="25"/>
        <v>-0.12314231420903843</v>
      </c>
      <c r="AA13" s="44">
        <f t="shared" si="26"/>
        <v>24489136</v>
      </c>
      <c r="AB13" s="8">
        <f t="shared" si="27"/>
        <v>7.5488047247888448E-2</v>
      </c>
    </row>
    <row r="14" spans="1:28" x14ac:dyDescent="0.35">
      <c r="A14" s="3" t="s">
        <v>3</v>
      </c>
      <c r="B14" s="23">
        <v>119054</v>
      </c>
      <c r="C14" s="23">
        <v>36433</v>
      </c>
      <c r="D14" s="24">
        <f t="shared" si="14"/>
        <v>-0.69397920271473446</v>
      </c>
      <c r="E14" s="23">
        <v>37925</v>
      </c>
      <c r="F14" s="24">
        <f t="shared" si="15"/>
        <v>4.0951884280734596E-2</v>
      </c>
      <c r="G14" s="23">
        <v>152485</v>
      </c>
      <c r="H14" s="24">
        <f t="shared" si="16"/>
        <v>3.0206987475280158</v>
      </c>
      <c r="I14" s="23">
        <v>0</v>
      </c>
      <c r="J14" s="24">
        <f t="shared" si="17"/>
        <v>-1</v>
      </c>
      <c r="K14" s="23">
        <v>196742</v>
      </c>
      <c r="L14" s="24" t="e">
        <f t="shared" si="18"/>
        <v>#DIV/0!</v>
      </c>
      <c r="M14" s="23">
        <v>151388</v>
      </c>
      <c r="N14" s="24">
        <f t="shared" si="19"/>
        <v>-0.23052525642719912</v>
      </c>
      <c r="O14" s="23">
        <v>167993</v>
      </c>
      <c r="P14" s="24">
        <f t="shared" si="20"/>
        <v>0.10968504769202325</v>
      </c>
      <c r="Q14" s="23">
        <v>243560</v>
      </c>
      <c r="R14" s="24">
        <f t="shared" si="21"/>
        <v>0.44982231402498907</v>
      </c>
      <c r="S14" s="23">
        <v>204618</v>
      </c>
      <c r="T14" s="24">
        <f t="shared" si="22"/>
        <v>-0.15988668089998359</v>
      </c>
      <c r="U14" s="23">
        <v>162258</v>
      </c>
      <c r="V14" s="24">
        <f t="shared" si="23"/>
        <v>-0.20701991027182365</v>
      </c>
      <c r="W14" s="23">
        <v>39560</v>
      </c>
      <c r="X14" s="24">
        <f t="shared" si="24"/>
        <v>-0.75619075792873081</v>
      </c>
      <c r="Y14" s="23">
        <v>81589</v>
      </c>
      <c r="Z14" s="24">
        <f t="shared" si="25"/>
        <v>1.062411526794742</v>
      </c>
      <c r="AA14" s="44">
        <f t="shared" si="26"/>
        <v>1474551</v>
      </c>
      <c r="AB14" s="8">
        <f t="shared" si="27"/>
        <v>4.5453206498351417E-3</v>
      </c>
    </row>
    <row r="15" spans="1:28" x14ac:dyDescent="0.35">
      <c r="A15" s="3" t="s">
        <v>7</v>
      </c>
      <c r="B15" s="25">
        <v>23123388.759999998</v>
      </c>
      <c r="C15" s="25">
        <f>SUM(C11:C14)</f>
        <v>28254443.52</v>
      </c>
      <c r="D15" s="24">
        <f t="shared" si="14"/>
        <v>0.22189890994160666</v>
      </c>
      <c r="E15" s="25">
        <f>SUM(E11:E14)</f>
        <v>22371842.969999999</v>
      </c>
      <c r="F15" s="24">
        <f t="shared" si="15"/>
        <v>-0.20820089929698959</v>
      </c>
      <c r="G15" s="25">
        <f>SUM(G11:G14)</f>
        <v>27432094.039999999</v>
      </c>
      <c r="H15" s="24">
        <f t="shared" si="16"/>
        <v>0.22618838674961439</v>
      </c>
      <c r="I15" s="25">
        <f>SUM(I11:I14)</f>
        <v>29149582.259999998</v>
      </c>
      <c r="J15" s="24">
        <f t="shared" si="17"/>
        <v>6.2608717274578174E-2</v>
      </c>
      <c r="K15" s="25">
        <f>SUM(K11:K14)</f>
        <v>27095403.670000002</v>
      </c>
      <c r="L15" s="24">
        <f t="shared" si="18"/>
        <v>-7.0470258258856999E-2</v>
      </c>
      <c r="M15" s="25">
        <f>SUM(M11:M14)</f>
        <v>28648747.130000003</v>
      </c>
      <c r="N15" s="24">
        <f t="shared" si="19"/>
        <v>5.7328670165555096E-2</v>
      </c>
      <c r="O15" s="25">
        <f>SUM(O11:O14)</f>
        <v>28416414.48</v>
      </c>
      <c r="P15" s="24">
        <f t="shared" si="20"/>
        <v>-8.1096966979303797E-3</v>
      </c>
      <c r="Q15" s="25">
        <f>SUM(Q11:Q14)</f>
        <v>27119955.98</v>
      </c>
      <c r="R15" s="24">
        <f t="shared" si="21"/>
        <v>-4.562357791171967E-2</v>
      </c>
      <c r="S15" s="25">
        <f>SUM(S11:S14)</f>
        <v>28555628.23</v>
      </c>
      <c r="T15" s="24">
        <f t="shared" si="22"/>
        <v>5.2937853256795675E-2</v>
      </c>
      <c r="U15" s="25">
        <f>SUM(U11:U14)</f>
        <v>26939190.16</v>
      </c>
      <c r="V15" s="24">
        <f t="shared" si="23"/>
        <v>-5.6606636596487125E-2</v>
      </c>
      <c r="W15" s="25">
        <f>SUM(W11:W14)</f>
        <v>25836554.670000002</v>
      </c>
      <c r="X15" s="24">
        <f t="shared" si="24"/>
        <v>-4.093053590145479E-2</v>
      </c>
      <c r="Y15" s="25">
        <f>SUM(Y11:Y14)</f>
        <v>24590919.07</v>
      </c>
      <c r="Z15" s="24">
        <f t="shared" si="25"/>
        <v>-4.8212140353464661E-2</v>
      </c>
      <c r="AA15" s="44">
        <f t="shared" si="26"/>
        <v>324410776.17999995</v>
      </c>
      <c r="AB15" s="46">
        <f t="shared" si="27"/>
        <v>1</v>
      </c>
    </row>
    <row r="16" spans="1:28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33"/>
      <c r="AB16" s="12"/>
    </row>
    <row r="17" spans="1:28" x14ac:dyDescent="0.3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33"/>
      <c r="AB17" s="12"/>
    </row>
    <row r="18" spans="1:28" x14ac:dyDescent="0.35">
      <c r="A18" s="3" t="s">
        <v>44</v>
      </c>
      <c r="B18" s="4">
        <v>44166</v>
      </c>
      <c r="C18" s="4">
        <v>44197</v>
      </c>
      <c r="D18" s="4" t="s">
        <v>9</v>
      </c>
      <c r="E18" s="36">
        <v>44228</v>
      </c>
      <c r="F18" s="36" t="s">
        <v>9</v>
      </c>
      <c r="G18" s="36">
        <v>44256</v>
      </c>
      <c r="H18" s="36" t="s">
        <v>9</v>
      </c>
      <c r="I18" s="36">
        <v>44287</v>
      </c>
      <c r="J18" s="36" t="s">
        <v>9</v>
      </c>
      <c r="K18" s="36">
        <v>44317</v>
      </c>
      <c r="L18" s="36" t="s">
        <v>9</v>
      </c>
      <c r="M18" s="36">
        <v>44348</v>
      </c>
      <c r="N18" s="36" t="s">
        <v>9</v>
      </c>
      <c r="O18" s="4">
        <v>44378</v>
      </c>
      <c r="P18" s="4" t="s">
        <v>9</v>
      </c>
      <c r="Q18" s="36">
        <v>44409</v>
      </c>
      <c r="R18" s="36" t="s">
        <v>9</v>
      </c>
      <c r="S18" s="36">
        <v>44440</v>
      </c>
      <c r="T18" s="36" t="s">
        <v>9</v>
      </c>
      <c r="U18" s="36">
        <v>44470</v>
      </c>
      <c r="V18" s="36" t="s">
        <v>9</v>
      </c>
      <c r="W18" s="36">
        <v>44501</v>
      </c>
      <c r="X18" s="36" t="s">
        <v>9</v>
      </c>
      <c r="Y18" s="49">
        <v>44531</v>
      </c>
      <c r="Z18" s="49" t="s">
        <v>9</v>
      </c>
      <c r="AA18" s="34" t="s">
        <v>43</v>
      </c>
      <c r="AB18" s="12"/>
    </row>
    <row r="19" spans="1:28" x14ac:dyDescent="0.35">
      <c r="A19" s="3" t="s">
        <v>0</v>
      </c>
      <c r="B19" s="26">
        <v>7.648661851681263</v>
      </c>
      <c r="C19" s="26">
        <f>C4/C11*100</f>
        <v>7.4874231008740741</v>
      </c>
      <c r="D19" s="24">
        <f>C19/B19-1</f>
        <v>-2.1080648345271902E-2</v>
      </c>
      <c r="E19" s="35">
        <f>E4/E11*100</f>
        <v>8.1000694733321037</v>
      </c>
      <c r="F19" s="27">
        <f>E19/C19-1</f>
        <v>8.1823394271189231E-2</v>
      </c>
      <c r="G19" s="35">
        <f>G4/G11*100</f>
        <v>8.5902537531547356</v>
      </c>
      <c r="H19" s="27">
        <f>G19/E19-1</f>
        <v>6.0516058712393406E-2</v>
      </c>
      <c r="I19" s="35">
        <f>I4/I11*100</f>
        <v>8.6522189656165462</v>
      </c>
      <c r="J19" s="27">
        <f>I19/G19-1</f>
        <v>7.2134321339523133E-3</v>
      </c>
      <c r="K19" s="35">
        <f>K4/K11*100</f>
        <v>8.9439045291014594</v>
      </c>
      <c r="L19" s="27">
        <f>K19/I19-1</f>
        <v>3.3712226267510692E-2</v>
      </c>
      <c r="M19" s="35">
        <f>M4/M11*100</f>
        <v>8.8798742329233278</v>
      </c>
      <c r="N19" s="27">
        <f>M19/K19-1</f>
        <v>-7.1590987996116295E-3</v>
      </c>
      <c r="O19" s="35">
        <f>O4/O11*100</f>
        <v>9.6843536743826188</v>
      </c>
      <c r="P19" s="27">
        <f>O19/M19-1</f>
        <v>9.059581480068446E-2</v>
      </c>
      <c r="Q19" s="35">
        <f>Q4/Q11*100</f>
        <v>9.324519312145318</v>
      </c>
      <c r="R19" s="27">
        <f>Q19/O19-1</f>
        <v>-3.7156259915325784E-2</v>
      </c>
      <c r="S19" s="35">
        <f>S4/S11*100</f>
        <v>9.0733752367183627</v>
      </c>
      <c r="T19" s="27">
        <f>S19/Q19-1</f>
        <v>-2.6933728916174404E-2</v>
      </c>
      <c r="U19" s="35">
        <f>U4/U11*100</f>
        <v>9.4767582231376863</v>
      </c>
      <c r="V19" s="27">
        <f>U19/S19-1</f>
        <v>4.4457875475810038E-2</v>
      </c>
      <c r="W19" s="35">
        <f>W4/W11*100</f>
        <v>9.3166455878508341</v>
      </c>
      <c r="X19" s="27">
        <f>W19/U19-1</f>
        <v>-1.6895295998576199E-2</v>
      </c>
      <c r="Y19" s="47">
        <f>Y4/Y11*100</f>
        <v>9.5446545657708253</v>
      </c>
      <c r="Z19" s="48">
        <f>Y19/W19-1</f>
        <v>2.4473290925364877E-2</v>
      </c>
      <c r="AA19" s="41">
        <f>(C19+E19+G19+I19+K19+M19+O19+Q19+S19+U19+W19+Y19)/12</f>
        <v>8.9228375545839906</v>
      </c>
      <c r="AB19" s="12"/>
    </row>
    <row r="20" spans="1:28" x14ac:dyDescent="0.35">
      <c r="A20" s="3" t="s">
        <v>2</v>
      </c>
      <c r="B20" s="26">
        <v>7.3954904943914812</v>
      </c>
      <c r="C20" s="26">
        <f t="shared" ref="C20:C23" si="28">C5/C12*100</f>
        <v>7.0467462899094029</v>
      </c>
      <c r="D20" s="24">
        <f t="shared" ref="D20:D23" si="29">C20/B20-1</f>
        <v>-4.7156331922345807E-2</v>
      </c>
      <c r="E20" s="35">
        <f t="shared" ref="E20:E23" si="30">E5/E12*100</f>
        <v>7.5579639363070852</v>
      </c>
      <c r="F20" s="27">
        <f t="shared" ref="F20:F23" si="31">E20/C20-1</f>
        <v>7.2546622989637211E-2</v>
      </c>
      <c r="G20" s="35">
        <f t="shared" ref="G20:G23" si="32">G5/G12*100</f>
        <v>7.8510597174577592</v>
      </c>
      <c r="H20" s="27">
        <f t="shared" ref="H20:H23" si="33">G20/E20-1</f>
        <v>3.8779727400218844E-2</v>
      </c>
      <c r="I20" s="35">
        <f t="shared" ref="I20:I23" si="34">I5/I12*100</f>
        <v>8.3223322524583629</v>
      </c>
      <c r="J20" s="27">
        <f t="shared" ref="J20:J23" si="35">I20/G20-1</f>
        <v>6.0026614490356511E-2</v>
      </c>
      <c r="K20" s="35">
        <f t="shared" ref="K20:K23" si="36">K5/K12*100</f>
        <v>8.6263866426063949</v>
      </c>
      <c r="L20" s="27">
        <f t="shared" ref="L20:L23" si="37">K20/I20-1</f>
        <v>3.6534757436320398E-2</v>
      </c>
      <c r="M20" s="35">
        <f t="shared" ref="M20:M23" si="38">M5/M12*100</f>
        <v>8.993362788175034</v>
      </c>
      <c r="N20" s="27">
        <f t="shared" ref="N20:N23" si="39">M20/K20-1</f>
        <v>4.2541119564026397E-2</v>
      </c>
      <c r="O20" s="35">
        <f t="shared" ref="O20:O23" si="40">O5/O12*100</f>
        <v>9.6184952848533474</v>
      </c>
      <c r="P20" s="27">
        <f t="shared" ref="P20:P23" si="41">O20/M20-1</f>
        <v>6.9510428012564018E-2</v>
      </c>
      <c r="Q20" s="35">
        <f t="shared" ref="Q20:Q23" si="42">Q5/Q12*100</f>
        <v>9.0590111233623389</v>
      </c>
      <c r="R20" s="27">
        <f t="shared" ref="R20:R23" si="43">Q20/O20-1</f>
        <v>-5.8167535037632279E-2</v>
      </c>
      <c r="S20" s="35">
        <f t="shared" ref="S20:S23" si="44">S5/S12*100</f>
        <v>9.1454080979778993</v>
      </c>
      <c r="T20" s="27">
        <f t="shared" ref="T20:T23" si="45">S20/Q20-1</f>
        <v>9.537130867711463E-3</v>
      </c>
      <c r="U20" s="35">
        <f t="shared" ref="U20:U23" si="46">U5/U12*100</f>
        <v>8.9782870793138994</v>
      </c>
      <c r="V20" s="27">
        <f t="shared" ref="V20:V23" si="47">U20/S20-1</f>
        <v>-1.8273762840714691E-2</v>
      </c>
      <c r="W20" s="35">
        <f t="shared" ref="W20:W23" si="48">W5/W12*100</f>
        <v>9.3984381462326798</v>
      </c>
      <c r="X20" s="27">
        <f t="shared" ref="X20:X23" si="49">W20/U20-1</f>
        <v>4.6796350262269248E-2</v>
      </c>
      <c r="Y20" s="47">
        <f t="shared" ref="Y20:Y23" si="50">Y5/Y12*100</f>
        <v>9.0303588048333765</v>
      </c>
      <c r="Z20" s="48">
        <f t="shared" ref="Z20:Z23" si="51">Y20/W20-1</f>
        <v>-3.9163884006285232E-2</v>
      </c>
      <c r="AA20" s="41">
        <f t="shared" ref="AA20:AA23" si="52">(C20+E20+G20+I20+K20+M20+O20+Q20+S20+U20+W20+Y20)/12</f>
        <v>8.635654180290631</v>
      </c>
      <c r="AB20" s="12"/>
    </row>
    <row r="21" spans="1:28" x14ac:dyDescent="0.35">
      <c r="A21" s="3" t="s">
        <v>1</v>
      </c>
      <c r="B21" s="26">
        <v>7.0336913893617581</v>
      </c>
      <c r="C21" s="26">
        <f t="shared" si="28"/>
        <v>7.8200960234767134</v>
      </c>
      <c r="D21" s="24">
        <f t="shared" si="29"/>
        <v>0.11180539358101038</v>
      </c>
      <c r="E21" s="35">
        <f t="shared" si="30"/>
        <v>7.0475413804705527</v>
      </c>
      <c r="F21" s="27">
        <f t="shared" si="31"/>
        <v>-9.8790940761708579E-2</v>
      </c>
      <c r="G21" s="35">
        <f t="shared" si="32"/>
        <v>7.7024080230787799</v>
      </c>
      <c r="H21" s="27">
        <f t="shared" si="33"/>
        <v>9.292129088066492E-2</v>
      </c>
      <c r="I21" s="35">
        <f t="shared" si="34"/>
        <v>8.4841939304407621</v>
      </c>
      <c r="J21" s="27">
        <f t="shared" si="35"/>
        <v>0.10149889554273317</v>
      </c>
      <c r="K21" s="35">
        <f t="shared" si="36"/>
        <v>8.8021011143754038</v>
      </c>
      <c r="L21" s="27">
        <f t="shared" si="37"/>
        <v>3.7470523015039836E-2</v>
      </c>
      <c r="M21" s="35">
        <f t="shared" si="38"/>
        <v>8.6603221377456379</v>
      </c>
      <c r="N21" s="27">
        <f t="shared" si="39"/>
        <v>-1.6107401492833961E-2</v>
      </c>
      <c r="O21" s="35">
        <f t="shared" si="40"/>
        <v>9.8580660644274687</v>
      </c>
      <c r="P21" s="27">
        <f t="shared" si="41"/>
        <v>0.13830246815664227</v>
      </c>
      <c r="Q21" s="35">
        <f t="shared" si="42"/>
        <v>9.5094157532357535</v>
      </c>
      <c r="R21" s="27">
        <f t="shared" si="43"/>
        <v>-3.5367008996806115E-2</v>
      </c>
      <c r="S21" s="35">
        <f t="shared" si="44"/>
        <v>10.168318022841135</v>
      </c>
      <c r="T21" s="27">
        <f t="shared" si="45"/>
        <v>6.9289458648516655E-2</v>
      </c>
      <c r="U21" s="35">
        <f t="shared" si="46"/>
        <v>9.5325561564608225</v>
      </c>
      <c r="V21" s="27">
        <f t="shared" si="47"/>
        <v>-6.2523798424891641E-2</v>
      </c>
      <c r="W21" s="35">
        <f t="shared" si="48"/>
        <v>9.542912267586436</v>
      </c>
      <c r="X21" s="27">
        <f t="shared" si="49"/>
        <v>1.0863939278862311E-3</v>
      </c>
      <c r="Y21" s="47">
        <f t="shared" si="50"/>
        <v>11.305967200460689</v>
      </c>
      <c r="Z21" s="48">
        <f t="shared" si="51"/>
        <v>0.18475019820340011</v>
      </c>
      <c r="AA21" s="41">
        <f t="shared" si="52"/>
        <v>9.0361581728833453</v>
      </c>
      <c r="AB21" s="12"/>
    </row>
    <row r="22" spans="1:28" x14ac:dyDescent="0.35">
      <c r="A22" s="3" t="s">
        <v>3</v>
      </c>
      <c r="B22" s="26">
        <v>1.3168562165067952</v>
      </c>
      <c r="C22" s="26">
        <f t="shared" si="28"/>
        <v>1.8681140724068839</v>
      </c>
      <c r="D22" s="24">
        <f t="shared" si="29"/>
        <v>0.41861658774137256</v>
      </c>
      <c r="E22" s="35">
        <f t="shared" si="30"/>
        <v>1.3986288727752141</v>
      </c>
      <c r="F22" s="27">
        <f t="shared" si="31"/>
        <v>-0.25131505969910262</v>
      </c>
      <c r="G22" s="35">
        <f t="shared" si="32"/>
        <v>1.4235892054956227</v>
      </c>
      <c r="H22" s="27">
        <f t="shared" si="33"/>
        <v>1.7846287322012211E-2</v>
      </c>
      <c r="I22" s="35">
        <v>0</v>
      </c>
      <c r="J22" s="27"/>
      <c r="K22" s="35">
        <f t="shared" si="36"/>
        <v>1.2900448302853484</v>
      </c>
      <c r="L22" s="27" t="e">
        <f t="shared" si="37"/>
        <v>#DIV/0!</v>
      </c>
      <c r="M22" s="35">
        <f t="shared" si="38"/>
        <v>1.7856963563822759</v>
      </c>
      <c r="N22" s="27">
        <f t="shared" si="39"/>
        <v>0.38421263700370245</v>
      </c>
      <c r="O22" s="35">
        <f t="shared" si="40"/>
        <v>1.862815712559452</v>
      </c>
      <c r="P22" s="27">
        <f t="shared" si="41"/>
        <v>4.3187273077834876E-2</v>
      </c>
      <c r="Q22" s="35">
        <f t="shared" si="42"/>
        <v>1.3597019214977828</v>
      </c>
      <c r="R22" s="27">
        <f t="shared" si="43"/>
        <v>-0.27008242826683382</v>
      </c>
      <c r="S22" s="35">
        <f t="shared" si="44"/>
        <v>1.2662180257846327</v>
      </c>
      <c r="T22" s="27">
        <f t="shared" si="45"/>
        <v>-6.875322762666447E-2</v>
      </c>
      <c r="U22" s="35">
        <f t="shared" si="46"/>
        <v>1.355655807417816</v>
      </c>
      <c r="V22" s="27">
        <f t="shared" si="47"/>
        <v>7.0633792768636017E-2</v>
      </c>
      <c r="W22" s="35">
        <f t="shared" si="48"/>
        <v>1.2007077856420627</v>
      </c>
      <c r="X22" s="27">
        <f t="shared" si="49"/>
        <v>-0.1142974646867706</v>
      </c>
      <c r="Y22" s="47">
        <f t="shared" si="50"/>
        <v>1.8141661253355232</v>
      </c>
      <c r="Z22" s="48">
        <f t="shared" si="51"/>
        <v>0.51091393512154304</v>
      </c>
      <c r="AA22" s="41">
        <f t="shared" si="52"/>
        <v>1.3854448929652179</v>
      </c>
      <c r="AB22" s="12"/>
    </row>
    <row r="23" spans="1:28" x14ac:dyDescent="0.35">
      <c r="A23" s="3" t="s">
        <v>8</v>
      </c>
      <c r="B23" s="28">
        <v>7.314716141112874</v>
      </c>
      <c r="C23" s="28">
        <f t="shared" si="28"/>
        <v>7.2975963180463319</v>
      </c>
      <c r="D23" s="38">
        <f t="shared" si="29"/>
        <v>-2.3404630796701742E-3</v>
      </c>
      <c r="E23" s="39">
        <f t="shared" si="30"/>
        <v>7.7403557781185333</v>
      </c>
      <c r="F23" s="27">
        <f t="shared" si="31"/>
        <v>6.0671958378582191E-2</v>
      </c>
      <c r="G23" s="35">
        <f t="shared" si="32"/>
        <v>8.0541775512227733</v>
      </c>
      <c r="H23" s="27">
        <f t="shared" si="33"/>
        <v>4.0543585088348655E-2</v>
      </c>
      <c r="I23" s="35">
        <f t="shared" si="34"/>
        <v>8.4790248380046584</v>
      </c>
      <c r="J23" s="27">
        <f t="shared" si="35"/>
        <v>5.274868651453879E-2</v>
      </c>
      <c r="K23" s="35">
        <f t="shared" si="36"/>
        <v>8.7271125346552179</v>
      </c>
      <c r="L23" s="27">
        <f t="shared" si="37"/>
        <v>2.9258989257654022E-2</v>
      </c>
      <c r="M23" s="35">
        <f t="shared" si="38"/>
        <v>8.890609486139855</v>
      </c>
      <c r="N23" s="27">
        <f t="shared" si="39"/>
        <v>1.8734369567871889E-2</v>
      </c>
      <c r="O23" s="35">
        <f t="shared" si="40"/>
        <v>9.6155013572282311</v>
      </c>
      <c r="P23" s="27">
        <f t="shared" si="41"/>
        <v>8.153455308305424E-2</v>
      </c>
      <c r="Q23" s="35">
        <f t="shared" si="42"/>
        <v>9.1280700891462132</v>
      </c>
      <c r="R23" s="27">
        <f t="shared" si="43"/>
        <v>-5.0692236418395709E-2</v>
      </c>
      <c r="S23" s="35">
        <f t="shared" si="44"/>
        <v>9.122463841517801</v>
      </c>
      <c r="T23" s="27">
        <f t="shared" si="45"/>
        <v>-6.1417666315666253E-4</v>
      </c>
      <c r="U23" s="35">
        <f t="shared" si="46"/>
        <v>9.1792771991776902</v>
      </c>
      <c r="V23" s="27">
        <f t="shared" si="47"/>
        <v>6.2278523266183772E-3</v>
      </c>
      <c r="W23" s="35">
        <f t="shared" si="48"/>
        <v>9.3631637844071722</v>
      </c>
      <c r="X23" s="27">
        <f t="shared" si="49"/>
        <v>2.0032795746265819E-2</v>
      </c>
      <c r="Y23" s="47">
        <f t="shared" si="50"/>
        <v>9.4056949779551307</v>
      </c>
      <c r="Z23" s="48">
        <f t="shared" si="51"/>
        <v>4.5423955542449601E-3</v>
      </c>
      <c r="AA23" s="41">
        <f t="shared" si="52"/>
        <v>8.7502539796349676</v>
      </c>
      <c r="AB23" s="12"/>
    </row>
    <row r="24" spans="1:28" x14ac:dyDescent="0.35">
      <c r="A24" s="2" t="s">
        <v>10</v>
      </c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8" ht="15.5" x14ac:dyDescent="0.35">
      <c r="A25" s="18" t="s">
        <v>45</v>
      </c>
      <c r="B25" s="18"/>
      <c r="C25" s="18"/>
      <c r="D25" s="18"/>
      <c r="E25" s="18"/>
      <c r="F25" s="18"/>
      <c r="G25" s="18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"/>
    </row>
    <row r="26" spans="1:28" ht="15.5" x14ac:dyDescent="0.35">
      <c r="A26" s="56" t="s">
        <v>46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S26" s="32"/>
      <c r="U26" s="45"/>
      <c r="W26" s="45"/>
    </row>
    <row r="27" spans="1:28" ht="14.5" customHeight="1" x14ac:dyDescent="0.35">
      <c r="A27" s="20" t="s">
        <v>47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37"/>
      <c r="T27" s="37"/>
    </row>
    <row r="28" spans="1:28" ht="15.5" x14ac:dyDescent="0.35">
      <c r="A28" s="18" t="s">
        <v>48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U28" s="31"/>
      <c r="AA28" s="31"/>
    </row>
    <row r="29" spans="1:28" ht="15.5" x14ac:dyDescent="0.35">
      <c r="A29" s="20" t="s">
        <v>49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18"/>
      <c r="R29" s="18"/>
      <c r="S29" s="45"/>
    </row>
    <row r="30" spans="1:28" ht="15.5" x14ac:dyDescent="0.35">
      <c r="A30" s="57" t="s">
        <v>50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</sheetData>
  <mergeCells count="3">
    <mergeCell ref="A1:AB1"/>
    <mergeCell ref="A26:O26"/>
    <mergeCell ref="A30:R3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9"/>
  <sheetViews>
    <sheetView topLeftCell="H7" workbookViewId="0">
      <selection activeCell="AA18" sqref="AA18"/>
    </sheetView>
  </sheetViews>
  <sheetFormatPr defaultRowHeight="14.5" x14ac:dyDescent="0.35"/>
  <cols>
    <col min="2" max="3" width="9.36328125" bestFit="1" customWidth="1"/>
    <col min="4" max="4" width="5.6328125" customWidth="1"/>
    <col min="5" max="5" width="9.36328125" bestFit="1" customWidth="1"/>
    <col min="6" max="6" width="5.6328125" customWidth="1"/>
    <col min="7" max="7" width="10.1796875" bestFit="1" customWidth="1"/>
    <col min="8" max="8" width="5.6328125" customWidth="1"/>
    <col min="9" max="9" width="9.36328125" bestFit="1" customWidth="1"/>
    <col min="10" max="10" width="5.6328125" customWidth="1"/>
    <col min="11" max="11" width="9.36328125" bestFit="1" customWidth="1"/>
    <col min="12" max="12" width="5.6328125" customWidth="1"/>
    <col min="13" max="13" width="9.36328125" bestFit="1" customWidth="1"/>
    <col min="14" max="14" width="5.6328125" customWidth="1"/>
    <col min="15" max="15" width="9.36328125" bestFit="1" customWidth="1"/>
    <col min="16" max="16" width="5.6328125" customWidth="1"/>
    <col min="17" max="17" width="9.36328125" bestFit="1" customWidth="1"/>
    <col min="18" max="18" width="5.6328125" customWidth="1"/>
    <col min="19" max="19" width="9.36328125" bestFit="1" customWidth="1"/>
    <col min="20" max="20" width="5.6328125" customWidth="1"/>
    <col min="21" max="21" width="9.36328125" bestFit="1" customWidth="1"/>
    <col min="22" max="22" width="5.6328125" customWidth="1"/>
    <col min="23" max="23" width="9.36328125" customWidth="1"/>
    <col min="24" max="24" width="5.6328125" customWidth="1"/>
    <col min="25" max="25" width="9.36328125" customWidth="1"/>
    <col min="26" max="26" width="5.6328125" customWidth="1"/>
    <col min="27" max="27" width="10.1796875" bestFit="1" customWidth="1"/>
  </cols>
  <sheetData>
    <row r="1" spans="1:28" ht="20" x14ac:dyDescent="0.4">
      <c r="A1" s="55" t="s">
        <v>51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20" x14ac:dyDescent="0.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35">
      <c r="A3" s="3" t="s">
        <v>5</v>
      </c>
      <c r="B3" s="4">
        <v>44531</v>
      </c>
      <c r="C3" s="4">
        <v>44562</v>
      </c>
      <c r="D3" s="4" t="s">
        <v>9</v>
      </c>
      <c r="E3" s="4">
        <v>44593</v>
      </c>
      <c r="F3" s="4" t="s">
        <v>9</v>
      </c>
      <c r="G3" s="4">
        <v>44621</v>
      </c>
      <c r="H3" s="4" t="s">
        <v>9</v>
      </c>
      <c r="I3" s="4">
        <v>44652</v>
      </c>
      <c r="J3" s="4" t="s">
        <v>9</v>
      </c>
      <c r="K3" s="4">
        <v>44682</v>
      </c>
      <c r="L3" s="4" t="s">
        <v>9</v>
      </c>
      <c r="M3" s="4">
        <v>44713</v>
      </c>
      <c r="N3" s="4" t="s">
        <v>9</v>
      </c>
      <c r="O3" s="4">
        <v>44743</v>
      </c>
      <c r="P3" s="4" t="s">
        <v>9</v>
      </c>
      <c r="Q3" s="4">
        <v>44774</v>
      </c>
      <c r="R3" s="4" t="s">
        <v>9</v>
      </c>
      <c r="S3" s="4">
        <v>44805</v>
      </c>
      <c r="T3" s="4" t="s">
        <v>9</v>
      </c>
      <c r="U3" s="4">
        <v>44835</v>
      </c>
      <c r="V3" s="4" t="s">
        <v>9</v>
      </c>
      <c r="W3" s="4">
        <v>44866</v>
      </c>
      <c r="X3" s="4" t="s">
        <v>9</v>
      </c>
      <c r="Y3" s="4">
        <v>44896</v>
      </c>
      <c r="Z3" s="4" t="s">
        <v>9</v>
      </c>
      <c r="AA3" s="4" t="s">
        <v>52</v>
      </c>
      <c r="AB3" s="3" t="s">
        <v>11</v>
      </c>
    </row>
    <row r="4" spans="1:28" x14ac:dyDescent="0.35">
      <c r="A4" s="3" t="s">
        <v>0</v>
      </c>
      <c r="B4" s="29">
        <v>994957.89</v>
      </c>
      <c r="C4" s="29">
        <v>1162436.17</v>
      </c>
      <c r="D4" s="24">
        <f>C4/B4-1</f>
        <v>0.16832700326643968</v>
      </c>
      <c r="E4" s="29">
        <v>1017362.22</v>
      </c>
      <c r="F4" s="24">
        <f>E4/C4-1</f>
        <v>-0.12480164824878082</v>
      </c>
      <c r="G4" s="29">
        <v>1338688.98</v>
      </c>
      <c r="H4" s="24">
        <f>G4/E4-1</f>
        <v>0.31584302393300989</v>
      </c>
      <c r="I4" s="29">
        <v>1359090.16</v>
      </c>
      <c r="J4" s="24">
        <f>I4/G4-1</f>
        <v>1.5239671278985067E-2</v>
      </c>
      <c r="K4" s="29">
        <v>1318908.6299999999</v>
      </c>
      <c r="L4" s="24">
        <f>K4/I4-1</f>
        <v>-2.9565021646540401E-2</v>
      </c>
      <c r="M4" s="29">
        <v>1281958.05</v>
      </c>
      <c r="N4" s="24">
        <f>M4/K4-1</f>
        <v>-2.8016027160274071E-2</v>
      </c>
      <c r="O4" s="29">
        <v>1119560.25</v>
      </c>
      <c r="P4" s="24">
        <f>O4/M4-1</f>
        <v>-0.12667949625964758</v>
      </c>
      <c r="Q4" s="29">
        <v>1025703.29</v>
      </c>
      <c r="R4" s="24">
        <f>Q4/O4-1</f>
        <v>-8.3833773126546718E-2</v>
      </c>
      <c r="S4" s="29">
        <v>917691.34</v>
      </c>
      <c r="T4" s="24">
        <f>S4/Q4-1</f>
        <v>-0.10530525840469918</v>
      </c>
      <c r="U4" s="29">
        <v>948148.41</v>
      </c>
      <c r="V4" s="24">
        <f>U4/S4-1</f>
        <v>3.3188795265301385E-2</v>
      </c>
      <c r="W4" s="29">
        <v>798827.81</v>
      </c>
      <c r="X4" s="24">
        <f>W4/U4-1</f>
        <v>-0.15748652681915054</v>
      </c>
      <c r="Y4" s="29">
        <v>672166.57</v>
      </c>
      <c r="Z4" s="24">
        <f>Y4/W4-1</f>
        <v>-0.15855887641167643</v>
      </c>
      <c r="AA4" s="42">
        <f>C4+E4+G4+I4+K4+M4+O4+Q4+S4+U4+W4+Y4</f>
        <v>12960541.880000001</v>
      </c>
      <c r="AB4" s="8">
        <f>AA4/$AA$8</f>
        <v>0.42023989804646295</v>
      </c>
    </row>
    <row r="5" spans="1:28" x14ac:dyDescent="0.35">
      <c r="A5" s="3" t="s">
        <v>2</v>
      </c>
      <c r="B5" s="29">
        <v>1095046.6000000001</v>
      </c>
      <c r="C5" s="29">
        <v>1199210.1100000001</v>
      </c>
      <c r="D5" s="24">
        <f t="shared" ref="D5:D8" si="0">C5/B5-1</f>
        <v>9.5122445017408408E-2</v>
      </c>
      <c r="E5" s="29">
        <v>1133320.08</v>
      </c>
      <c r="F5" s="24">
        <f t="shared" ref="F5:F8" si="1">E5/C5-1</f>
        <v>-5.4944525109115405E-2</v>
      </c>
      <c r="G5" s="29">
        <v>1654770.15</v>
      </c>
      <c r="H5" s="24">
        <f t="shared" ref="H5:H8" si="2">G5/E5-1</f>
        <v>0.4601083835027433</v>
      </c>
      <c r="I5" s="29">
        <v>1667009.5</v>
      </c>
      <c r="J5" s="24">
        <f t="shared" ref="J5:J8" si="3">I5/G5-1</f>
        <v>7.396404872302087E-3</v>
      </c>
      <c r="K5" s="29">
        <v>1419859.4</v>
      </c>
      <c r="L5" s="24">
        <f t="shared" ref="L5:L8" si="4">K5/I5-1</f>
        <v>-0.14825956300788934</v>
      </c>
      <c r="M5" s="29">
        <v>1598273.12</v>
      </c>
      <c r="N5" s="24">
        <f t="shared" ref="N5:N8" si="5">M5/K5-1</f>
        <v>0.12565590649327696</v>
      </c>
      <c r="O5" s="29">
        <v>1202601.08</v>
      </c>
      <c r="P5" s="24">
        <f t="shared" ref="P5:P8" si="6">O5/M5-1</f>
        <v>-0.2475622189028619</v>
      </c>
      <c r="Q5" s="29">
        <v>1319497.57</v>
      </c>
      <c r="R5" s="24">
        <f t="shared" ref="R5:R8" si="7">Q5/O5-1</f>
        <v>9.7203047580832092E-2</v>
      </c>
      <c r="S5" s="29">
        <v>1124013.51</v>
      </c>
      <c r="T5" s="24">
        <f t="shared" ref="T5:T8" si="8">S5/Q5-1</f>
        <v>-0.14815037514620055</v>
      </c>
      <c r="U5" s="29">
        <v>1189183.9099999999</v>
      </c>
      <c r="V5" s="24">
        <f t="shared" ref="V5:V8" si="9">U5/S5-1</f>
        <v>5.7980086022275668E-2</v>
      </c>
      <c r="W5" s="29">
        <v>1010292.4</v>
      </c>
      <c r="X5" s="24">
        <f t="shared" ref="X5:X8" si="10">W5/U5-1</f>
        <v>-0.15043216486169908</v>
      </c>
      <c r="Y5" s="29">
        <v>901473.96</v>
      </c>
      <c r="Z5" s="24">
        <f t="shared" ref="Z5:Z8" si="11">Y5/W5-1</f>
        <v>-0.1077098471689979</v>
      </c>
      <c r="AA5" s="42">
        <f t="shared" ref="AA5:AA8" si="12">C5+E5+G5+I5+K5+M5+O5+Q5+S5+U5+W5+Y5</f>
        <v>15419504.789999999</v>
      </c>
      <c r="AB5" s="8">
        <f t="shared" ref="AB5:AB7" si="13">AA5/$AA$8</f>
        <v>0.49997069419419571</v>
      </c>
    </row>
    <row r="6" spans="1:28" x14ac:dyDescent="0.35">
      <c r="A6" s="3" t="s">
        <v>1</v>
      </c>
      <c r="B6" s="29">
        <v>221462.19</v>
      </c>
      <c r="C6" s="29">
        <v>205606.78</v>
      </c>
      <c r="D6" s="24">
        <f t="shared" si="0"/>
        <v>-7.1594207571053059E-2</v>
      </c>
      <c r="E6" s="29">
        <v>153944.07999999999</v>
      </c>
      <c r="F6" s="24">
        <f t="shared" si="1"/>
        <v>-0.25126943771017674</v>
      </c>
      <c r="G6" s="29">
        <v>228598.02</v>
      </c>
      <c r="H6" s="24">
        <f t="shared" si="2"/>
        <v>0.48494193475968683</v>
      </c>
      <c r="I6" s="29">
        <v>224488.97</v>
      </c>
      <c r="J6" s="24">
        <f t="shared" si="3"/>
        <v>-1.797500258313689E-2</v>
      </c>
      <c r="K6" s="29">
        <v>263333.28999999998</v>
      </c>
      <c r="L6" s="24">
        <f t="shared" si="4"/>
        <v>0.17303442570029159</v>
      </c>
      <c r="M6" s="29">
        <v>265587.49</v>
      </c>
      <c r="N6" s="24">
        <f t="shared" si="5"/>
        <v>8.5602545732064161E-3</v>
      </c>
      <c r="O6" s="29">
        <v>231279.71</v>
      </c>
      <c r="P6" s="24">
        <f t="shared" si="6"/>
        <v>-0.12917694278446623</v>
      </c>
      <c r="Q6" s="29">
        <v>206745.23</v>
      </c>
      <c r="R6" s="24">
        <f t="shared" si="7"/>
        <v>-0.10608141976656738</v>
      </c>
      <c r="S6" s="29">
        <v>174779.5</v>
      </c>
      <c r="T6" s="24">
        <f t="shared" si="8"/>
        <v>-0.15461411129049996</v>
      </c>
      <c r="U6" s="29">
        <v>207053.9</v>
      </c>
      <c r="V6" s="24">
        <f t="shared" si="9"/>
        <v>0.18465781169988471</v>
      </c>
      <c r="W6" s="29">
        <v>159392.89000000001</v>
      </c>
      <c r="X6" s="24">
        <f t="shared" si="10"/>
        <v>-0.23018648767301642</v>
      </c>
      <c r="Y6" s="29">
        <v>120536.29</v>
      </c>
      <c r="Z6" s="24">
        <f t="shared" si="11"/>
        <v>-0.24377875324300857</v>
      </c>
      <c r="AA6" s="42">
        <f t="shared" si="12"/>
        <v>2441346.15</v>
      </c>
      <c r="AB6" s="8">
        <f t="shared" si="13"/>
        <v>7.9159580415022343E-2</v>
      </c>
    </row>
    <row r="7" spans="1:28" x14ac:dyDescent="0.35">
      <c r="A7" s="3" t="s">
        <v>3</v>
      </c>
      <c r="B7" s="29">
        <v>1480.16</v>
      </c>
      <c r="C7" s="29">
        <v>2153.19</v>
      </c>
      <c r="D7" s="24">
        <f t="shared" si="0"/>
        <v>0.45470084315209158</v>
      </c>
      <c r="E7" s="29">
        <v>2896.28</v>
      </c>
      <c r="F7" s="24">
        <f t="shared" si="1"/>
        <v>0.34511120709273224</v>
      </c>
      <c r="G7" s="29">
        <v>2159.33</v>
      </c>
      <c r="H7" s="24">
        <f t="shared" si="2"/>
        <v>-0.25444708384548465</v>
      </c>
      <c r="I7" s="29">
        <v>1437.73</v>
      </c>
      <c r="J7" s="24">
        <f t="shared" si="3"/>
        <v>-0.33417773105546622</v>
      </c>
      <c r="K7" s="29">
        <v>1451</v>
      </c>
      <c r="L7" s="24">
        <f t="shared" si="4"/>
        <v>9.229827575413907E-3</v>
      </c>
      <c r="M7" s="29">
        <v>2197.4299999999998</v>
      </c>
      <c r="N7" s="24">
        <f t="shared" si="5"/>
        <v>0.51442453480358363</v>
      </c>
      <c r="O7" s="29">
        <v>2214.3000000000002</v>
      </c>
      <c r="P7" s="24">
        <f t="shared" si="6"/>
        <v>7.6771501253738439E-3</v>
      </c>
      <c r="Q7" s="29">
        <v>119.6</v>
      </c>
      <c r="R7" s="24">
        <f t="shared" si="7"/>
        <v>-0.94598744524228873</v>
      </c>
      <c r="S7" s="29">
        <v>1074.56</v>
      </c>
      <c r="T7" s="24">
        <f t="shared" si="8"/>
        <v>7.9846153846153847</v>
      </c>
      <c r="U7" s="29">
        <v>2282.0500000000002</v>
      </c>
      <c r="V7" s="24">
        <f t="shared" si="9"/>
        <v>1.1237064472900538</v>
      </c>
      <c r="W7" s="29">
        <v>1320</v>
      </c>
      <c r="X7" s="24">
        <f t="shared" si="10"/>
        <v>-0.42157270874871278</v>
      </c>
      <c r="Y7" s="29">
        <v>118.92</v>
      </c>
      <c r="Z7" s="24">
        <f t="shared" si="11"/>
        <v>-0.90990909090909089</v>
      </c>
      <c r="AA7" s="42">
        <f t="shared" si="12"/>
        <v>19424.39</v>
      </c>
      <c r="AB7" s="8">
        <f t="shared" si="13"/>
        <v>6.2982734431893481E-4</v>
      </c>
    </row>
    <row r="8" spans="1:28" x14ac:dyDescent="0.35">
      <c r="A8" s="3" t="s">
        <v>7</v>
      </c>
      <c r="B8" s="30">
        <f>SUM(B4:B7)</f>
        <v>2312946.8400000003</v>
      </c>
      <c r="C8" s="30">
        <f>SUM(C4:C7)</f>
        <v>2569406.25</v>
      </c>
      <c r="D8" s="24">
        <f t="shared" si="0"/>
        <v>0.11087994136518931</v>
      </c>
      <c r="E8" s="30">
        <f>SUM(E4:E7)</f>
        <v>2307522.6599999997</v>
      </c>
      <c r="F8" s="24">
        <f t="shared" si="1"/>
        <v>-0.10192377713722789</v>
      </c>
      <c r="G8" s="30">
        <f>SUM(G4:G7)</f>
        <v>3224216.48</v>
      </c>
      <c r="H8" s="24">
        <f t="shared" si="2"/>
        <v>0.39726319307304236</v>
      </c>
      <c r="I8" s="30">
        <f>SUM(I4:I7)</f>
        <v>3252026.3600000003</v>
      </c>
      <c r="J8" s="24">
        <f t="shared" si="3"/>
        <v>8.6253141414376344E-3</v>
      </c>
      <c r="K8" s="30">
        <f>SUM(K4:K7)</f>
        <v>3003552.32</v>
      </c>
      <c r="L8" s="24">
        <f t="shared" si="4"/>
        <v>-7.6405912035719337E-2</v>
      </c>
      <c r="M8" s="30">
        <f>SUM(M4:M7)</f>
        <v>3148016.0900000003</v>
      </c>
      <c r="N8" s="24">
        <f t="shared" si="5"/>
        <v>4.8097637267061399E-2</v>
      </c>
      <c r="O8" s="30">
        <f>SUM(O4:O7)</f>
        <v>2555655.34</v>
      </c>
      <c r="P8" s="24">
        <f t="shared" si="6"/>
        <v>-0.18816954331386548</v>
      </c>
      <c r="Q8" s="30">
        <f>SUM(Q4:Q7)</f>
        <v>2552065.6900000004</v>
      </c>
      <c r="R8" s="24">
        <f t="shared" si="7"/>
        <v>-1.4045908083988312E-3</v>
      </c>
      <c r="S8" s="30">
        <f>SUM(S4:S7)</f>
        <v>2217558.91</v>
      </c>
      <c r="T8" s="24">
        <f t="shared" si="8"/>
        <v>-0.13107295055559487</v>
      </c>
      <c r="U8" s="30">
        <f>SUM(U4:U7)</f>
        <v>2346668.2699999996</v>
      </c>
      <c r="V8" s="24">
        <f t="shared" si="9"/>
        <v>5.8221389031779758E-2</v>
      </c>
      <c r="W8" s="30">
        <f>SUM(W4:W7)</f>
        <v>1969833.1</v>
      </c>
      <c r="X8" s="24">
        <f t="shared" si="10"/>
        <v>-0.16058305931754024</v>
      </c>
      <c r="Y8" s="30">
        <f>SUM(Y4:Y7)</f>
        <v>1694295.7399999998</v>
      </c>
      <c r="Z8" s="24">
        <f t="shared" si="11"/>
        <v>-0.13987853082578439</v>
      </c>
      <c r="AA8" s="42">
        <f t="shared" si="12"/>
        <v>30840817.210000001</v>
      </c>
      <c r="AB8" s="8">
        <f t="shared" ref="AB8" si="14">C8/$C$8</f>
        <v>1</v>
      </c>
    </row>
    <row r="9" spans="1:2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5">
      <c r="A10" s="3" t="s">
        <v>53</v>
      </c>
      <c r="B10" s="4">
        <f>B3</f>
        <v>44531</v>
      </c>
      <c r="C10" s="4">
        <f t="shared" ref="C10:Z10" si="15">C3</f>
        <v>44562</v>
      </c>
      <c r="D10" s="4" t="str">
        <f t="shared" si="15"/>
        <v>Vari</v>
      </c>
      <c r="E10" s="4">
        <f t="shared" si="15"/>
        <v>44593</v>
      </c>
      <c r="F10" s="4" t="str">
        <f t="shared" si="15"/>
        <v>Vari</v>
      </c>
      <c r="G10" s="4">
        <f t="shared" si="15"/>
        <v>44621</v>
      </c>
      <c r="H10" s="4" t="str">
        <f t="shared" si="15"/>
        <v>Vari</v>
      </c>
      <c r="I10" s="4">
        <f t="shared" si="15"/>
        <v>44652</v>
      </c>
      <c r="J10" s="4" t="str">
        <f t="shared" si="15"/>
        <v>Vari</v>
      </c>
      <c r="K10" s="4">
        <f t="shared" si="15"/>
        <v>44682</v>
      </c>
      <c r="L10" s="4" t="str">
        <f t="shared" si="15"/>
        <v>Vari</v>
      </c>
      <c r="M10" s="4">
        <f t="shared" si="15"/>
        <v>44713</v>
      </c>
      <c r="N10" s="4" t="str">
        <f t="shared" si="15"/>
        <v>Vari</v>
      </c>
      <c r="O10" s="4">
        <f t="shared" si="15"/>
        <v>44743</v>
      </c>
      <c r="P10" s="4" t="str">
        <f t="shared" si="15"/>
        <v>Vari</v>
      </c>
      <c r="Q10" s="4">
        <f t="shared" si="15"/>
        <v>44774</v>
      </c>
      <c r="R10" s="4" t="str">
        <f t="shared" si="15"/>
        <v>Vari</v>
      </c>
      <c r="S10" s="4">
        <f t="shared" si="15"/>
        <v>44805</v>
      </c>
      <c r="T10" s="4" t="str">
        <f t="shared" si="15"/>
        <v>Vari</v>
      </c>
      <c r="U10" s="4">
        <f t="shared" si="15"/>
        <v>44835</v>
      </c>
      <c r="V10" s="4" t="str">
        <f t="shared" si="15"/>
        <v>Vari</v>
      </c>
      <c r="W10" s="4">
        <f t="shared" si="15"/>
        <v>44866</v>
      </c>
      <c r="X10" s="4" t="str">
        <f t="shared" si="15"/>
        <v>Vari</v>
      </c>
      <c r="Y10" s="4">
        <f t="shared" si="15"/>
        <v>44896</v>
      </c>
      <c r="Z10" s="4" t="str">
        <f t="shared" si="15"/>
        <v>Vari</v>
      </c>
      <c r="AA10" s="4" t="s">
        <v>54</v>
      </c>
      <c r="AB10" s="3" t="s">
        <v>11</v>
      </c>
    </row>
    <row r="11" spans="1:28" x14ac:dyDescent="0.35">
      <c r="A11" s="3" t="s">
        <v>0</v>
      </c>
      <c r="B11" s="23">
        <v>10424242</v>
      </c>
      <c r="C11" s="23">
        <v>11914486</v>
      </c>
      <c r="D11" s="24">
        <f>C11/B11-1</f>
        <v>0.14295945930648957</v>
      </c>
      <c r="E11" s="23">
        <v>10011230</v>
      </c>
      <c r="F11" s="24">
        <f>E11/C11-1</f>
        <v>-0.1597430220657442</v>
      </c>
      <c r="G11" s="23">
        <v>12967619</v>
      </c>
      <c r="H11" s="24">
        <f>G11/E11-1</f>
        <v>0.29530726993586209</v>
      </c>
      <c r="I11" s="23">
        <v>12402596</v>
      </c>
      <c r="J11" s="24">
        <f>I11/G11-1</f>
        <v>-4.3571838438498212E-2</v>
      </c>
      <c r="K11" s="23">
        <v>12435448</v>
      </c>
      <c r="L11" s="24">
        <f>K11/I11-1</f>
        <v>2.6488002995501692E-3</v>
      </c>
      <c r="M11" s="23">
        <v>12503793</v>
      </c>
      <c r="N11" s="24">
        <f>M11/K11-1</f>
        <v>5.4959821310820445E-3</v>
      </c>
      <c r="O11" s="23">
        <v>11030756</v>
      </c>
      <c r="P11" s="24">
        <f>O11/M11-1</f>
        <v>-0.11780721257941495</v>
      </c>
      <c r="Q11" s="23">
        <v>10484015</v>
      </c>
      <c r="R11" s="24">
        <f>Q11/O11-1</f>
        <v>-4.9565143132528688E-2</v>
      </c>
      <c r="S11" s="23">
        <v>10260984</v>
      </c>
      <c r="T11" s="24">
        <f>S11/Q11-1</f>
        <v>-2.1273433889592908E-2</v>
      </c>
      <c r="U11" s="23">
        <v>10697064</v>
      </c>
      <c r="V11" s="24">
        <f>U11/S11-1</f>
        <v>4.2498848063694528E-2</v>
      </c>
      <c r="W11" s="23">
        <v>8874993</v>
      </c>
      <c r="X11" s="24">
        <f>W11/U11-1</f>
        <v>-0.17033374765262688</v>
      </c>
      <c r="Y11" s="23">
        <v>7874936</v>
      </c>
      <c r="Z11" s="24">
        <f>Y11/W11-1</f>
        <v>-0.11268256774963092</v>
      </c>
      <c r="AA11" s="44">
        <f>C11+E11+G11+I11+K11+M11+O11+Q11+S11+U11+W11+Y11</f>
        <v>131457920</v>
      </c>
      <c r="AB11" s="8">
        <f>AA11/$AA$15</f>
        <v>0.41580540339308208</v>
      </c>
    </row>
    <row r="12" spans="1:28" x14ac:dyDescent="0.35">
      <c r="A12" s="3" t="s">
        <v>2</v>
      </c>
      <c r="B12" s="23">
        <v>12126280.07</v>
      </c>
      <c r="C12" s="23">
        <v>13358888.57</v>
      </c>
      <c r="D12" s="24">
        <f t="shared" ref="D12:D15" si="16">C12/B12-1</f>
        <v>0.10164770175887905</v>
      </c>
      <c r="E12" s="23">
        <v>12014740.85</v>
      </c>
      <c r="F12" s="24">
        <f t="shared" ref="F12:F15" si="17">E12/C12-1</f>
        <v>-0.10061822979933732</v>
      </c>
      <c r="G12" s="23">
        <v>16300453.68</v>
      </c>
      <c r="H12" s="24">
        <f t="shared" ref="H12:H15" si="18">G12/E12-1</f>
        <v>0.35670455846744287</v>
      </c>
      <c r="I12" s="23">
        <v>15343954.33</v>
      </c>
      <c r="J12" s="24">
        <f t="shared" ref="J12:J15" si="19">I12/G12-1</f>
        <v>-5.8679308489038351E-2</v>
      </c>
      <c r="K12" s="23">
        <v>13606563.380000001</v>
      </c>
      <c r="L12" s="24">
        <f t="shared" ref="L12:L15" si="20">K12/I12-1</f>
        <v>-0.11322967421788455</v>
      </c>
      <c r="M12" s="23">
        <v>15184839.859999999</v>
      </c>
      <c r="N12" s="24">
        <f t="shared" ref="N12:N15" si="21">M12/K12-1</f>
        <v>0.11599376241614934</v>
      </c>
      <c r="O12" s="23">
        <v>11628068.16</v>
      </c>
      <c r="P12" s="24">
        <f t="shared" ref="P12:P15" si="22">O12/M12-1</f>
        <v>-0.23423175567160703</v>
      </c>
      <c r="Q12" s="23">
        <v>14117230.57</v>
      </c>
      <c r="R12" s="24">
        <f t="shared" ref="R12:R15" si="23">Q12/O12-1</f>
        <v>0.21406499994234651</v>
      </c>
      <c r="S12" s="23">
        <v>12634692.41</v>
      </c>
      <c r="T12" s="24">
        <f t="shared" ref="T12:T15" si="24">S12/Q12-1</f>
        <v>-0.10501621778073711</v>
      </c>
      <c r="U12" s="23">
        <v>12888898.859999999</v>
      </c>
      <c r="V12" s="24">
        <f t="shared" ref="V12:V15" si="25">U12/S12-1</f>
        <v>2.0119718134079978E-2</v>
      </c>
      <c r="W12" s="23">
        <v>11883103.51</v>
      </c>
      <c r="X12" s="24">
        <f t="shared" ref="X12:X15" si="26">W12/U12-1</f>
        <v>-7.8035785750591224E-2</v>
      </c>
      <c r="Y12" s="23">
        <v>10848769.52</v>
      </c>
      <c r="Z12" s="24">
        <f t="shared" ref="Z12:Z15" si="27">Y12/W12-1</f>
        <v>-8.7042411869052261E-2</v>
      </c>
      <c r="AA12" s="44">
        <f t="shared" ref="AA12:AA15" si="28">C12+E12+G12+I12+K12+M12+O12+Q12+S12+U12+W12+Y12</f>
        <v>159810203.70000002</v>
      </c>
      <c r="AB12" s="8">
        <f t="shared" ref="AB12:AB15" si="29">AA12/$AA$15</f>
        <v>0.50548453996388443</v>
      </c>
    </row>
    <row r="13" spans="1:28" x14ac:dyDescent="0.35">
      <c r="A13" s="3" t="s">
        <v>1</v>
      </c>
      <c r="B13" s="23">
        <v>1958808</v>
      </c>
      <c r="C13" s="23">
        <v>2150906</v>
      </c>
      <c r="D13" s="24">
        <f t="shared" si="16"/>
        <v>9.8068825530628789E-2</v>
      </c>
      <c r="E13" s="23">
        <v>1400386</v>
      </c>
      <c r="F13" s="24">
        <f t="shared" si="17"/>
        <v>-0.34893203143233598</v>
      </c>
      <c r="G13" s="23">
        <v>2090114</v>
      </c>
      <c r="H13" s="24">
        <f t="shared" si="18"/>
        <v>0.49252706039620509</v>
      </c>
      <c r="I13" s="23">
        <v>1992007</v>
      </c>
      <c r="J13" s="24">
        <f t="shared" si="19"/>
        <v>-4.6938588038738516E-2</v>
      </c>
      <c r="K13" s="23">
        <v>2372516</v>
      </c>
      <c r="L13" s="24">
        <f t="shared" si="20"/>
        <v>0.19101790304953759</v>
      </c>
      <c r="M13" s="23">
        <v>2384722</v>
      </c>
      <c r="N13" s="24">
        <f t="shared" si="21"/>
        <v>5.144749287254502E-3</v>
      </c>
      <c r="O13" s="23">
        <v>2255482</v>
      </c>
      <c r="P13" s="24">
        <f t="shared" si="22"/>
        <v>-5.4194996314035793E-2</v>
      </c>
      <c r="Q13" s="23">
        <v>2042110</v>
      </c>
      <c r="R13" s="24">
        <f t="shared" si="23"/>
        <v>-9.4601508679741153E-2</v>
      </c>
      <c r="S13" s="23">
        <v>1838662</v>
      </c>
      <c r="T13" s="24">
        <f t="shared" si="24"/>
        <v>-9.9626366846056302E-2</v>
      </c>
      <c r="U13" s="23">
        <v>2099544</v>
      </c>
      <c r="V13" s="24">
        <f t="shared" si="25"/>
        <v>0.14188687208415685</v>
      </c>
      <c r="W13" s="23">
        <v>1692499</v>
      </c>
      <c r="X13" s="24">
        <f t="shared" si="26"/>
        <v>-0.19387305052906723</v>
      </c>
      <c r="Y13" s="23">
        <v>1469486</v>
      </c>
      <c r="Z13" s="24">
        <f t="shared" si="27"/>
        <v>-0.13176551359853095</v>
      </c>
      <c r="AA13" s="44">
        <f t="shared" si="28"/>
        <v>23788434</v>
      </c>
      <c r="AB13" s="8">
        <f t="shared" si="29"/>
        <v>7.5243541016469059E-2</v>
      </c>
    </row>
    <row r="14" spans="1:28" x14ac:dyDescent="0.35">
      <c r="A14" s="3" t="s">
        <v>3</v>
      </c>
      <c r="B14" s="23">
        <v>81589</v>
      </c>
      <c r="C14" s="23">
        <v>153625</v>
      </c>
      <c r="D14" s="24">
        <f t="shared" si="16"/>
        <v>0.88291313780043867</v>
      </c>
      <c r="E14" s="23">
        <v>196157</v>
      </c>
      <c r="F14" s="24">
        <f t="shared" si="17"/>
        <v>0.27685598047192839</v>
      </c>
      <c r="G14" s="23">
        <v>125059</v>
      </c>
      <c r="H14" s="24">
        <f t="shared" si="18"/>
        <v>-0.36245456445602242</v>
      </c>
      <c r="I14" s="23">
        <v>76749</v>
      </c>
      <c r="J14" s="24">
        <f t="shared" si="19"/>
        <v>-0.38629766750093952</v>
      </c>
      <c r="K14" s="23">
        <v>73261</v>
      </c>
      <c r="L14" s="24">
        <f t="shared" si="20"/>
        <v>-4.5446846212980008E-2</v>
      </c>
      <c r="M14" s="23">
        <v>117907</v>
      </c>
      <c r="N14" s="24">
        <f t="shared" si="21"/>
        <v>0.60941019096108429</v>
      </c>
      <c r="O14" s="23">
        <v>117251</v>
      </c>
      <c r="P14" s="24">
        <f t="shared" si="22"/>
        <v>-5.5637069894068913E-3</v>
      </c>
      <c r="Q14" s="23">
        <v>634</v>
      </c>
      <c r="R14" s="24">
        <f t="shared" si="23"/>
        <v>-0.99459279664992195</v>
      </c>
      <c r="S14" s="23">
        <v>44977.599999999999</v>
      </c>
      <c r="T14" s="24">
        <f t="shared" si="24"/>
        <v>69.942586750788635</v>
      </c>
      <c r="U14" s="23">
        <v>113372</v>
      </c>
      <c r="V14" s="24">
        <f t="shared" si="25"/>
        <v>1.5206324926185482</v>
      </c>
      <c r="W14" s="23">
        <v>76345</v>
      </c>
      <c r="X14" s="24">
        <f t="shared" si="26"/>
        <v>-0.32659739618247896</v>
      </c>
      <c r="Y14" s="23">
        <v>610</v>
      </c>
      <c r="Z14" s="24">
        <f t="shared" si="27"/>
        <v>-0.99200995481040011</v>
      </c>
      <c r="AA14" s="44">
        <f t="shared" si="28"/>
        <v>1095947.6000000001</v>
      </c>
      <c r="AB14" s="8">
        <f t="shared" si="29"/>
        <v>3.4665156265646087E-3</v>
      </c>
    </row>
    <row r="15" spans="1:28" x14ac:dyDescent="0.35">
      <c r="A15" s="3" t="s">
        <v>7</v>
      </c>
      <c r="B15" s="25">
        <v>24590919.07</v>
      </c>
      <c r="C15" s="25">
        <f>SUM(C11:C14)</f>
        <v>27577905.57</v>
      </c>
      <c r="D15" s="24">
        <f t="shared" si="16"/>
        <v>0.12146705422019033</v>
      </c>
      <c r="E15" s="25">
        <f>SUM(E11:E14)</f>
        <v>23622513.850000001</v>
      </c>
      <c r="F15" s="24">
        <f t="shared" si="17"/>
        <v>-0.14342611007787265</v>
      </c>
      <c r="G15" s="25">
        <f>SUM(G11:G14)</f>
        <v>31483245.68</v>
      </c>
      <c r="H15" s="24">
        <f t="shared" si="18"/>
        <v>0.33276440771353366</v>
      </c>
      <c r="I15" s="25">
        <f>SUM(I11:I14)</f>
        <v>29815306.329999998</v>
      </c>
      <c r="J15" s="24">
        <f t="shared" si="19"/>
        <v>-5.2978633999593461E-2</v>
      </c>
      <c r="K15" s="25">
        <f>SUM(K11:K14)</f>
        <v>28487788.380000003</v>
      </c>
      <c r="L15" s="24">
        <f t="shared" si="20"/>
        <v>-4.452471275347103E-2</v>
      </c>
      <c r="M15" s="25">
        <f>SUM(M11:M14)</f>
        <v>30191261.859999999</v>
      </c>
      <c r="N15" s="24">
        <f t="shared" si="21"/>
        <v>5.9796620828450386E-2</v>
      </c>
      <c r="O15" s="25">
        <f>SUM(O11:O14)</f>
        <v>25031557.16</v>
      </c>
      <c r="P15" s="24">
        <f t="shared" si="22"/>
        <v>-0.17090059779303302</v>
      </c>
      <c r="Q15" s="25">
        <f>SUM(Q11:Q14)</f>
        <v>26643989.57</v>
      </c>
      <c r="R15" s="24">
        <f t="shared" si="23"/>
        <v>6.4415984978219321E-2</v>
      </c>
      <c r="S15" s="25">
        <f>SUM(S11:S14)</f>
        <v>24779316.010000002</v>
      </c>
      <c r="T15" s="24">
        <f t="shared" si="24"/>
        <v>-6.9984772929784556E-2</v>
      </c>
      <c r="U15" s="25">
        <f>SUM(U11:U14)</f>
        <v>25798878.859999999</v>
      </c>
      <c r="V15" s="24">
        <f t="shared" si="25"/>
        <v>4.1145722084844571E-2</v>
      </c>
      <c r="W15" s="25">
        <f>SUM(W11:W14)</f>
        <v>22526940.509999998</v>
      </c>
      <c r="X15" s="24">
        <f t="shared" si="26"/>
        <v>-0.12682482706924891</v>
      </c>
      <c r="Y15" s="25">
        <f>SUM(Y11:Y14)</f>
        <v>20193801.52</v>
      </c>
      <c r="Z15" s="24">
        <f t="shared" si="27"/>
        <v>-0.10357105479833306</v>
      </c>
      <c r="AA15" s="44">
        <f t="shared" si="28"/>
        <v>316152505.29999995</v>
      </c>
      <c r="AB15" s="8">
        <f t="shared" si="29"/>
        <v>1</v>
      </c>
    </row>
    <row r="16" spans="1:28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33"/>
      <c r="AB16" s="12"/>
    </row>
    <row r="17" spans="1:28" x14ac:dyDescent="0.35">
      <c r="A17" s="3" t="s">
        <v>44</v>
      </c>
      <c r="B17" s="4">
        <f t="shared" ref="B17:Z17" si="30">B10</f>
        <v>44531</v>
      </c>
      <c r="C17" s="36">
        <f t="shared" si="30"/>
        <v>44562</v>
      </c>
      <c r="D17" s="36" t="str">
        <f t="shared" si="30"/>
        <v>Vari</v>
      </c>
      <c r="E17" s="36">
        <f t="shared" si="30"/>
        <v>44593</v>
      </c>
      <c r="F17" s="36" t="str">
        <f t="shared" si="30"/>
        <v>Vari</v>
      </c>
      <c r="G17" s="36">
        <f t="shared" si="30"/>
        <v>44621</v>
      </c>
      <c r="H17" s="36" t="str">
        <f t="shared" si="30"/>
        <v>Vari</v>
      </c>
      <c r="I17" s="36">
        <f t="shared" si="30"/>
        <v>44652</v>
      </c>
      <c r="J17" s="36" t="str">
        <f t="shared" si="30"/>
        <v>Vari</v>
      </c>
      <c r="K17" s="36">
        <f t="shared" si="30"/>
        <v>44682</v>
      </c>
      <c r="L17" s="36" t="str">
        <f t="shared" si="30"/>
        <v>Vari</v>
      </c>
      <c r="M17" s="36">
        <f t="shared" si="30"/>
        <v>44713</v>
      </c>
      <c r="N17" s="36" t="str">
        <f t="shared" si="30"/>
        <v>Vari</v>
      </c>
      <c r="O17" s="36">
        <f t="shared" si="30"/>
        <v>44743</v>
      </c>
      <c r="P17" s="36" t="str">
        <f t="shared" si="30"/>
        <v>Vari</v>
      </c>
      <c r="Q17" s="36">
        <f t="shared" si="30"/>
        <v>44774</v>
      </c>
      <c r="R17" s="36" t="str">
        <f t="shared" si="30"/>
        <v>Vari</v>
      </c>
      <c r="S17" s="36">
        <f t="shared" si="30"/>
        <v>44805</v>
      </c>
      <c r="T17" s="36" t="str">
        <f t="shared" si="30"/>
        <v>Vari</v>
      </c>
      <c r="U17" s="36">
        <f t="shared" si="30"/>
        <v>44835</v>
      </c>
      <c r="V17" s="36" t="str">
        <f t="shared" si="30"/>
        <v>Vari</v>
      </c>
      <c r="W17" s="36">
        <f t="shared" si="30"/>
        <v>44866</v>
      </c>
      <c r="X17" s="36" t="str">
        <f t="shared" si="30"/>
        <v>Vari</v>
      </c>
      <c r="Y17" s="49">
        <f t="shared" si="30"/>
        <v>44896</v>
      </c>
      <c r="Z17" s="49" t="str">
        <f t="shared" si="30"/>
        <v>Vari</v>
      </c>
      <c r="AA17" s="4" t="s">
        <v>55</v>
      </c>
      <c r="AB17" s="12"/>
    </row>
    <row r="18" spans="1:28" x14ac:dyDescent="0.35">
      <c r="A18" s="3" t="s">
        <v>0</v>
      </c>
      <c r="B18" s="26">
        <v>9.5446545657708253</v>
      </c>
      <c r="C18" s="35">
        <f>C4/C11*100</f>
        <v>9.756494489145398</v>
      </c>
      <c r="D18" s="27">
        <f>C18/B18-1</f>
        <v>2.219461395012412E-2</v>
      </c>
      <c r="E18" s="35">
        <f>E4/E11*100</f>
        <v>10.162210038127183</v>
      </c>
      <c r="F18" s="27">
        <f>E18/C18-1</f>
        <v>4.1584151913698575E-2</v>
      </c>
      <c r="G18" s="35">
        <f>G4/G11*100</f>
        <v>10.323321343725475</v>
      </c>
      <c r="H18" s="27">
        <f>G18/E18-1</f>
        <v>1.5853963359724332E-2</v>
      </c>
      <c r="I18" s="35">
        <f>I4/I11*100</f>
        <v>10.958110382697299</v>
      </c>
      <c r="J18" s="27">
        <f>I18/G18-1</f>
        <v>6.1490775869110115E-2</v>
      </c>
      <c r="K18" s="35">
        <f>K4/K11*100</f>
        <v>10.606040329226579</v>
      </c>
      <c r="L18" s="27">
        <f>K18/I18-1</f>
        <v>-3.2128719384560522E-2</v>
      </c>
      <c r="M18" s="35">
        <f>M4/M11*100</f>
        <v>10.252553365206863</v>
      </c>
      <c r="N18" s="27">
        <f>M18/K18-1</f>
        <v>-3.332883461187941E-2</v>
      </c>
      <c r="O18" s="35">
        <f>O4/O11*100</f>
        <v>10.149442612999508</v>
      </c>
      <c r="P18" s="27">
        <f>O18/M18-1</f>
        <v>-1.0057080274000096E-2</v>
      </c>
      <c r="Q18" s="35">
        <f>Q4/Q11*100</f>
        <v>9.7834969713416093</v>
      </c>
      <c r="R18" s="27">
        <f>Q18/O18-1</f>
        <v>-3.6055737798762588E-2</v>
      </c>
      <c r="S18" s="35">
        <f>S4/S11*100</f>
        <v>8.943502299584523</v>
      </c>
      <c r="T18" s="27">
        <f>S18/Q18-1</f>
        <v>-8.5858325935772029E-2</v>
      </c>
      <c r="U18" s="35">
        <f>U4/U11*100</f>
        <v>8.8636322078656349</v>
      </c>
      <c r="V18" s="27">
        <f>U18/S18-1</f>
        <v>-8.9305161494281915E-3</v>
      </c>
      <c r="W18" s="35">
        <f>W4/W11*100</f>
        <v>9.0008838316830229</v>
      </c>
      <c r="X18" s="27">
        <f>W18/U18-1</f>
        <v>1.5484805844672822E-2</v>
      </c>
      <c r="Y18" s="47">
        <f>Y4/Y11*100</f>
        <v>8.5355178759548007</v>
      </c>
      <c r="Z18" s="48">
        <f>Y18/W18-1</f>
        <v>-5.1702251071182426E-2</v>
      </c>
      <c r="AA18" s="41">
        <f>(C18+E18+G18+I18+K18+M18+O18+Q18+S18+U18+W18+Y18)/12</f>
        <v>9.7779338122964905</v>
      </c>
      <c r="AB18" s="12"/>
    </row>
    <row r="19" spans="1:28" x14ac:dyDescent="0.35">
      <c r="A19" s="3" t="s">
        <v>2</v>
      </c>
      <c r="B19" s="26">
        <v>9.0303588048333765</v>
      </c>
      <c r="C19" s="35">
        <f>C5/C12*100</f>
        <v>8.9768703714848055</v>
      </c>
      <c r="D19" s="27">
        <f t="shared" ref="D19:D22" si="31">C19/B19-1</f>
        <v>-5.9231791897285113E-3</v>
      </c>
      <c r="E19" s="35">
        <f>E5/E12*100</f>
        <v>9.4327467745590212</v>
      </c>
      <c r="F19" s="27">
        <f t="shared" ref="F19:F22" si="32">E19/C19-1</f>
        <v>5.0783445032504426E-2</v>
      </c>
      <c r="G19" s="35">
        <f>G5/G12*100</f>
        <v>10.151681557368777</v>
      </c>
      <c r="H19" s="27">
        <f t="shared" ref="H19:H22" si="33">G19/E19-1</f>
        <v>7.6216906908684212E-2</v>
      </c>
      <c r="I19" s="35">
        <f>I5/I12*100</f>
        <v>10.864275688964463</v>
      </c>
      <c r="J19" s="27">
        <f t="shared" ref="J19:J22" si="34">I19/G19-1</f>
        <v>7.0194689182152104E-2</v>
      </c>
      <c r="K19" s="35">
        <f>K5/K12*100</f>
        <v>10.435106649244153</v>
      </c>
      <c r="L19" s="27">
        <f t="shared" ref="L19:L22" si="35">K19/I19-1</f>
        <v>-3.950277515106182E-2</v>
      </c>
      <c r="M19" s="35">
        <f>M5/M12*100</f>
        <v>10.525452587815439</v>
      </c>
      <c r="N19" s="27">
        <f t="shared" ref="N19:N22" si="36">M19/K19-1</f>
        <v>8.6578835854858038E-3</v>
      </c>
      <c r="O19" s="35">
        <f>O5/O12*100</f>
        <v>10.342225926546341</v>
      </c>
      <c r="P19" s="27">
        <f t="shared" ref="P19:P22" si="37">O19/M19-1</f>
        <v>-1.7407960345686813E-2</v>
      </c>
      <c r="Q19" s="35">
        <f>Q5/Q12*100</f>
        <v>9.3467168610535776</v>
      </c>
      <c r="R19" s="27">
        <f t="shared" ref="R19:R22" si="38">Q19/O19-1</f>
        <v>-9.6256750970552529E-2</v>
      </c>
      <c r="S19" s="35">
        <f>S5/S12*100</f>
        <v>8.8962475185416867</v>
      </c>
      <c r="T19" s="27">
        <f t="shared" ref="T19:T22" si="39">S19/Q19-1</f>
        <v>-4.8195462557438895E-2</v>
      </c>
      <c r="U19" s="35">
        <f>U5/U12*100</f>
        <v>9.2264197501818241</v>
      </c>
      <c r="V19" s="27">
        <f t="shared" ref="V19:V22" si="40">U19/S19-1</f>
        <v>3.7113651677517678E-2</v>
      </c>
      <c r="W19" s="35">
        <f>W5/W12*100</f>
        <v>8.5019237537551327</v>
      </c>
      <c r="X19" s="27">
        <f t="shared" ref="X19:X22" si="41">W19/U19-1</f>
        <v>-7.8524066327289477E-2</v>
      </c>
      <c r="Y19" s="47">
        <f>Y5/Y12*100</f>
        <v>8.3094581218460615</v>
      </c>
      <c r="Z19" s="48">
        <f t="shared" ref="Z19:Z22" si="42">Y19/W19-1</f>
        <v>-2.2637892021092676E-2</v>
      </c>
      <c r="AA19" s="41">
        <f t="shared" ref="AA19:AA22" si="43">(C19+E19+G19+I19+K19+M19+O19+Q19+S19+U19+W19+Y19)/12</f>
        <v>9.5840937967801061</v>
      </c>
      <c r="AB19" s="12"/>
    </row>
    <row r="20" spans="1:28" x14ac:dyDescent="0.35">
      <c r="A20" s="3" t="s">
        <v>1</v>
      </c>
      <c r="B20" s="26">
        <v>11.305967200460689</v>
      </c>
      <c r="C20" s="35">
        <f>C6/C13*100</f>
        <v>9.5590778955472722</v>
      </c>
      <c r="D20" s="27">
        <f t="shared" si="31"/>
        <v>-0.15451038145964513</v>
      </c>
      <c r="E20" s="35">
        <f>E6/E13*100</f>
        <v>10.992974794092484</v>
      </c>
      <c r="F20" s="27">
        <f t="shared" si="32"/>
        <v>0.15000368385042018</v>
      </c>
      <c r="G20" s="35">
        <f>G6/G13*100</f>
        <v>10.937107736707183</v>
      </c>
      <c r="H20" s="27">
        <f t="shared" si="33"/>
        <v>-5.0820690879163077E-3</v>
      </c>
      <c r="I20" s="35">
        <f>I6/I13*100</f>
        <v>11.269487004814742</v>
      </c>
      <c r="J20" s="27">
        <f t="shared" si="34"/>
        <v>3.0390051566560494E-2</v>
      </c>
      <c r="K20" s="35">
        <f>K6/K13*100</f>
        <v>11.099326200539847</v>
      </c>
      <c r="L20" s="27">
        <f t="shared" si="35"/>
        <v>-1.5099250232259553E-2</v>
      </c>
      <c r="M20" s="35">
        <f>M6/M13*100</f>
        <v>11.137041969671936</v>
      </c>
      <c r="N20" s="27">
        <f t="shared" si="36"/>
        <v>3.3980233079602407E-3</v>
      </c>
      <c r="O20" s="35">
        <f>O6/O13*100</f>
        <v>10.25411464157107</v>
      </c>
      <c r="P20" s="27">
        <f t="shared" si="37"/>
        <v>-7.9278441304722391E-2</v>
      </c>
      <c r="Q20" s="35">
        <f>Q6/Q13*100</f>
        <v>10.124098603894991</v>
      </c>
      <c r="R20" s="27">
        <f t="shared" si="38"/>
        <v>-1.2679401608109764E-2</v>
      </c>
      <c r="S20" s="35">
        <f>S6/S13*100</f>
        <v>9.5057982380665944</v>
      </c>
      <c r="T20" s="27">
        <f t="shared" si="39"/>
        <v>-6.1072139853568852E-2</v>
      </c>
      <c r="U20" s="35">
        <f>U6/U13*100</f>
        <v>9.861850954302458</v>
      </c>
      <c r="V20" s="27">
        <f t="shared" si="40"/>
        <v>3.745637213401265E-2</v>
      </c>
      <c r="W20" s="35">
        <f>W6/W13*100</f>
        <v>9.4176061551587331</v>
      </c>
      <c r="X20" s="27">
        <f t="shared" si="41"/>
        <v>-4.5046797117726967E-2</v>
      </c>
      <c r="Y20" s="47">
        <f>Y6/Y13*100</f>
        <v>8.2026157445528582</v>
      </c>
      <c r="Z20" s="48">
        <f t="shared" si="42"/>
        <v>-0.12901265890592939</v>
      </c>
      <c r="AA20" s="41">
        <f t="shared" si="43"/>
        <v>10.196758328243346</v>
      </c>
      <c r="AB20" s="12"/>
    </row>
    <row r="21" spans="1:28" x14ac:dyDescent="0.35">
      <c r="A21" s="3" t="s">
        <v>3</v>
      </c>
      <c r="B21" s="26">
        <v>1.8141661253355232</v>
      </c>
      <c r="C21" s="35">
        <f>C7/C14*100</f>
        <v>1.4015882831570383</v>
      </c>
      <c r="D21" s="27">
        <f t="shared" si="31"/>
        <v>-0.22742010029659232</v>
      </c>
      <c r="E21" s="35">
        <f>E7/E14*100</f>
        <v>1.4765111619773956</v>
      </c>
      <c r="F21" s="27">
        <f t="shared" si="32"/>
        <v>5.345569716921128E-2</v>
      </c>
      <c r="G21" s="35">
        <f>G7/G14*100</f>
        <v>1.7266490216617758</v>
      </c>
      <c r="H21" s="27">
        <f t="shared" si="33"/>
        <v>0.16941142480046456</v>
      </c>
      <c r="I21" s="35">
        <f>I7/I14*100</f>
        <v>1.8732882513127207</v>
      </c>
      <c r="J21" s="27">
        <f t="shared" si="34"/>
        <v>8.4927062657942587E-2</v>
      </c>
      <c r="K21" s="35">
        <f>K7/K14*100</f>
        <v>1.9805899455371887</v>
      </c>
      <c r="L21" s="27">
        <f t="shared" si="35"/>
        <v>5.7279862909125567E-2</v>
      </c>
      <c r="M21" s="35">
        <f>M7/M14*100</f>
        <v>1.8636976600201853</v>
      </c>
      <c r="N21" s="27">
        <f t="shared" si="36"/>
        <v>-5.9018923013516078E-2</v>
      </c>
      <c r="O21" s="35">
        <f>O7/O14*100</f>
        <v>1.8885126779302523</v>
      </c>
      <c r="P21" s="27">
        <f t="shared" si="37"/>
        <v>1.331493752575641E-2</v>
      </c>
      <c r="Q21" s="35">
        <f>Q7/Q14*100</f>
        <v>18.864353312302839</v>
      </c>
      <c r="R21" s="27">
        <f t="shared" si="38"/>
        <v>8.9890000913192427</v>
      </c>
      <c r="S21" s="35">
        <f>S7/S14*100</f>
        <v>2.3891003521753049</v>
      </c>
      <c r="T21" s="27">
        <f t="shared" si="39"/>
        <v>-0.87335371042816523</v>
      </c>
      <c r="U21" s="35">
        <f>U7/U14*100</f>
        <v>2.0128867798045373</v>
      </c>
      <c r="V21" s="27">
        <f t="shared" si="40"/>
        <v>-0.15747081198503055</v>
      </c>
      <c r="W21" s="35">
        <f>W7/W14*100</f>
        <v>1.7289933852904578</v>
      </c>
      <c r="X21" s="27">
        <f t="shared" si="41"/>
        <v>-0.14103793485177896</v>
      </c>
      <c r="Y21" s="47">
        <f>Y7/Y14*100</f>
        <v>19.495081967213114</v>
      </c>
      <c r="Z21" s="48">
        <f t="shared" si="42"/>
        <v>10.275394187779433</v>
      </c>
      <c r="AA21" s="41">
        <f t="shared" si="43"/>
        <v>4.7251043998652342</v>
      </c>
      <c r="AB21" s="12"/>
    </row>
    <row r="22" spans="1:28" x14ac:dyDescent="0.35">
      <c r="A22" s="3" t="s">
        <v>8</v>
      </c>
      <c r="B22" s="28">
        <v>9.4056949779551307</v>
      </c>
      <c r="C22" s="35">
        <f>C8/C15*100</f>
        <v>9.3169013269632419</v>
      </c>
      <c r="D22" s="27">
        <f t="shared" si="31"/>
        <v>-9.4404136217474122E-3</v>
      </c>
      <c r="E22" s="35">
        <f>E8/E15*100</f>
        <v>9.7683196405449433</v>
      </c>
      <c r="F22" s="27">
        <f t="shared" si="32"/>
        <v>4.8451550332006876E-2</v>
      </c>
      <c r="G22" s="35">
        <f>G8/G15*100</f>
        <v>10.241054917816847</v>
      </c>
      <c r="H22" s="27">
        <f t="shared" si="33"/>
        <v>4.8394738774695911E-2</v>
      </c>
      <c r="I22" s="35">
        <f>I8/I15*100</f>
        <v>10.907237792582494</v>
      </c>
      <c r="J22" s="27">
        <f t="shared" si="34"/>
        <v>6.5050219934535969E-2</v>
      </c>
      <c r="K22" s="35">
        <f>K8/K15*100</f>
        <v>10.543297640151874</v>
      </c>
      <c r="L22" s="27">
        <f t="shared" si="35"/>
        <v>-3.3366848633126778E-2</v>
      </c>
      <c r="M22" s="35">
        <f>M8/M15*100</f>
        <v>10.426911285118443</v>
      </c>
      <c r="N22" s="27">
        <f t="shared" si="36"/>
        <v>-1.1038894945941569E-2</v>
      </c>
      <c r="O22" s="35">
        <f>O8/O15*100</f>
        <v>10.209733751937309</v>
      </c>
      <c r="P22" s="27">
        <f t="shared" si="37"/>
        <v>-2.0828558644312545E-2</v>
      </c>
      <c r="Q22" s="35">
        <f>Q8/Q15*100</f>
        <v>9.5783917168077473</v>
      </c>
      <c r="R22" s="27">
        <f t="shared" si="38"/>
        <v>-6.1837267304817201E-2</v>
      </c>
      <c r="S22" s="35">
        <f>S8/S15*100</f>
        <v>8.9492337444063299</v>
      </c>
      <c r="T22" s="27">
        <f t="shared" si="39"/>
        <v>-6.5685137025394136E-2</v>
      </c>
      <c r="U22" s="35">
        <f>U8/U15*100</f>
        <v>9.0960087170237589</v>
      </c>
      <c r="V22" s="27">
        <f t="shared" si="40"/>
        <v>1.6400842441864905E-2</v>
      </c>
      <c r="W22" s="35">
        <f>W8/W15*100</f>
        <v>8.7443436854000041</v>
      </c>
      <c r="X22" s="27">
        <f t="shared" si="41"/>
        <v>-3.8661465986239762E-2</v>
      </c>
      <c r="Y22" s="47">
        <f>Y8/Y15*100</f>
        <v>8.39017724484399</v>
      </c>
      <c r="Z22" s="48">
        <f t="shared" si="42"/>
        <v>-4.0502346808182765E-2</v>
      </c>
      <c r="AA22" s="41">
        <f t="shared" si="43"/>
        <v>9.6809676219664151</v>
      </c>
      <c r="AB22" s="12"/>
    </row>
    <row r="23" spans="1:28" x14ac:dyDescent="0.35">
      <c r="A23" s="2" t="s">
        <v>10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50"/>
      <c r="V23" s="51"/>
    </row>
    <row r="24" spans="1:28" ht="15.5" x14ac:dyDescent="0.35">
      <c r="A24" s="18" t="s">
        <v>56</v>
      </c>
      <c r="B24" s="18"/>
      <c r="C24" s="18"/>
      <c r="D24" s="18"/>
      <c r="E24" s="18"/>
      <c r="F24" s="18"/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"/>
    </row>
    <row r="25" spans="1:28" ht="15.5" x14ac:dyDescent="0.35">
      <c r="A25" s="56" t="s">
        <v>57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S25" s="32"/>
      <c r="U25" s="45"/>
      <c r="W25" s="45"/>
    </row>
    <row r="26" spans="1:28" ht="15.5" x14ac:dyDescent="0.35">
      <c r="A26" s="20" t="s">
        <v>58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37"/>
      <c r="T26" s="37"/>
    </row>
    <row r="27" spans="1:28" ht="15.5" x14ac:dyDescent="0.35">
      <c r="A27" s="18" t="s">
        <v>59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U27" s="31"/>
      <c r="AA27" s="31"/>
    </row>
    <row r="28" spans="1:28" ht="15.5" x14ac:dyDescent="0.35">
      <c r="A28" s="20" t="s">
        <v>60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18"/>
      <c r="R28" s="18"/>
      <c r="S28" s="45"/>
    </row>
    <row r="29" spans="1:28" ht="15.5" x14ac:dyDescent="0.35">
      <c r="A29" s="57" t="s">
        <v>61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</row>
  </sheetData>
  <mergeCells count="3">
    <mergeCell ref="A1:AB1"/>
    <mergeCell ref="A25:O25"/>
    <mergeCell ref="A29:R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2F38-2AFC-4AD4-93F8-BF471B6F9F63}">
  <dimension ref="A1:AB29"/>
  <sheetViews>
    <sheetView topLeftCell="K7" workbookViewId="0">
      <selection activeCell="Z31" sqref="Z31"/>
    </sheetView>
  </sheetViews>
  <sheetFormatPr defaultRowHeight="14.5" x14ac:dyDescent="0.35"/>
  <cols>
    <col min="2" max="3" width="9.36328125" bestFit="1" customWidth="1"/>
    <col min="4" max="4" width="4.6328125" customWidth="1"/>
    <col min="5" max="5" width="9.36328125" bestFit="1" customWidth="1"/>
    <col min="6" max="6" width="4.6328125" customWidth="1"/>
    <col min="7" max="7" width="9.36328125" bestFit="1" customWidth="1"/>
    <col min="8" max="8" width="4.6328125" customWidth="1"/>
    <col min="9" max="9" width="9.36328125" bestFit="1" customWidth="1"/>
    <col min="10" max="10" width="4.6328125" customWidth="1"/>
    <col min="11" max="11" width="9.36328125" bestFit="1" customWidth="1"/>
    <col min="12" max="12" width="4.6328125" customWidth="1"/>
    <col min="13" max="13" width="9.36328125" bestFit="1" customWidth="1"/>
    <col min="14" max="14" width="4.6328125" customWidth="1"/>
    <col min="15" max="15" width="10.1796875" bestFit="1" customWidth="1"/>
    <col min="16" max="16" width="4.6328125" customWidth="1"/>
    <col min="17" max="17" width="9.36328125" bestFit="1" customWidth="1"/>
    <col min="18" max="18" width="4.6328125" customWidth="1"/>
    <col min="19" max="19" width="9.36328125" bestFit="1" customWidth="1"/>
    <col min="20" max="20" width="4.6328125" customWidth="1"/>
    <col min="21" max="21" width="9.36328125" bestFit="1" customWidth="1"/>
    <col min="22" max="22" width="4.6328125" customWidth="1"/>
    <col min="23" max="23" width="9.36328125" bestFit="1" customWidth="1"/>
    <col min="24" max="24" width="4.6328125" customWidth="1"/>
    <col min="25" max="25" width="9.36328125" bestFit="1" customWidth="1"/>
    <col min="26" max="26" width="4.6328125" customWidth="1"/>
    <col min="27" max="27" width="10.1796875" bestFit="1" customWidth="1"/>
  </cols>
  <sheetData>
    <row r="1" spans="1:28" ht="20" x14ac:dyDescent="0.4">
      <c r="A1" s="55" t="s">
        <v>62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20" x14ac:dyDescent="0.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35">
      <c r="A3" s="3" t="s">
        <v>5</v>
      </c>
      <c r="B3" s="4">
        <v>44896</v>
      </c>
      <c r="C3" s="4">
        <v>44927</v>
      </c>
      <c r="D3" s="4" t="s">
        <v>9</v>
      </c>
      <c r="E3" s="4">
        <v>44958</v>
      </c>
      <c r="F3" s="4" t="s">
        <v>9</v>
      </c>
      <c r="G3" s="4">
        <v>44986</v>
      </c>
      <c r="H3" s="4" t="s">
        <v>9</v>
      </c>
      <c r="I3" s="4">
        <v>45017</v>
      </c>
      <c r="J3" s="4" t="s">
        <v>9</v>
      </c>
      <c r="K3" s="4">
        <v>45047</v>
      </c>
      <c r="L3" s="4" t="s">
        <v>9</v>
      </c>
      <c r="M3" s="4">
        <v>45078</v>
      </c>
      <c r="N3" s="4" t="s">
        <v>9</v>
      </c>
      <c r="O3" s="4">
        <v>45108</v>
      </c>
      <c r="P3" s="4" t="s">
        <v>9</v>
      </c>
      <c r="Q3" s="4">
        <v>45139</v>
      </c>
      <c r="R3" s="4" t="s">
        <v>9</v>
      </c>
      <c r="S3" s="4">
        <v>45170</v>
      </c>
      <c r="T3" s="4" t="s">
        <v>9</v>
      </c>
      <c r="U3" s="4">
        <v>45200</v>
      </c>
      <c r="V3" s="4" t="s">
        <v>9</v>
      </c>
      <c r="W3" s="4">
        <v>45231</v>
      </c>
      <c r="X3" s="4" t="s">
        <v>9</v>
      </c>
      <c r="Y3" s="4">
        <v>45261</v>
      </c>
      <c r="Z3" s="4" t="s">
        <v>9</v>
      </c>
      <c r="AA3" s="4" t="s">
        <v>52</v>
      </c>
      <c r="AB3" s="3" t="s">
        <v>11</v>
      </c>
    </row>
    <row r="4" spans="1:28" x14ac:dyDescent="0.35">
      <c r="A4" s="3" t="s">
        <v>0</v>
      </c>
      <c r="B4" s="29">
        <v>672166.57</v>
      </c>
      <c r="C4" s="29">
        <v>813472.47</v>
      </c>
      <c r="D4" s="24">
        <f>C4/B4-1</f>
        <v>0.21022452812552106</v>
      </c>
      <c r="E4" s="29">
        <v>687380.36</v>
      </c>
      <c r="F4" s="24">
        <f>E4/C4-1</f>
        <v>-0.15500476617235737</v>
      </c>
      <c r="G4" s="29">
        <v>875263.96</v>
      </c>
      <c r="H4" s="24">
        <f>G4/E4-1</f>
        <v>0.27333280223485001</v>
      </c>
      <c r="I4" s="29">
        <v>642315.28</v>
      </c>
      <c r="J4" s="24">
        <f>I4/G4-1</f>
        <v>-0.26614677473981674</v>
      </c>
      <c r="K4" s="29">
        <v>666367.04</v>
      </c>
      <c r="L4" s="24">
        <f>K4/I4-1</f>
        <v>3.7445411543066465E-2</v>
      </c>
      <c r="M4" s="29">
        <v>658055.67000000004</v>
      </c>
      <c r="N4" s="24">
        <f>M4/K4-1</f>
        <v>-1.2472660712630645E-2</v>
      </c>
      <c r="O4" s="29">
        <v>557111.80000000005</v>
      </c>
      <c r="P4" s="24">
        <f>O4/M4-1</f>
        <v>-0.1533971586324907</v>
      </c>
      <c r="Q4" s="29">
        <v>724415.86</v>
      </c>
      <c r="R4" s="24">
        <f>Q4/O4-1</f>
        <v>0.30030607860038128</v>
      </c>
      <c r="S4" s="29">
        <v>591659.6</v>
      </c>
      <c r="T4" s="24">
        <f>S4/Q4-1</f>
        <v>-0.1832597370245318</v>
      </c>
      <c r="U4" s="29">
        <v>677452.14</v>
      </c>
      <c r="V4" s="24">
        <f>U4/S4-1</f>
        <v>0.14500320792563848</v>
      </c>
      <c r="W4" s="29">
        <v>592195.49</v>
      </c>
      <c r="X4" s="24">
        <f>W4/U4-1</f>
        <v>-0.12584896403161416</v>
      </c>
      <c r="Y4" s="29">
        <v>523755.78</v>
      </c>
      <c r="Z4" s="24">
        <f>Y4/W4-1</f>
        <v>-0.11556945494468385</v>
      </c>
      <c r="AA4" s="42">
        <f>C4+E4+G4+I4+K4+M4+O4+Q4+S4+U4+W4+Y4</f>
        <v>8009445.4500000002</v>
      </c>
      <c r="AB4" s="8">
        <f>AA4/$AA$8</f>
        <v>0.38614593584817625</v>
      </c>
    </row>
    <row r="5" spans="1:28" x14ac:dyDescent="0.35">
      <c r="A5" s="3" t="s">
        <v>2</v>
      </c>
      <c r="B5" s="29">
        <v>901473.96</v>
      </c>
      <c r="C5" s="29">
        <v>997748.37</v>
      </c>
      <c r="D5" s="24">
        <f t="shared" ref="D5:D8" si="0">C5/B5-1</f>
        <v>0.1067966622130716</v>
      </c>
      <c r="E5" s="29">
        <v>1081756.6299999999</v>
      </c>
      <c r="F5" s="24">
        <f t="shared" ref="F5:F8" si="1">E5/C5-1</f>
        <v>8.419784238785577E-2</v>
      </c>
      <c r="G5" s="29">
        <v>1074829.6399999999</v>
      </c>
      <c r="H5" s="24">
        <f t="shared" ref="H5:H8" si="2">G5/E5-1</f>
        <v>-6.4034643355964649E-3</v>
      </c>
      <c r="I5" s="29">
        <v>902668.93</v>
      </c>
      <c r="J5" s="24">
        <f t="shared" ref="J5:J8" si="3">I5/G5-1</f>
        <v>-0.16017488129560686</v>
      </c>
      <c r="K5" s="29">
        <v>845499.86</v>
      </c>
      <c r="L5" s="24">
        <f t="shared" ref="L5:L8" si="4">K5/I5-1</f>
        <v>-6.3333375172224038E-2</v>
      </c>
      <c r="M5" s="29">
        <v>954141.55</v>
      </c>
      <c r="N5" s="24">
        <f t="shared" ref="N5:N8" si="5">M5/K5-1</f>
        <v>0.12849403665188075</v>
      </c>
      <c r="O5" s="29">
        <v>800661.29</v>
      </c>
      <c r="P5" s="24">
        <f t="shared" ref="P5:P8" si="6">O5/M5-1</f>
        <v>-0.16085690849539047</v>
      </c>
      <c r="Q5" s="29">
        <v>1013971.81</v>
      </c>
      <c r="R5" s="24">
        <f t="shared" ref="R5:R8" si="7">Q5/O5-1</f>
        <v>0.26641792561246458</v>
      </c>
      <c r="S5" s="29">
        <v>970463.08</v>
      </c>
      <c r="T5" s="24">
        <f t="shared" ref="T5:T8" si="8">S5/Q5-1</f>
        <v>-4.2909210661389197E-2</v>
      </c>
      <c r="U5" s="29">
        <v>987880.99</v>
      </c>
      <c r="V5" s="24">
        <f t="shared" ref="V5:V8" si="9">U5/S5-1</f>
        <v>1.7948039816208183E-2</v>
      </c>
      <c r="W5" s="29">
        <v>867896.76</v>
      </c>
      <c r="X5" s="24">
        <f t="shared" ref="X5:X8" si="10">W5/U5-1</f>
        <v>-0.12145615839818924</v>
      </c>
      <c r="Y5" s="29">
        <v>842035.65</v>
      </c>
      <c r="Z5" s="24">
        <f t="shared" ref="Z5:Z8" si="11">Y5/W5-1</f>
        <v>-2.9797449641360552E-2</v>
      </c>
      <c r="AA5" s="42">
        <f t="shared" ref="AA5:AA8" si="12">C5+E5+G5+I5+K5+M5+O5+Q5+S5+U5+W5+Y5</f>
        <v>11339554.560000001</v>
      </c>
      <c r="AB5" s="8">
        <f t="shared" ref="AB5:AB7" si="13">AA5/$AA$8</f>
        <v>0.54669489105174618</v>
      </c>
    </row>
    <row r="6" spans="1:28" x14ac:dyDescent="0.35">
      <c r="A6" s="3" t="s">
        <v>1</v>
      </c>
      <c r="B6" s="29">
        <v>120536.29</v>
      </c>
      <c r="C6" s="29">
        <v>183318.62</v>
      </c>
      <c r="D6" s="24">
        <f t="shared" si="0"/>
        <v>0.52085832407816768</v>
      </c>
      <c r="E6" s="29">
        <v>92382.71</v>
      </c>
      <c r="F6" s="24">
        <f t="shared" si="1"/>
        <v>-0.49605386512292093</v>
      </c>
      <c r="G6" s="29">
        <v>121059.22</v>
      </c>
      <c r="H6" s="24">
        <f t="shared" si="2"/>
        <v>0.31040992410809332</v>
      </c>
      <c r="I6" s="29">
        <v>95286.57</v>
      </c>
      <c r="J6" s="24">
        <f t="shared" si="3"/>
        <v>-0.21289291307180069</v>
      </c>
      <c r="K6" s="29">
        <v>107891.86</v>
      </c>
      <c r="L6" s="24">
        <f t="shared" si="4"/>
        <v>0.13228821228427035</v>
      </c>
      <c r="M6" s="29">
        <v>85538</v>
      </c>
      <c r="N6" s="24">
        <f t="shared" si="5"/>
        <v>-0.20718764140316059</v>
      </c>
      <c r="O6" s="29">
        <v>97464.37</v>
      </c>
      <c r="P6" s="24">
        <f t="shared" si="6"/>
        <v>0.13942773971801992</v>
      </c>
      <c r="Q6" s="29">
        <v>126504.54</v>
      </c>
      <c r="R6" s="24">
        <f t="shared" si="7"/>
        <v>0.29795678153975658</v>
      </c>
      <c r="S6" s="29">
        <v>118661.27</v>
      </c>
      <c r="T6" s="24">
        <f t="shared" si="8"/>
        <v>-6.1999909252268615E-2</v>
      </c>
      <c r="U6" s="29">
        <v>146480.78</v>
      </c>
      <c r="V6" s="24">
        <f t="shared" si="9"/>
        <v>0.23444473500072927</v>
      </c>
      <c r="W6" s="29">
        <v>82286.84</v>
      </c>
      <c r="X6" s="24">
        <f t="shared" si="10"/>
        <v>-0.43824138566165471</v>
      </c>
      <c r="Y6" s="29">
        <v>115854.99</v>
      </c>
      <c r="Z6" s="24">
        <f t="shared" si="11"/>
        <v>0.40794068650588611</v>
      </c>
      <c r="AA6" s="42">
        <f t="shared" si="12"/>
        <v>1372729.7700000003</v>
      </c>
      <c r="AB6" s="8">
        <f t="shared" si="13"/>
        <v>6.6181113912612E-2</v>
      </c>
    </row>
    <row r="7" spans="1:28" x14ac:dyDescent="0.35">
      <c r="A7" s="3" t="s">
        <v>3</v>
      </c>
      <c r="B7" s="29">
        <v>118.92</v>
      </c>
      <c r="C7" s="29">
        <v>1135.6400000000001</v>
      </c>
      <c r="D7" s="24">
        <f t="shared" si="0"/>
        <v>8.54961318533468</v>
      </c>
      <c r="E7" s="29">
        <v>1415.12</v>
      </c>
      <c r="F7" s="24">
        <f t="shared" si="1"/>
        <v>0.24609911591701583</v>
      </c>
      <c r="G7" s="29">
        <v>747.61</v>
      </c>
      <c r="H7" s="24">
        <f t="shared" si="2"/>
        <v>-0.47169851320029388</v>
      </c>
      <c r="I7" s="29">
        <v>2201.9899999999998</v>
      </c>
      <c r="J7" s="24">
        <f t="shared" si="3"/>
        <v>1.9453725873115659</v>
      </c>
      <c r="K7" s="29">
        <v>3366.25</v>
      </c>
      <c r="L7" s="24">
        <f t="shared" si="4"/>
        <v>0.52873082984028108</v>
      </c>
      <c r="M7" s="29">
        <v>1941.64</v>
      </c>
      <c r="N7" s="24">
        <f t="shared" si="5"/>
        <v>-0.42320386186409209</v>
      </c>
      <c r="O7" s="29">
        <v>1317.25</v>
      </c>
      <c r="P7" s="24">
        <f t="shared" si="6"/>
        <v>-0.32157866545806646</v>
      </c>
      <c r="Q7" s="29">
        <v>3438.76</v>
      </c>
      <c r="R7" s="24">
        <f t="shared" si="7"/>
        <v>1.6105598785348265</v>
      </c>
      <c r="S7" s="29">
        <v>64.64</v>
      </c>
      <c r="T7" s="24">
        <f t="shared" si="8"/>
        <v>-0.9812025264921076</v>
      </c>
      <c r="U7" s="29">
        <v>2119.89</v>
      </c>
      <c r="V7" s="24">
        <f t="shared" si="9"/>
        <v>31.795327970297031</v>
      </c>
      <c r="W7" s="29">
        <v>1259.3499999999999</v>
      </c>
      <c r="X7" s="24">
        <f t="shared" si="10"/>
        <v>-0.40593615706475339</v>
      </c>
      <c r="Y7" s="29">
        <v>1278.78</v>
      </c>
      <c r="Z7" s="24">
        <f t="shared" si="11"/>
        <v>1.5428594116012384E-2</v>
      </c>
      <c r="AA7" s="42">
        <f t="shared" si="12"/>
        <v>20286.919999999998</v>
      </c>
      <c r="AB7" s="8">
        <f t="shared" si="13"/>
        <v>9.7805918746560454E-4</v>
      </c>
    </row>
    <row r="8" spans="1:28" x14ac:dyDescent="0.35">
      <c r="A8" s="3" t="s">
        <v>7</v>
      </c>
      <c r="B8" s="30">
        <v>1694295.7399999998</v>
      </c>
      <c r="C8" s="30">
        <f>SUM(C4:C7)</f>
        <v>1995675.0999999999</v>
      </c>
      <c r="D8" s="24">
        <f t="shared" si="0"/>
        <v>0.17787883949941352</v>
      </c>
      <c r="E8" s="30">
        <f>SUM(E4:E7)</f>
        <v>1862934.8199999998</v>
      </c>
      <c r="F8" s="24">
        <f t="shared" si="1"/>
        <v>-6.6513973141219207E-2</v>
      </c>
      <c r="G8" s="30">
        <f>SUM(G4:G7)</f>
        <v>2071900.43</v>
      </c>
      <c r="H8" s="24">
        <f t="shared" si="2"/>
        <v>0.11217011339129956</v>
      </c>
      <c r="I8" s="30">
        <f>SUM(I4:I7)</f>
        <v>1642472.77</v>
      </c>
      <c r="J8" s="24">
        <f t="shared" si="3"/>
        <v>-0.20726269167288114</v>
      </c>
      <c r="K8" s="30">
        <f>SUM(K4:K7)</f>
        <v>1623125.01</v>
      </c>
      <c r="L8" s="24">
        <f t="shared" si="4"/>
        <v>-1.1779653430723291E-2</v>
      </c>
      <c r="M8" s="30">
        <f>SUM(M4:M7)</f>
        <v>1699676.86</v>
      </c>
      <c r="N8" s="24">
        <f t="shared" si="5"/>
        <v>4.7163249613164426E-2</v>
      </c>
      <c r="O8" s="30">
        <f>SUM(O4:O7)</f>
        <v>1456554.71</v>
      </c>
      <c r="P8" s="24">
        <f t="shared" si="6"/>
        <v>-0.14304021883312579</v>
      </c>
      <c r="Q8" s="30">
        <f>SUM(Q4:Q7)</f>
        <v>1868330.97</v>
      </c>
      <c r="R8" s="24">
        <f t="shared" si="7"/>
        <v>0.28270565957663196</v>
      </c>
      <c r="S8" s="30">
        <f>SUM(S4:S7)</f>
        <v>1680848.5899999999</v>
      </c>
      <c r="T8" s="24">
        <f t="shared" si="8"/>
        <v>-0.1003475203325459</v>
      </c>
      <c r="U8" s="30">
        <f>SUM(U4:U7)</f>
        <v>1813933.7999999998</v>
      </c>
      <c r="V8" s="24">
        <f t="shared" si="9"/>
        <v>7.9177393366525628E-2</v>
      </c>
      <c r="W8" s="30">
        <f>SUM(W4:W7)</f>
        <v>1543638.4400000002</v>
      </c>
      <c r="X8" s="24">
        <f t="shared" si="10"/>
        <v>-0.14901059785092474</v>
      </c>
      <c r="Y8" s="30">
        <f>SUM(Y4:Y7)</f>
        <v>1482925.2000000002</v>
      </c>
      <c r="Z8" s="24">
        <f t="shared" si="11"/>
        <v>-3.9331256871265818E-2</v>
      </c>
      <c r="AA8" s="42">
        <f t="shared" si="12"/>
        <v>20742016.699999999</v>
      </c>
      <c r="AB8" s="8">
        <f t="shared" ref="AB8" si="14">C8/$C$8</f>
        <v>1</v>
      </c>
    </row>
    <row r="9" spans="1:2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5">
      <c r="A10" s="3" t="s">
        <v>53</v>
      </c>
      <c r="B10" s="4">
        <v>44896</v>
      </c>
      <c r="C10" s="4">
        <f t="shared" ref="C10:Z10" si="15">C3</f>
        <v>44927</v>
      </c>
      <c r="D10" s="4" t="str">
        <f t="shared" si="15"/>
        <v>Vari</v>
      </c>
      <c r="E10" s="4">
        <f t="shared" si="15"/>
        <v>44958</v>
      </c>
      <c r="F10" s="4" t="str">
        <f t="shared" si="15"/>
        <v>Vari</v>
      </c>
      <c r="G10" s="4">
        <f t="shared" si="15"/>
        <v>44986</v>
      </c>
      <c r="H10" s="4" t="str">
        <f t="shared" si="15"/>
        <v>Vari</v>
      </c>
      <c r="I10" s="4">
        <f t="shared" si="15"/>
        <v>45017</v>
      </c>
      <c r="J10" s="4" t="str">
        <f t="shared" si="15"/>
        <v>Vari</v>
      </c>
      <c r="K10" s="4">
        <f t="shared" si="15"/>
        <v>45047</v>
      </c>
      <c r="L10" s="4" t="str">
        <f t="shared" si="15"/>
        <v>Vari</v>
      </c>
      <c r="M10" s="4">
        <f t="shared" si="15"/>
        <v>45078</v>
      </c>
      <c r="N10" s="4" t="str">
        <f t="shared" si="15"/>
        <v>Vari</v>
      </c>
      <c r="O10" s="4">
        <f t="shared" si="15"/>
        <v>45108</v>
      </c>
      <c r="P10" s="4" t="str">
        <f t="shared" si="15"/>
        <v>Vari</v>
      </c>
      <c r="Q10" s="4">
        <f t="shared" si="15"/>
        <v>45139</v>
      </c>
      <c r="R10" s="4" t="str">
        <f t="shared" si="15"/>
        <v>Vari</v>
      </c>
      <c r="S10" s="4">
        <f t="shared" si="15"/>
        <v>45170</v>
      </c>
      <c r="T10" s="4" t="str">
        <f t="shared" si="15"/>
        <v>Vari</v>
      </c>
      <c r="U10" s="4">
        <f t="shared" si="15"/>
        <v>45200</v>
      </c>
      <c r="V10" s="4" t="str">
        <f t="shared" si="15"/>
        <v>Vari</v>
      </c>
      <c r="W10" s="4">
        <f t="shared" si="15"/>
        <v>45231</v>
      </c>
      <c r="X10" s="4" t="str">
        <f t="shared" si="15"/>
        <v>Vari</v>
      </c>
      <c r="Y10" s="4">
        <f t="shared" si="15"/>
        <v>45261</v>
      </c>
      <c r="Z10" s="4" t="str">
        <f t="shared" si="15"/>
        <v>Vari</v>
      </c>
      <c r="AA10" s="4" t="s">
        <v>54</v>
      </c>
      <c r="AB10" s="3" t="s">
        <v>11</v>
      </c>
    </row>
    <row r="11" spans="1:28" x14ac:dyDescent="0.35">
      <c r="A11" s="3" t="s">
        <v>0</v>
      </c>
      <c r="B11" s="23">
        <v>7874936</v>
      </c>
      <c r="C11" s="23">
        <v>9439403</v>
      </c>
      <c r="D11" s="24">
        <f>C11/B11-1</f>
        <v>0.19866409073038827</v>
      </c>
      <c r="E11" s="23">
        <v>7979552</v>
      </c>
      <c r="F11" s="24">
        <f>E11/C11-1</f>
        <v>-0.15465501366982637</v>
      </c>
      <c r="G11" s="23">
        <v>10408161</v>
      </c>
      <c r="H11" s="24">
        <f>G11/E11-1</f>
        <v>0.30435405396192672</v>
      </c>
      <c r="I11" s="23">
        <v>7808312</v>
      </c>
      <c r="J11" s="24">
        <f>I11/G11-1</f>
        <v>-0.24978946809143321</v>
      </c>
      <c r="K11" s="23">
        <v>9176717</v>
      </c>
      <c r="L11" s="24">
        <f>K11/I11-1</f>
        <v>0.17524978510080036</v>
      </c>
      <c r="M11" s="23">
        <v>8935181</v>
      </c>
      <c r="N11" s="24">
        <f>M11/K11-1</f>
        <v>-2.6320523995672973E-2</v>
      </c>
      <c r="O11" s="23">
        <v>7566130</v>
      </c>
      <c r="P11" s="24">
        <f>O11/M11-1</f>
        <v>-0.15322028731147141</v>
      </c>
      <c r="Q11" s="23">
        <v>9903876</v>
      </c>
      <c r="R11" s="24">
        <f>Q11/O11-1</f>
        <v>0.308975129954151</v>
      </c>
      <c r="S11" s="23">
        <v>7732819</v>
      </c>
      <c r="T11" s="24">
        <f>S11/Q11-1</f>
        <v>-0.21921286171191967</v>
      </c>
      <c r="U11" s="23">
        <v>8739080</v>
      </c>
      <c r="V11" s="24">
        <f>U11/S11-1</f>
        <v>0.13012861157101963</v>
      </c>
      <c r="W11" s="23">
        <v>8167422</v>
      </c>
      <c r="X11" s="24">
        <f>W11/U11-1</f>
        <v>-6.5413979503563313E-2</v>
      </c>
      <c r="Y11" s="23">
        <v>7598627</v>
      </c>
      <c r="Z11" s="24">
        <f>Y11/W11-1</f>
        <v>-6.9641926179399127E-2</v>
      </c>
      <c r="AA11" s="44">
        <f>C11+E11+G11+I11+K11+M11+O11+Q11+S11+U11+W11+Y11</f>
        <v>103455280</v>
      </c>
      <c r="AB11" s="8">
        <f>AA11/$AA$15</f>
        <v>0.38822626704492419</v>
      </c>
    </row>
    <row r="12" spans="1:28" x14ac:dyDescent="0.35">
      <c r="A12" s="3" t="s">
        <v>2</v>
      </c>
      <c r="B12" s="23">
        <v>10848769.52</v>
      </c>
      <c r="C12" s="23">
        <v>11708285.359999999</v>
      </c>
      <c r="D12" s="24">
        <f t="shared" ref="D12:D15" si="16">C12/B12-1</f>
        <v>7.9227034772511251E-2</v>
      </c>
      <c r="E12" s="23">
        <v>13212444.52</v>
      </c>
      <c r="F12" s="24">
        <f t="shared" ref="F12:F15" si="17">E12/C12-1</f>
        <v>0.12846963613807927</v>
      </c>
      <c r="G12" s="23">
        <v>14113922</v>
      </c>
      <c r="H12" s="24">
        <f t="shared" ref="H12:H15" si="18">G12/E12-1</f>
        <v>6.8229424058160681E-2</v>
      </c>
      <c r="I12" s="23">
        <v>10921084.6</v>
      </c>
      <c r="J12" s="24">
        <f t="shared" ref="J12:J14" si="19">I12/G12-1</f>
        <v>-0.22621900560312014</v>
      </c>
      <c r="K12" s="23">
        <v>10745352.43</v>
      </c>
      <c r="L12" s="24">
        <f t="shared" ref="L12:L15" si="20">K12/I12-1</f>
        <v>-1.6091091355523446E-2</v>
      </c>
      <c r="M12" s="23">
        <v>12031946.560000001</v>
      </c>
      <c r="N12" s="24">
        <f t="shared" ref="N12:N15" si="21">M12/K12-1</f>
        <v>0.11973494014100017</v>
      </c>
      <c r="O12" s="23">
        <v>10641207.23</v>
      </c>
      <c r="P12" s="24">
        <f t="shared" ref="P12:P15" si="22">O12/M12-1</f>
        <v>-0.11558722631161689</v>
      </c>
      <c r="Q12" s="23">
        <v>13417895.800000001</v>
      </c>
      <c r="R12" s="24">
        <f t="shared" ref="R12:R15" si="23">Q12/O12-1</f>
        <v>0.26093736452870497</v>
      </c>
      <c r="S12" s="23">
        <v>12709164.1</v>
      </c>
      <c r="T12" s="24">
        <f t="shared" ref="T12:T15" si="24">S12/Q12-1</f>
        <v>-5.2819884023842301E-2</v>
      </c>
      <c r="U12" s="23">
        <v>13022623.869999999</v>
      </c>
      <c r="V12" s="24">
        <f t="shared" ref="V12:V15" si="25">U12/S12-1</f>
        <v>2.4664074484646914E-2</v>
      </c>
      <c r="W12" s="23">
        <v>11282296.83</v>
      </c>
      <c r="X12" s="24">
        <f t="shared" ref="X12:X15" si="26">W12/U12-1</f>
        <v>-0.13363873957913819</v>
      </c>
      <c r="Y12" s="23">
        <v>10668722.029999999</v>
      </c>
      <c r="Z12" s="24">
        <f t="shared" ref="Z12:Z15" si="27">Y12/W12-1</f>
        <v>-5.4383855454723129E-2</v>
      </c>
      <c r="AA12" s="44">
        <f t="shared" ref="AA12:AA15" si="28">C12+E12+G12+I12+K12+M12+O12+Q12+S12+U12+W12+Y12</f>
        <v>144474945.32999998</v>
      </c>
      <c r="AB12" s="8">
        <f t="shared" ref="AB12:AB15" si="29">AA12/$AA$15</f>
        <v>0.54215665654749956</v>
      </c>
    </row>
    <row r="13" spans="1:28" x14ac:dyDescent="0.35">
      <c r="A13" s="3" t="s">
        <v>1</v>
      </c>
      <c r="B13" s="23">
        <v>1469486</v>
      </c>
      <c r="C13" s="23">
        <v>1865255</v>
      </c>
      <c r="D13" s="24">
        <f t="shared" si="16"/>
        <v>0.26932478431233786</v>
      </c>
      <c r="E13" s="23">
        <v>1209214</v>
      </c>
      <c r="F13" s="24">
        <f t="shared" si="17"/>
        <v>-0.35171652133354425</v>
      </c>
      <c r="G13" s="23">
        <v>1421506</v>
      </c>
      <c r="H13" s="24">
        <f t="shared" si="18"/>
        <v>0.17556197662283113</v>
      </c>
      <c r="I13" s="23">
        <v>1308789</v>
      </c>
      <c r="J13" s="24">
        <f t="shared" si="19"/>
        <v>-7.9294072624385703E-2</v>
      </c>
      <c r="K13" s="23">
        <v>1385444</v>
      </c>
      <c r="L13" s="24">
        <f t="shared" si="20"/>
        <v>5.8569410348039197E-2</v>
      </c>
      <c r="M13" s="23">
        <v>1192846</v>
      </c>
      <c r="N13" s="24">
        <f t="shared" si="21"/>
        <v>-0.13901536258412461</v>
      </c>
      <c r="O13" s="23">
        <v>1334910</v>
      </c>
      <c r="P13" s="24">
        <f t="shared" si="22"/>
        <v>0.11909668138217344</v>
      </c>
      <c r="Q13" s="23">
        <v>1795328</v>
      </c>
      <c r="R13" s="24">
        <f t="shared" si="23"/>
        <v>0.34490564906997467</v>
      </c>
      <c r="S13" s="23">
        <v>1472213</v>
      </c>
      <c r="T13" s="24">
        <f t="shared" si="24"/>
        <v>-0.1799754696634821</v>
      </c>
      <c r="U13" s="23">
        <v>1999048</v>
      </c>
      <c r="V13" s="24">
        <f t="shared" si="25"/>
        <v>0.35785243032088432</v>
      </c>
      <c r="W13" s="23">
        <v>1050772</v>
      </c>
      <c r="X13" s="24">
        <f t="shared" si="26"/>
        <v>-0.4743637971674517</v>
      </c>
      <c r="Y13" s="23">
        <v>1577283</v>
      </c>
      <c r="Z13" s="24">
        <f t="shared" si="27"/>
        <v>0.5010706413950885</v>
      </c>
      <c r="AA13" s="44">
        <f t="shared" si="28"/>
        <v>17612608</v>
      </c>
      <c r="AB13" s="8">
        <f t="shared" si="29"/>
        <v>6.6093069940611718E-2</v>
      </c>
    </row>
    <row r="14" spans="1:28" x14ac:dyDescent="0.35">
      <c r="A14" s="3" t="s">
        <v>3</v>
      </c>
      <c r="B14" s="23">
        <v>610</v>
      </c>
      <c r="C14" s="23">
        <v>44405</v>
      </c>
      <c r="D14" s="24">
        <f t="shared" si="16"/>
        <v>71.795081967213122</v>
      </c>
      <c r="E14" s="23">
        <v>78096</v>
      </c>
      <c r="F14" s="24">
        <f t="shared" si="17"/>
        <v>0.75872086476748124</v>
      </c>
      <c r="G14" s="23">
        <v>38882</v>
      </c>
      <c r="H14" s="24">
        <f t="shared" si="18"/>
        <v>-0.50212558901864379</v>
      </c>
      <c r="I14" s="23">
        <v>121286</v>
      </c>
      <c r="J14" s="24">
        <f t="shared" si="19"/>
        <v>2.1193354251324519</v>
      </c>
      <c r="K14" s="23">
        <v>78014</v>
      </c>
      <c r="L14" s="24">
        <f t="shared" si="20"/>
        <v>-0.35677654469600784</v>
      </c>
      <c r="M14" s="23">
        <v>123795</v>
      </c>
      <c r="N14" s="24">
        <f t="shared" si="21"/>
        <v>0.58683056887225371</v>
      </c>
      <c r="O14" s="23">
        <v>82077</v>
      </c>
      <c r="P14" s="24">
        <f t="shared" si="22"/>
        <v>-0.33699260874833392</v>
      </c>
      <c r="Q14" s="23">
        <v>82842</v>
      </c>
      <c r="R14" s="24">
        <f t="shared" si="23"/>
        <v>9.3205161007345882E-3</v>
      </c>
      <c r="S14" s="23">
        <v>977</v>
      </c>
      <c r="T14" s="24">
        <f t="shared" si="24"/>
        <v>-0.98820646531952394</v>
      </c>
      <c r="U14" s="23">
        <v>125926</v>
      </c>
      <c r="V14" s="24">
        <f t="shared" si="25"/>
        <v>127.89048106448311</v>
      </c>
      <c r="W14" s="23">
        <v>82812</v>
      </c>
      <c r="X14" s="24">
        <f t="shared" si="26"/>
        <v>-0.34237568095548176</v>
      </c>
      <c r="Y14" s="23">
        <v>79972</v>
      </c>
      <c r="Z14" s="24">
        <f t="shared" si="27"/>
        <v>-3.4294546684055405E-2</v>
      </c>
      <c r="AA14" s="44">
        <f t="shared" si="28"/>
        <v>939084</v>
      </c>
      <c r="AB14" s="8">
        <f t="shared" si="29"/>
        <v>3.5240064669644277E-3</v>
      </c>
    </row>
    <row r="15" spans="1:28" x14ac:dyDescent="0.35">
      <c r="A15" s="3" t="s">
        <v>7</v>
      </c>
      <c r="B15" s="25">
        <v>20193801.52</v>
      </c>
      <c r="C15" s="25">
        <f>SUM(C11:C14)</f>
        <v>23057348.359999999</v>
      </c>
      <c r="D15" s="24">
        <f t="shared" si="16"/>
        <v>0.14180325765626312</v>
      </c>
      <c r="E15" s="25">
        <f>SUM(E11:E14)</f>
        <v>22479306.52</v>
      </c>
      <c r="F15" s="24">
        <f t="shared" si="17"/>
        <v>-2.5069744836868968E-2</v>
      </c>
      <c r="G15" s="25">
        <f>SUM(G11:G14)</f>
        <v>25982471</v>
      </c>
      <c r="H15" s="24">
        <f t="shared" si="18"/>
        <v>0.15583952631649067</v>
      </c>
      <c r="I15" s="25">
        <f>SUM(I11:I14)</f>
        <v>20159471.600000001</v>
      </c>
      <c r="J15" s="24">
        <f>I15/G15-1</f>
        <v>-0.22411261038259211</v>
      </c>
      <c r="K15" s="25">
        <f>SUM(K11:K14)</f>
        <v>21385527.43</v>
      </c>
      <c r="L15" s="24">
        <f t="shared" si="20"/>
        <v>6.0817855464029069E-2</v>
      </c>
      <c r="M15" s="25">
        <f>SUM(M11:M14)</f>
        <v>22283768.560000002</v>
      </c>
      <c r="N15" s="24">
        <f t="shared" si="21"/>
        <v>4.2002290237646234E-2</v>
      </c>
      <c r="O15" s="25">
        <f>SUM(O11:O14)</f>
        <v>19624324.23</v>
      </c>
      <c r="P15" s="24">
        <f t="shared" si="22"/>
        <v>-0.11934446019932998</v>
      </c>
      <c r="Q15" s="25">
        <f>SUM(Q11:Q14)</f>
        <v>25199941.800000001</v>
      </c>
      <c r="R15" s="24">
        <f t="shared" si="23"/>
        <v>0.28411768500422907</v>
      </c>
      <c r="S15" s="25">
        <f>SUM(S11:S14)</f>
        <v>21915173.100000001</v>
      </c>
      <c r="T15" s="24">
        <f t="shared" si="24"/>
        <v>-0.13034826532813659</v>
      </c>
      <c r="U15" s="25">
        <f>SUM(U11:U14)</f>
        <v>23886677.869999997</v>
      </c>
      <c r="V15" s="24">
        <f t="shared" si="25"/>
        <v>8.9960720866950172E-2</v>
      </c>
      <c r="W15" s="25">
        <f>SUM(W11:W14)</f>
        <v>20583302.829999998</v>
      </c>
      <c r="X15" s="24">
        <f t="shared" si="26"/>
        <v>-0.13829361529377038</v>
      </c>
      <c r="Y15" s="25">
        <f>SUM(Y11:Y14)</f>
        <v>19924604.030000001</v>
      </c>
      <c r="Z15" s="24">
        <f t="shared" si="27"/>
        <v>-3.2001608558173134E-2</v>
      </c>
      <c r="AA15" s="44">
        <f t="shared" si="28"/>
        <v>266481917.33000001</v>
      </c>
      <c r="AB15" s="8">
        <f t="shared" si="29"/>
        <v>1</v>
      </c>
    </row>
    <row r="16" spans="1:28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33"/>
      <c r="AB16" s="12"/>
    </row>
    <row r="17" spans="1:28" x14ac:dyDescent="0.35">
      <c r="A17" s="3" t="s">
        <v>44</v>
      </c>
      <c r="B17" s="4">
        <v>44896</v>
      </c>
      <c r="C17" s="36">
        <f t="shared" ref="C17:Z17" si="30">C10</f>
        <v>44927</v>
      </c>
      <c r="D17" s="36" t="str">
        <f t="shared" si="30"/>
        <v>Vari</v>
      </c>
      <c r="E17" s="36">
        <f t="shared" si="30"/>
        <v>44958</v>
      </c>
      <c r="F17" s="36" t="str">
        <f t="shared" si="30"/>
        <v>Vari</v>
      </c>
      <c r="G17" s="36">
        <f t="shared" si="30"/>
        <v>44986</v>
      </c>
      <c r="H17" s="36" t="str">
        <f t="shared" si="30"/>
        <v>Vari</v>
      </c>
      <c r="I17" s="36">
        <f t="shared" si="30"/>
        <v>45017</v>
      </c>
      <c r="J17" s="36" t="str">
        <f t="shared" si="30"/>
        <v>Vari</v>
      </c>
      <c r="K17" s="36">
        <f t="shared" si="30"/>
        <v>45047</v>
      </c>
      <c r="L17" s="36" t="str">
        <f t="shared" si="30"/>
        <v>Vari</v>
      </c>
      <c r="M17" s="36">
        <f t="shared" si="30"/>
        <v>45078</v>
      </c>
      <c r="N17" s="36" t="str">
        <f t="shared" si="30"/>
        <v>Vari</v>
      </c>
      <c r="O17" s="36">
        <f t="shared" si="30"/>
        <v>45108</v>
      </c>
      <c r="P17" s="36" t="str">
        <f t="shared" si="30"/>
        <v>Vari</v>
      </c>
      <c r="Q17" s="36">
        <f t="shared" si="30"/>
        <v>45139</v>
      </c>
      <c r="R17" s="36" t="str">
        <f t="shared" si="30"/>
        <v>Vari</v>
      </c>
      <c r="S17" s="36">
        <f t="shared" si="30"/>
        <v>45170</v>
      </c>
      <c r="T17" s="36" t="str">
        <f t="shared" si="30"/>
        <v>Vari</v>
      </c>
      <c r="U17" s="36">
        <f t="shared" si="30"/>
        <v>45200</v>
      </c>
      <c r="V17" s="36" t="str">
        <f t="shared" si="30"/>
        <v>Vari</v>
      </c>
      <c r="W17" s="36">
        <f t="shared" si="30"/>
        <v>45231</v>
      </c>
      <c r="X17" s="36" t="str">
        <f t="shared" si="30"/>
        <v>Vari</v>
      </c>
      <c r="Y17" s="49">
        <f t="shared" si="30"/>
        <v>45261</v>
      </c>
      <c r="Z17" s="49" t="str">
        <f t="shared" si="30"/>
        <v>Vari</v>
      </c>
      <c r="AA17" s="4" t="s">
        <v>55</v>
      </c>
      <c r="AB17" s="12"/>
    </row>
    <row r="18" spans="1:28" x14ac:dyDescent="0.35">
      <c r="A18" s="3" t="s">
        <v>0</v>
      </c>
      <c r="B18" s="26">
        <v>8.5355178759548007</v>
      </c>
      <c r="C18" s="35">
        <f>C4/C11*100</f>
        <v>8.6178381196353193</v>
      </c>
      <c r="D18" s="27">
        <f>C18/B18-1</f>
        <v>9.6444345705632983E-3</v>
      </c>
      <c r="E18" s="35">
        <f>E4/E11*100</f>
        <v>8.6142725807163103</v>
      </c>
      <c r="F18" s="27">
        <f>E18/C18-1</f>
        <v>-4.1373937053712506E-4</v>
      </c>
      <c r="G18" s="35">
        <f>G4/G11*100</f>
        <v>8.4094006616538692</v>
      </c>
      <c r="H18" s="27">
        <f>G18/E18-1</f>
        <v>-2.3782846101371602E-2</v>
      </c>
      <c r="I18" s="35">
        <f>I4/I11*100</f>
        <v>8.2260452707320102</v>
      </c>
      <c r="J18" s="27">
        <f>I18/G18-1</f>
        <v>-2.1803621720385302E-2</v>
      </c>
      <c r="K18" s="35">
        <f>K4/K11*100</f>
        <v>7.2614971127474019</v>
      </c>
      <c r="L18" s="27">
        <f>K18/I18-1</f>
        <v>-0.11725539141103902</v>
      </c>
      <c r="M18" s="35">
        <f>M4/M11*100</f>
        <v>7.3647715698204665</v>
      </c>
      <c r="N18" s="27">
        <f>M18/K18-1</f>
        <v>1.4222199013447012E-2</v>
      </c>
      <c r="O18" s="35">
        <f>O4/O11*100</f>
        <v>7.3632332513451404</v>
      </c>
      <c r="P18" s="27">
        <f>O18/M18-1</f>
        <v>-2.0887524626422849E-4</v>
      </c>
      <c r="Q18" s="35">
        <f>Q4/Q11*100</f>
        <v>7.3144681940686658</v>
      </c>
      <c r="R18" s="27">
        <f>Q18/O18-1</f>
        <v>-6.6227777406842048E-3</v>
      </c>
      <c r="S18" s="35">
        <f>S4/S11*100</f>
        <v>7.6512795657055985</v>
      </c>
      <c r="T18" s="27">
        <f>S18/Q18-1</f>
        <v>4.6047280909643495E-2</v>
      </c>
      <c r="U18" s="35">
        <f>U4/U11*100</f>
        <v>7.7519846482696124</v>
      </c>
      <c r="V18" s="27">
        <f>U18/S18-1</f>
        <v>1.3161861581348022E-2</v>
      </c>
      <c r="W18" s="35">
        <f>W4/W11*100</f>
        <v>7.2507027309229279</v>
      </c>
      <c r="X18" s="27">
        <f>W18/U18-1</f>
        <v>-6.466497807868854E-2</v>
      </c>
      <c r="Y18" s="47">
        <f>Y4/Y11*100</f>
        <v>6.8927686541265949</v>
      </c>
      <c r="Z18" s="48">
        <f>Y18/W18-1</f>
        <v>-4.9365432576598312E-2</v>
      </c>
      <c r="AA18" s="41">
        <f>(C18+E18+G18+I18+K18+M18+O18+Q18+S18+U18+W18+Y18)/12</f>
        <v>7.7265218633119934</v>
      </c>
      <c r="AB18" s="12"/>
    </row>
    <row r="19" spans="1:28" x14ac:dyDescent="0.35">
      <c r="A19" s="3" t="s">
        <v>2</v>
      </c>
      <c r="B19" s="26">
        <v>8.3094581218460615</v>
      </c>
      <c r="C19" s="35">
        <f>C5/C12*100</f>
        <v>8.5217291799932706</v>
      </c>
      <c r="D19" s="27">
        <f t="shared" ref="D19:D22" si="31">C19/B19-1</f>
        <v>2.554571610261025E-2</v>
      </c>
      <c r="E19" s="35">
        <f t="shared" ref="E19:E22" si="32">E5/E12*100</f>
        <v>8.1874071702819151</v>
      </c>
      <c r="F19" s="27">
        <f t="shared" ref="F19:F22" si="33">E19/C19-1</f>
        <v>-3.9231710213961435E-2</v>
      </c>
      <c r="G19" s="35">
        <f t="shared" ref="G19:G22" si="34">G5/G12*100</f>
        <v>7.6153859997242428</v>
      </c>
      <c r="H19" s="27">
        <f t="shared" ref="H19:H22" si="35">G19/E19-1</f>
        <v>-6.9865973275880955E-2</v>
      </c>
      <c r="I19" s="35">
        <f t="shared" ref="I19:I22" si="36">I5/I12*100</f>
        <v>8.2653780559487657</v>
      </c>
      <c r="J19" s="27">
        <f t="shared" ref="J19:J22" si="37">I19/G19-1</f>
        <v>8.5352476715961467E-2</v>
      </c>
      <c r="K19" s="35">
        <f t="shared" ref="K19:K22" si="38">K5/K12*100</f>
        <v>7.8685167890765957</v>
      </c>
      <c r="L19" s="27">
        <f t="shared" ref="L19:L22" si="39">K19/I19-1</f>
        <v>-4.8014895892939946E-2</v>
      </c>
      <c r="M19" s="35">
        <f t="shared" ref="M19:M22" si="40">M5/M12*100</f>
        <v>7.9300680504352243</v>
      </c>
      <c r="N19" s="27">
        <f t="shared" ref="N19:N22" si="41">M19/K19-1</f>
        <v>7.8224731558147464E-3</v>
      </c>
      <c r="O19" s="35">
        <f t="shared" ref="O19:O22" si="42">O5/O12*100</f>
        <v>7.5241584220139286</v>
      </c>
      <c r="P19" s="27">
        <f t="shared" ref="P19:P22" si="43">O19/M19-1</f>
        <v>-5.1186146933382082E-2</v>
      </c>
      <c r="Q19" s="35">
        <f t="shared" ref="Q19:Q22" si="44">Q5/Q12*100</f>
        <v>7.5568615609609964</v>
      </c>
      <c r="R19" s="27">
        <f t="shared" ref="R19:R22" si="45">Q19/O19-1</f>
        <v>4.3464181789933942E-3</v>
      </c>
      <c r="S19" s="35">
        <f t="shared" ref="S19:S22" si="46">S5/S12*100</f>
        <v>7.6359316188229869</v>
      </c>
      <c r="T19" s="27">
        <f t="shared" ref="T19:T22" si="47">S19/Q19-1</f>
        <v>1.0463346089396364E-2</v>
      </c>
      <c r="U19" s="35">
        <f t="shared" ref="U19:U22" si="48">U5/U12*100</f>
        <v>7.5858828440539146</v>
      </c>
      <c r="V19" s="27">
        <f t="shared" ref="V19:V22" si="49">U19/S19-1</f>
        <v>-6.5543770252864952E-3</v>
      </c>
      <c r="W19" s="35">
        <f t="shared" ref="W19:W22" si="50">W5/W12*100</f>
        <v>7.6925538574045831</v>
      </c>
      <c r="X19" s="27">
        <f t="shared" ref="X19:X22" si="51">W19/U19-1</f>
        <v>1.4061779695725418E-2</v>
      </c>
      <c r="Y19" s="47">
        <f t="shared" ref="Y19:Y22" si="52">Y5/Y12*100</f>
        <v>7.892563398242368</v>
      </c>
      <c r="Z19" s="48">
        <f t="shared" ref="Z19:Z22" si="53">Y19/W19-1</f>
        <v>2.6000408257819796E-2</v>
      </c>
      <c r="AA19" s="41">
        <f t="shared" ref="AA19:AA22" si="54">(C19+E19+G19+I19+K19+M19+O19+Q19+S19+U19+W19+Y19)/12</f>
        <v>7.8563697455799</v>
      </c>
      <c r="AB19" s="12"/>
    </row>
    <row r="20" spans="1:28" x14ac:dyDescent="0.35">
      <c r="A20" s="3" t="s">
        <v>1</v>
      </c>
      <c r="B20" s="26">
        <v>8.2026157445528582</v>
      </c>
      <c r="C20" s="35">
        <f>C6/C13*100</f>
        <v>9.82807283722601</v>
      </c>
      <c r="D20" s="27">
        <f t="shared" si="31"/>
        <v>0.19816326197561729</v>
      </c>
      <c r="E20" s="35">
        <f t="shared" si="32"/>
        <v>7.6398974871280032</v>
      </c>
      <c r="F20" s="27">
        <f t="shared" si="33"/>
        <v>-0.22264541445091923</v>
      </c>
      <c r="G20" s="35">
        <f t="shared" si="34"/>
        <v>8.5162651441499371</v>
      </c>
      <c r="H20" s="27">
        <f t="shared" si="35"/>
        <v>0.11470934767102214</v>
      </c>
      <c r="I20" s="35">
        <f t="shared" si="36"/>
        <v>7.2805142769384528</v>
      </c>
      <c r="J20" s="27">
        <f t="shared" si="37"/>
        <v>-0.14510479022137501</v>
      </c>
      <c r="K20" s="35">
        <f t="shared" si="38"/>
        <v>7.7875294851325645</v>
      </c>
      <c r="L20" s="27">
        <f t="shared" si="39"/>
        <v>6.96400266393431E-2</v>
      </c>
      <c r="M20" s="35">
        <f t="shared" si="40"/>
        <v>7.1709172852153582</v>
      </c>
      <c r="N20" s="27">
        <f t="shared" si="41"/>
        <v>-7.9179436956791194E-2</v>
      </c>
      <c r="O20" s="35">
        <f t="shared" si="42"/>
        <v>7.3011940879909503</v>
      </c>
      <c r="P20" s="27">
        <f t="shared" si="43"/>
        <v>1.8167383278034688E-2</v>
      </c>
      <c r="Q20" s="35">
        <f t="shared" si="44"/>
        <v>7.0463191127192353</v>
      </c>
      <c r="R20" s="27">
        <f t="shared" si="45"/>
        <v>-3.4908670033979128E-2</v>
      </c>
      <c r="S20" s="35">
        <f t="shared" si="46"/>
        <v>8.0600612818933133</v>
      </c>
      <c r="T20" s="27">
        <f t="shared" si="47"/>
        <v>0.14386833082029771</v>
      </c>
      <c r="U20" s="35">
        <f t="shared" si="48"/>
        <v>7.3275269028057348</v>
      </c>
      <c r="V20" s="27">
        <f t="shared" si="49"/>
        <v>-9.088446768180225E-2</v>
      </c>
      <c r="W20" s="35">
        <f t="shared" si="50"/>
        <v>7.831084193335947</v>
      </c>
      <c r="X20" s="27">
        <f t="shared" si="51"/>
        <v>6.8721315828591312E-2</v>
      </c>
      <c r="Y20" s="47">
        <f t="shared" si="52"/>
        <v>7.3452253019908289</v>
      </c>
      <c r="Z20" s="48">
        <f t="shared" si="53"/>
        <v>-6.2042353185089216E-2</v>
      </c>
      <c r="AA20" s="41">
        <f t="shared" si="54"/>
        <v>7.7612172830438615</v>
      </c>
      <c r="AB20" s="12"/>
    </row>
    <row r="21" spans="1:28" x14ac:dyDescent="0.35">
      <c r="A21" s="3" t="s">
        <v>3</v>
      </c>
      <c r="B21" s="26">
        <v>19.495081967213114</v>
      </c>
      <c r="C21" s="35">
        <f>C7/C14*100</f>
        <v>2.5574597455241528</v>
      </c>
      <c r="D21" s="27">
        <f t="shared" si="31"/>
        <v>-0.8688151324613409</v>
      </c>
      <c r="E21" s="35">
        <f t="shared" si="32"/>
        <v>1.8120262241343985</v>
      </c>
      <c r="F21" s="27">
        <f t="shared" si="33"/>
        <v>-0.29147419531992569</v>
      </c>
      <c r="G21" s="35">
        <f t="shared" si="34"/>
        <v>1.9227663186050101</v>
      </c>
      <c r="H21" s="27">
        <f t="shared" si="35"/>
        <v>6.111395795251906E-2</v>
      </c>
      <c r="I21" s="35">
        <f t="shared" si="36"/>
        <v>1.8155351813069931</v>
      </c>
      <c r="J21" s="27">
        <f t="shared" si="37"/>
        <v>-5.5769198919510155E-2</v>
      </c>
      <c r="K21" s="35">
        <f t="shared" si="38"/>
        <v>4.3149306534724534</v>
      </c>
      <c r="L21" s="27">
        <f t="shared" si="39"/>
        <v>1.3766714618915619</v>
      </c>
      <c r="M21" s="35">
        <f t="shared" si="40"/>
        <v>1.5684316814087809</v>
      </c>
      <c r="N21" s="27">
        <f t="shared" si="41"/>
        <v>-0.63651057053568616</v>
      </c>
      <c r="O21" s="35">
        <f t="shared" si="42"/>
        <v>1.6048954030970917</v>
      </c>
      <c r="P21" s="27">
        <f t="shared" si="43"/>
        <v>2.3248524064215959E-2</v>
      </c>
      <c r="Q21" s="35">
        <f t="shared" si="44"/>
        <v>4.1509862147220007</v>
      </c>
      <c r="R21" s="27">
        <f t="shared" si="45"/>
        <v>1.5864528035356815</v>
      </c>
      <c r="S21" s="35">
        <f t="shared" si="46"/>
        <v>6.6161719549641758</v>
      </c>
      <c r="T21" s="27">
        <f t="shared" si="47"/>
        <v>0.59387952951977541</v>
      </c>
      <c r="U21" s="35">
        <f t="shared" si="48"/>
        <v>1.683441068564077</v>
      </c>
      <c r="V21" s="27">
        <f t="shared" si="49"/>
        <v>-0.74555663304654962</v>
      </c>
      <c r="W21" s="35">
        <f t="shared" si="50"/>
        <v>1.5207337100903249</v>
      </c>
      <c r="X21" s="27">
        <f t="shared" si="51"/>
        <v>-9.6651650902479513E-2</v>
      </c>
      <c r="Y21" s="47">
        <f t="shared" si="52"/>
        <v>1.5990346621317462</v>
      </c>
      <c r="Z21" s="48">
        <f t="shared" si="53"/>
        <v>5.1488930324803839E-2</v>
      </c>
      <c r="AA21" s="41">
        <f t="shared" si="54"/>
        <v>2.5972010681684337</v>
      </c>
      <c r="AB21" s="12"/>
    </row>
    <row r="22" spans="1:28" x14ac:dyDescent="0.35">
      <c r="A22" s="3" t="s">
        <v>8</v>
      </c>
      <c r="B22" s="28">
        <v>8.39017724484399</v>
      </c>
      <c r="C22" s="39">
        <f>C8/C15*100</f>
        <v>8.6552671575284297</v>
      </c>
      <c r="D22" s="27">
        <f t="shared" si="31"/>
        <v>3.1595269676495175E-2</v>
      </c>
      <c r="E22" s="35">
        <f t="shared" si="32"/>
        <v>8.2873322553012638</v>
      </c>
      <c r="F22" s="27">
        <f t="shared" si="33"/>
        <v>-4.2509941695691333E-2</v>
      </c>
      <c r="G22" s="35">
        <f t="shared" si="34"/>
        <v>7.9742239681514508</v>
      </c>
      <c r="H22" s="27">
        <f t="shared" si="35"/>
        <v>-3.778155352098056E-2</v>
      </c>
      <c r="I22" s="35">
        <f t="shared" si="36"/>
        <v>8.1473999050649706</v>
      </c>
      <c r="J22" s="27">
        <f t="shared" si="37"/>
        <v>2.1716964259490767E-2</v>
      </c>
      <c r="K22" s="35">
        <f t="shared" si="38"/>
        <v>7.5898292212473155</v>
      </c>
      <c r="L22" s="27">
        <f t="shared" si="39"/>
        <v>-6.8435413790236543E-2</v>
      </c>
      <c r="M22" s="35">
        <f t="shared" si="40"/>
        <v>7.6274210774696716</v>
      </c>
      <c r="N22" s="27">
        <f t="shared" si="41"/>
        <v>4.9529251748010594E-3</v>
      </c>
      <c r="O22" s="35">
        <f t="shared" si="42"/>
        <v>7.4221904047699283</v>
      </c>
      <c r="P22" s="27">
        <f t="shared" si="43"/>
        <v>-2.6906954606972677E-2</v>
      </c>
      <c r="Q22" s="35">
        <f t="shared" si="44"/>
        <v>7.4140289085905735</v>
      </c>
      <c r="R22" s="27">
        <f t="shared" si="45"/>
        <v>-1.0996074924337629E-3</v>
      </c>
      <c r="S22" s="35">
        <f t="shared" si="46"/>
        <v>7.6697938105722727</v>
      </c>
      <c r="T22" s="27">
        <f t="shared" si="47"/>
        <v>3.4497424428079349E-2</v>
      </c>
      <c r="U22" s="35">
        <f t="shared" si="48"/>
        <v>7.593914105059266</v>
      </c>
      <c r="V22" s="27">
        <f t="shared" si="49"/>
        <v>-9.8933175241832094E-3</v>
      </c>
      <c r="W22" s="35">
        <f t="shared" si="50"/>
        <v>7.4994691218853351</v>
      </c>
      <c r="X22" s="27">
        <f t="shared" si="51"/>
        <v>-1.2436930661489765E-2</v>
      </c>
      <c r="Y22" s="47">
        <f t="shared" si="52"/>
        <v>7.4426834167805547</v>
      </c>
      <c r="Z22" s="48">
        <f t="shared" si="53"/>
        <v>-7.5719633192522506E-3</v>
      </c>
      <c r="AA22" s="41">
        <f t="shared" si="54"/>
        <v>7.7769627793684188</v>
      </c>
      <c r="AB22" s="12"/>
    </row>
    <row r="23" spans="1:28" x14ac:dyDescent="0.35">
      <c r="A23" s="2" t="s">
        <v>10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50"/>
      <c r="V23" s="51"/>
    </row>
    <row r="24" spans="1:28" ht="15.5" x14ac:dyDescent="0.35">
      <c r="A24" s="18" t="s">
        <v>64</v>
      </c>
      <c r="B24" s="18"/>
      <c r="C24" s="18"/>
      <c r="D24" s="18"/>
      <c r="E24" s="18"/>
      <c r="F24" s="18"/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"/>
    </row>
    <row r="25" spans="1:28" ht="15.5" x14ac:dyDescent="0.35">
      <c r="A25" s="56" t="s">
        <v>63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S25" s="32"/>
      <c r="U25" s="45"/>
      <c r="W25" s="45"/>
    </row>
    <row r="26" spans="1:28" ht="15.5" x14ac:dyDescent="0.35">
      <c r="A26" s="20" t="s">
        <v>65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37"/>
      <c r="T26" s="37"/>
    </row>
    <row r="27" spans="1:28" ht="15.5" x14ac:dyDescent="0.35">
      <c r="A27" s="18" t="s">
        <v>66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U27" s="31"/>
      <c r="AA27" s="31"/>
    </row>
    <row r="28" spans="1:28" ht="15.5" x14ac:dyDescent="0.35">
      <c r="A28" s="20" t="s">
        <v>67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18"/>
      <c r="R28" s="18"/>
      <c r="S28" s="45"/>
    </row>
    <row r="29" spans="1:28" ht="15.5" x14ac:dyDescent="0.35">
      <c r="A29" s="20" t="s">
        <v>68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37"/>
      <c r="T29" s="37"/>
      <c r="U29" s="37"/>
    </row>
  </sheetData>
  <mergeCells count="2">
    <mergeCell ref="A1:AB1"/>
    <mergeCell ref="A25:O2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3175-3787-4D40-9FFE-4638A298C1CD}">
  <dimension ref="A1:AB29"/>
  <sheetViews>
    <sheetView workbookViewId="0">
      <selection activeCell="H2" sqref="H1:H1048576"/>
    </sheetView>
  </sheetViews>
  <sheetFormatPr defaultRowHeight="14.5" x14ac:dyDescent="0.35"/>
  <cols>
    <col min="2" max="3" width="9.36328125" hidden="1" customWidth="1"/>
    <col min="4" max="4" width="5.1796875" hidden="1" customWidth="1"/>
    <col min="5" max="5" width="9.36328125" hidden="1" customWidth="1"/>
    <col min="6" max="6" width="5.1796875" hidden="1" customWidth="1"/>
    <col min="7" max="7" width="9.36328125" bestFit="1" customWidth="1"/>
    <col min="8" max="8" width="5.1796875" customWidth="1"/>
    <col min="9" max="9" width="9.36328125" bestFit="1" customWidth="1"/>
    <col min="10" max="10" width="5.1796875" customWidth="1"/>
    <col min="11" max="11" width="9.36328125" bestFit="1" customWidth="1"/>
    <col min="12" max="12" width="5.1796875" customWidth="1"/>
    <col min="13" max="13" width="9.36328125" customWidth="1"/>
    <col min="14" max="14" width="5.1796875" customWidth="1"/>
    <col min="15" max="15" width="9.36328125" bestFit="1" customWidth="1"/>
    <col min="16" max="16" width="4.36328125" bestFit="1" customWidth="1"/>
    <col min="17" max="17" width="9.36328125" customWidth="1"/>
    <col min="18" max="18" width="4.1796875" bestFit="1" customWidth="1"/>
    <col min="19" max="19" width="9.36328125" bestFit="1" customWidth="1"/>
    <col min="20" max="20" width="4.1796875" bestFit="1" customWidth="1"/>
    <col min="21" max="21" width="9.36328125" bestFit="1" customWidth="1"/>
    <col min="22" max="22" width="4.1796875" bestFit="1" customWidth="1"/>
    <col min="23" max="23" width="9.36328125" bestFit="1" customWidth="1"/>
    <col min="24" max="24" width="4.36328125" bestFit="1" customWidth="1"/>
    <col min="25" max="25" width="9.36328125" bestFit="1" customWidth="1"/>
    <col min="26" max="26" width="4.1796875" bestFit="1" customWidth="1"/>
    <col min="27" max="27" width="10.1796875" bestFit="1" customWidth="1"/>
    <col min="28" max="28" width="6.54296875" bestFit="1" customWidth="1"/>
  </cols>
  <sheetData>
    <row r="1" spans="1:28" ht="20" x14ac:dyDescent="0.4">
      <c r="A1" s="55" t="s">
        <v>69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20" x14ac:dyDescent="0.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35">
      <c r="A3" s="3" t="s">
        <v>5</v>
      </c>
      <c r="B3" s="4">
        <v>45261</v>
      </c>
      <c r="C3" s="4">
        <v>45292</v>
      </c>
      <c r="D3" s="4" t="s">
        <v>9</v>
      </c>
      <c r="E3" s="4">
        <v>45323</v>
      </c>
      <c r="F3" s="4" t="s">
        <v>9</v>
      </c>
      <c r="G3" s="4">
        <v>45352</v>
      </c>
      <c r="H3" s="4" t="s">
        <v>9</v>
      </c>
      <c r="I3" s="4">
        <v>45383</v>
      </c>
      <c r="J3" s="4" t="s">
        <v>9</v>
      </c>
      <c r="K3" s="4">
        <v>45413</v>
      </c>
      <c r="L3" s="4" t="s">
        <v>9</v>
      </c>
      <c r="M3" s="4">
        <v>45444</v>
      </c>
      <c r="N3" s="4" t="s">
        <v>9</v>
      </c>
      <c r="O3" s="4">
        <v>45474</v>
      </c>
      <c r="P3" s="4" t="s">
        <v>9</v>
      </c>
      <c r="Q3" s="4">
        <v>45505</v>
      </c>
      <c r="R3" s="4" t="s">
        <v>9</v>
      </c>
      <c r="S3" s="4">
        <v>45536</v>
      </c>
      <c r="T3" s="4" t="s">
        <v>9</v>
      </c>
      <c r="U3" s="4">
        <v>45566</v>
      </c>
      <c r="V3" s="4" t="s">
        <v>9</v>
      </c>
      <c r="W3" s="4">
        <v>45597</v>
      </c>
      <c r="X3" s="4" t="s">
        <v>9</v>
      </c>
      <c r="Y3" s="4">
        <v>45627</v>
      </c>
      <c r="Z3" s="4" t="s">
        <v>9</v>
      </c>
      <c r="AA3" s="4" t="s">
        <v>52</v>
      </c>
      <c r="AB3" s="3" t="s">
        <v>11</v>
      </c>
    </row>
    <row r="4" spans="1:28" x14ac:dyDescent="0.35">
      <c r="A4" s="3" t="s">
        <v>0</v>
      </c>
      <c r="B4" s="29">
        <v>523755.78</v>
      </c>
      <c r="C4" s="29">
        <v>773341.85</v>
      </c>
      <c r="D4" s="24">
        <f>C4/B4-1</f>
        <v>0.47653139025978852</v>
      </c>
      <c r="E4" s="29">
        <v>580455.98</v>
      </c>
      <c r="F4" s="24">
        <f>E4/C4-1</f>
        <v>-0.24941863679044396</v>
      </c>
      <c r="G4" s="29">
        <v>689334.13</v>
      </c>
      <c r="H4" s="24">
        <f>G4/E4-1</f>
        <v>0.18757348317782863</v>
      </c>
      <c r="I4" s="29">
        <v>796794.12</v>
      </c>
      <c r="J4" s="24">
        <f>I4/G4-1</f>
        <v>0.15588955388006109</v>
      </c>
      <c r="K4" s="29">
        <v>743491.48</v>
      </c>
      <c r="L4" s="24">
        <f>K4/I4-1</f>
        <v>-6.6896377197161017E-2</v>
      </c>
      <c r="M4" s="29">
        <v>644558.72</v>
      </c>
      <c r="N4" s="24">
        <f>M4/K4-1</f>
        <v>-0.13306508905791359</v>
      </c>
      <c r="O4" s="29">
        <v>662208.78</v>
      </c>
      <c r="P4" s="24">
        <f>O4/M4-1</f>
        <v>2.7383168441193373E-2</v>
      </c>
      <c r="Q4" s="29">
        <v>734014.92</v>
      </c>
      <c r="R4" s="24">
        <f>Q4/O4-1</f>
        <v>0.10843429167459839</v>
      </c>
      <c r="S4" s="29">
        <v>706672.26</v>
      </c>
      <c r="T4" s="24">
        <f>S4/Q4-1</f>
        <v>-3.7250823184902027E-2</v>
      </c>
      <c r="U4" s="29">
        <v>684595.06</v>
      </c>
      <c r="V4" s="24">
        <f>U4/S4-1</f>
        <v>-3.1241073478673109E-2</v>
      </c>
      <c r="W4" s="29">
        <v>508659.74</v>
      </c>
      <c r="X4" s="24">
        <f>W4/U4-1</f>
        <v>-0.25699180476119721</v>
      </c>
      <c r="Y4" s="29">
        <v>609142.35</v>
      </c>
      <c r="Z4" s="24">
        <f>Y4/W4-1</f>
        <v>0.19754386301538229</v>
      </c>
      <c r="AA4" s="42">
        <f>C4+E4+G4+I4+K4+M4+O4+Q4+S4+U4+W4+Y4</f>
        <v>8133269.3900000006</v>
      </c>
      <c r="AB4" s="8">
        <f>AA4/$AA$8</f>
        <v>0.39997863576005094</v>
      </c>
    </row>
    <row r="5" spans="1:28" x14ac:dyDescent="0.35">
      <c r="A5" s="3" t="s">
        <v>2</v>
      </c>
      <c r="B5" s="29">
        <v>842035.65</v>
      </c>
      <c r="C5" s="29">
        <v>1042031.48</v>
      </c>
      <c r="D5" s="24">
        <f t="shared" ref="D5:D8" si="0">C5/B5-1</f>
        <v>0.23751468242466922</v>
      </c>
      <c r="E5" s="29">
        <v>1072167.08</v>
      </c>
      <c r="F5" s="24">
        <f t="shared" ref="F5:F8" si="1">E5/C5-1</f>
        <v>2.8920047597794429E-2</v>
      </c>
      <c r="G5" s="29">
        <v>913147.74</v>
      </c>
      <c r="H5" s="24">
        <f t="shared" ref="H5:H8" si="2">G5/E5-1</f>
        <v>-0.148315820329048</v>
      </c>
      <c r="I5" s="29">
        <v>975312.63</v>
      </c>
      <c r="J5" s="24">
        <f t="shared" ref="J5:J8" si="3">I5/G5-1</f>
        <v>6.8077581837961976E-2</v>
      </c>
      <c r="K5" s="29">
        <v>986623.87</v>
      </c>
      <c r="L5" s="24">
        <f t="shared" ref="L5:L8" si="4">K5/I5-1</f>
        <v>1.159755308408128E-2</v>
      </c>
      <c r="M5" s="29">
        <v>933561.64</v>
      </c>
      <c r="N5" s="24">
        <f t="shared" ref="N5:N8" si="5">M5/K5-1</f>
        <v>-5.3781619939927028E-2</v>
      </c>
      <c r="O5" s="29">
        <v>801383.38</v>
      </c>
      <c r="P5" s="24">
        <f t="shared" ref="P5:P8" si="6">O5/M5-1</f>
        <v>-0.14158493058905031</v>
      </c>
      <c r="Q5" s="29">
        <v>946426.8</v>
      </c>
      <c r="R5" s="24">
        <f t="shared" ref="R5:R8" si="7">Q5/O5-1</f>
        <v>0.18099130031870647</v>
      </c>
      <c r="S5" s="29">
        <v>790017.39</v>
      </c>
      <c r="T5" s="24">
        <f t="shared" ref="T5:T8" si="8">S5/Q5-1</f>
        <v>-0.16526308215278773</v>
      </c>
      <c r="U5" s="29">
        <v>892641.72</v>
      </c>
      <c r="V5" s="24">
        <f t="shared" ref="V5:V8" si="9">U5/S5-1</f>
        <v>0.1299013557157267</v>
      </c>
      <c r="W5" s="29">
        <v>693108.32</v>
      </c>
      <c r="X5" s="24">
        <f t="shared" ref="X5:X8" si="10">W5/U5-1</f>
        <v>-0.22353134021116561</v>
      </c>
      <c r="Y5" s="29">
        <v>792455.8</v>
      </c>
      <c r="Z5" s="24">
        <f t="shared" ref="Z5:Z8" si="11">Y5/W5-1</f>
        <v>0.14333615270986799</v>
      </c>
      <c r="AA5" s="42">
        <f t="shared" ref="AA5:AA7" si="12">C5+E5+G5+I5+K5+M5+O5+Q5+S5+U5+W5+Y5</f>
        <v>10838877.850000001</v>
      </c>
      <c r="AB5" s="8">
        <f t="shared" ref="AB5:AB7" si="13">AA5/$AA$8</f>
        <v>0.53303528602448447</v>
      </c>
    </row>
    <row r="6" spans="1:28" x14ac:dyDescent="0.35">
      <c r="A6" s="3" t="s">
        <v>1</v>
      </c>
      <c r="B6" s="29">
        <v>115854.99</v>
      </c>
      <c r="C6" s="29">
        <v>100662.17</v>
      </c>
      <c r="D6" s="24">
        <f t="shared" si="0"/>
        <v>-0.13113651815946825</v>
      </c>
      <c r="E6" s="29">
        <v>110075.24</v>
      </c>
      <c r="F6" s="24">
        <f t="shared" si="1"/>
        <v>9.3511494933995687E-2</v>
      </c>
      <c r="G6" s="29">
        <v>100218.42</v>
      </c>
      <c r="H6" s="24">
        <f t="shared" si="2"/>
        <v>-8.9546204941274743E-2</v>
      </c>
      <c r="I6" s="29">
        <v>118058.7</v>
      </c>
      <c r="J6" s="24">
        <f t="shared" si="3"/>
        <v>0.17801398186081951</v>
      </c>
      <c r="K6" s="29">
        <v>117053.44</v>
      </c>
      <c r="L6" s="24">
        <f t="shared" si="4"/>
        <v>-8.5149167321001418E-3</v>
      </c>
      <c r="M6" s="29">
        <v>99465.62</v>
      </c>
      <c r="N6" s="24">
        <f t="shared" si="5"/>
        <v>-0.15025461874507928</v>
      </c>
      <c r="O6" s="29">
        <v>132995.92000000001</v>
      </c>
      <c r="P6" s="24">
        <f t="shared" si="6"/>
        <v>0.33710441859207241</v>
      </c>
      <c r="Q6" s="29">
        <v>132337.93</v>
      </c>
      <c r="R6" s="24">
        <f t="shared" si="7"/>
        <v>-4.9474450043280882E-3</v>
      </c>
      <c r="S6" s="29">
        <v>101088.78</v>
      </c>
      <c r="T6" s="24">
        <f t="shared" si="8"/>
        <v>-0.23613147039552451</v>
      </c>
      <c r="U6" s="29">
        <v>98424.93</v>
      </c>
      <c r="V6" s="24">
        <f t="shared" si="9"/>
        <v>-2.6351589167462608E-2</v>
      </c>
      <c r="W6" s="29">
        <v>119554.71</v>
      </c>
      <c r="X6" s="24">
        <f t="shared" si="10"/>
        <v>0.21467914683810307</v>
      </c>
      <c r="Y6" s="29">
        <v>104306.09</v>
      </c>
      <c r="Z6" s="24">
        <f t="shared" si="11"/>
        <v>-0.12754512139254082</v>
      </c>
      <c r="AA6" s="42">
        <f t="shared" si="12"/>
        <v>1334241.95</v>
      </c>
      <c r="AB6" s="8">
        <f t="shared" si="13"/>
        <v>6.5615467697526991E-2</v>
      </c>
    </row>
    <row r="7" spans="1:28" x14ac:dyDescent="0.35">
      <c r="A7" s="3" t="s">
        <v>3</v>
      </c>
      <c r="B7" s="29">
        <v>1278.78</v>
      </c>
      <c r="C7" s="29">
        <v>1883.93</v>
      </c>
      <c r="D7" s="24">
        <f t="shared" si="0"/>
        <v>0.47322447958210168</v>
      </c>
      <c r="E7" s="29">
        <v>1903.89</v>
      </c>
      <c r="F7" s="24">
        <f t="shared" si="1"/>
        <v>1.0594873482560496E-2</v>
      </c>
      <c r="G7" s="29">
        <v>1820.62</v>
      </c>
      <c r="H7" s="24">
        <f t="shared" si="2"/>
        <v>-4.3736770506699552E-2</v>
      </c>
      <c r="I7" s="29">
        <v>1323.08</v>
      </c>
      <c r="J7" s="24">
        <f t="shared" si="3"/>
        <v>-0.27328053080818626</v>
      </c>
      <c r="K7" s="29">
        <v>7107.62</v>
      </c>
      <c r="L7" s="24">
        <f t="shared" si="4"/>
        <v>4.3720258790095841</v>
      </c>
      <c r="M7" s="29">
        <v>1661.16</v>
      </c>
      <c r="N7" s="24">
        <f t="shared" si="5"/>
        <v>-0.76628463536317359</v>
      </c>
      <c r="O7" s="29">
        <v>2692.27</v>
      </c>
      <c r="P7" s="24">
        <f t="shared" si="6"/>
        <v>0.62071684846733599</v>
      </c>
      <c r="Q7" s="29">
        <v>1868.97</v>
      </c>
      <c r="R7" s="24">
        <f t="shared" si="7"/>
        <v>-0.30580142407707989</v>
      </c>
      <c r="S7" s="29">
        <v>2486.9899999999998</v>
      </c>
      <c r="T7" s="24">
        <f t="shared" si="8"/>
        <v>0.3306741146192822</v>
      </c>
      <c r="U7" s="29">
        <v>1483.04</v>
      </c>
      <c r="V7" s="24">
        <f t="shared" si="9"/>
        <v>-0.40368075464718389</v>
      </c>
      <c r="W7" s="29">
        <v>1838.78</v>
      </c>
      <c r="X7" s="24">
        <f t="shared" si="10"/>
        <v>0.23987215449347299</v>
      </c>
      <c r="Y7" s="29">
        <v>1800</v>
      </c>
      <c r="Z7" s="24">
        <f t="shared" si="11"/>
        <v>-2.1090070590282672E-2</v>
      </c>
      <c r="AA7" s="42">
        <f t="shared" si="12"/>
        <v>27870.35</v>
      </c>
      <c r="AB7" s="8">
        <f t="shared" si="13"/>
        <v>1.3706105179377482E-3</v>
      </c>
    </row>
    <row r="8" spans="1:28" x14ac:dyDescent="0.35">
      <c r="A8" s="3" t="s">
        <v>7</v>
      </c>
      <c r="B8" s="30">
        <v>1482925.2000000002</v>
      </c>
      <c r="C8" s="30">
        <f>SUM(C4:C7)</f>
        <v>1917919.43</v>
      </c>
      <c r="D8" s="24">
        <f t="shared" si="0"/>
        <v>0.29333524711833059</v>
      </c>
      <c r="E8" s="30">
        <f>SUM(E4:E7)</f>
        <v>1764602.19</v>
      </c>
      <c r="F8" s="24">
        <f t="shared" si="1"/>
        <v>-7.9939353865349783E-2</v>
      </c>
      <c r="G8" s="30">
        <f>SUM(G4:G7)</f>
        <v>1704520.9100000001</v>
      </c>
      <c r="H8" s="24">
        <f t="shared" si="2"/>
        <v>-3.4048059296582722E-2</v>
      </c>
      <c r="I8" s="30">
        <f>SUM(I4:I7)</f>
        <v>1891488.53</v>
      </c>
      <c r="J8" s="24">
        <f t="shared" si="3"/>
        <v>0.10968924986669704</v>
      </c>
      <c r="K8" s="30">
        <f>SUM(K4:K7)</f>
        <v>1854276.4100000001</v>
      </c>
      <c r="L8" s="24">
        <f t="shared" si="4"/>
        <v>-1.9673457919408999E-2</v>
      </c>
      <c r="M8" s="30">
        <f>SUM(M4:M7)</f>
        <v>1679247.14</v>
      </c>
      <c r="N8" s="24">
        <f t="shared" si="5"/>
        <v>-9.4392221707658042E-2</v>
      </c>
      <c r="O8" s="30">
        <f>SUM(O4:O7)</f>
        <v>1599280.35</v>
      </c>
      <c r="P8" s="24">
        <f t="shared" si="6"/>
        <v>-4.7620620035714212E-2</v>
      </c>
      <c r="Q8" s="30">
        <f>SUM(Q4:Q7)</f>
        <v>1814648.62</v>
      </c>
      <c r="R8" s="24">
        <f t="shared" si="7"/>
        <v>0.13466573887436306</v>
      </c>
      <c r="S8" s="30">
        <f>SUM(S4:S7)</f>
        <v>1600265.42</v>
      </c>
      <c r="T8" s="24">
        <f t="shared" si="8"/>
        <v>-0.11814033727367024</v>
      </c>
      <c r="U8" s="30">
        <f>SUM(U4:U7)</f>
        <v>1677144.75</v>
      </c>
      <c r="V8" s="24">
        <f t="shared" si="9"/>
        <v>4.8041611747131396E-2</v>
      </c>
      <c r="W8" s="30">
        <f>SUM(W4:W7)</f>
        <v>1323161.55</v>
      </c>
      <c r="X8" s="24">
        <f t="shared" si="10"/>
        <v>-0.21106299858733124</v>
      </c>
      <c r="Y8" s="30">
        <f>SUM(Y4:Y7)</f>
        <v>1507704.24</v>
      </c>
      <c r="Z8" s="24">
        <f t="shared" si="11"/>
        <v>0.13947101924175476</v>
      </c>
      <c r="AA8" s="42">
        <f>C8+E8+G8+I8+K8+M8+O8+Q8+S8+U8+W8+Y8</f>
        <v>20334259.539999999</v>
      </c>
      <c r="AB8" s="8">
        <f t="shared" ref="AB8" si="14">C8/$C$8</f>
        <v>1</v>
      </c>
    </row>
    <row r="9" spans="1:2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5">
      <c r="A10" s="3" t="s">
        <v>53</v>
      </c>
      <c r="B10" s="4">
        <v>45261</v>
      </c>
      <c r="C10" s="4">
        <f t="shared" ref="C10:Z10" si="15">C3</f>
        <v>45292</v>
      </c>
      <c r="D10" s="4" t="str">
        <f t="shared" si="15"/>
        <v>Vari</v>
      </c>
      <c r="E10" s="4">
        <f t="shared" si="15"/>
        <v>45323</v>
      </c>
      <c r="F10" s="4" t="str">
        <f t="shared" si="15"/>
        <v>Vari</v>
      </c>
      <c r="G10" s="4">
        <f t="shared" si="15"/>
        <v>45352</v>
      </c>
      <c r="H10" s="4" t="str">
        <f t="shared" si="15"/>
        <v>Vari</v>
      </c>
      <c r="I10" s="4">
        <f t="shared" si="15"/>
        <v>45383</v>
      </c>
      <c r="J10" s="4" t="str">
        <f t="shared" si="15"/>
        <v>Vari</v>
      </c>
      <c r="K10" s="4">
        <f t="shared" si="15"/>
        <v>45413</v>
      </c>
      <c r="L10" s="4" t="str">
        <f t="shared" si="15"/>
        <v>Vari</v>
      </c>
      <c r="M10" s="4">
        <f>M3</f>
        <v>45444</v>
      </c>
      <c r="N10" s="4" t="str">
        <f t="shared" si="15"/>
        <v>Vari</v>
      </c>
      <c r="O10" s="4">
        <f t="shared" si="15"/>
        <v>45474</v>
      </c>
      <c r="P10" s="4" t="str">
        <f t="shared" si="15"/>
        <v>Vari</v>
      </c>
      <c r="Q10" s="4">
        <f t="shared" si="15"/>
        <v>45505</v>
      </c>
      <c r="R10" s="4" t="str">
        <f t="shared" si="15"/>
        <v>Vari</v>
      </c>
      <c r="S10" s="4">
        <f t="shared" si="15"/>
        <v>45536</v>
      </c>
      <c r="T10" s="4" t="str">
        <f t="shared" si="15"/>
        <v>Vari</v>
      </c>
      <c r="U10" s="4">
        <f t="shared" si="15"/>
        <v>45566</v>
      </c>
      <c r="V10" s="4" t="str">
        <f t="shared" si="15"/>
        <v>Vari</v>
      </c>
      <c r="W10" s="4">
        <f t="shared" si="15"/>
        <v>45597</v>
      </c>
      <c r="X10" s="4" t="str">
        <f t="shared" si="15"/>
        <v>Vari</v>
      </c>
      <c r="Y10" s="4">
        <f t="shared" si="15"/>
        <v>45627</v>
      </c>
      <c r="Z10" s="4" t="str">
        <f t="shared" si="15"/>
        <v>Vari</v>
      </c>
      <c r="AA10" s="4" t="s">
        <v>54</v>
      </c>
      <c r="AB10" s="3" t="s">
        <v>11</v>
      </c>
    </row>
    <row r="11" spans="1:28" x14ac:dyDescent="0.35">
      <c r="A11" s="3" t="s">
        <v>0</v>
      </c>
      <c r="B11" s="23">
        <v>7598627</v>
      </c>
      <c r="C11" s="23">
        <v>10662960</v>
      </c>
      <c r="D11" s="24">
        <f>C11/B11-1</f>
        <v>0.40327456526027672</v>
      </c>
      <c r="E11" s="23">
        <v>8250546</v>
      </c>
      <c r="F11" s="24">
        <f>E11/C11-1</f>
        <v>-0.22624243174503145</v>
      </c>
      <c r="G11" s="23">
        <v>9585915</v>
      </c>
      <c r="H11" s="24">
        <f>G11/E11-1</f>
        <v>0.16185219741820722</v>
      </c>
      <c r="I11" s="23">
        <v>11251426</v>
      </c>
      <c r="J11" s="24">
        <f>I11/G11-1</f>
        <v>0.17374564660754865</v>
      </c>
      <c r="K11" s="23">
        <v>10366721</v>
      </c>
      <c r="L11" s="24">
        <f>K11/I11-1</f>
        <v>-7.8630477594573311E-2</v>
      </c>
      <c r="M11" s="23">
        <v>9453049</v>
      </c>
      <c r="N11" s="24">
        <f>M11/K11-1</f>
        <v>-8.8135100771015273E-2</v>
      </c>
      <c r="O11" s="23">
        <v>9388592</v>
      </c>
      <c r="P11" s="24">
        <f>O11/M11-1</f>
        <v>-6.8186465552013686E-3</v>
      </c>
      <c r="Q11" s="23">
        <v>10571595</v>
      </c>
      <c r="R11" s="24">
        <f>Q11/O11-1</f>
        <v>0.12600430394674733</v>
      </c>
      <c r="S11" s="23">
        <v>10303223</v>
      </c>
      <c r="T11" s="24">
        <f>S11/Q11-1</f>
        <v>-2.5386140880349628E-2</v>
      </c>
      <c r="U11" s="23">
        <v>9343334</v>
      </c>
      <c r="V11" s="24">
        <f>U11/S11-1</f>
        <v>-9.3163954618860512E-2</v>
      </c>
      <c r="W11" s="23">
        <v>7307948</v>
      </c>
      <c r="X11" s="24">
        <f>W11/U11-1</f>
        <v>-0.21784365195550115</v>
      </c>
      <c r="Y11" s="23">
        <v>8631644</v>
      </c>
      <c r="Z11" s="24">
        <f>Y11/W11-1</f>
        <v>0.18113100968972407</v>
      </c>
      <c r="AA11" s="44">
        <f>C11+E11+G11+I11+K11+M11+O11+Q11+S11+U11+W11+Y11</f>
        <v>115116953</v>
      </c>
      <c r="AB11" s="8">
        <f>AA11/$AA$15</f>
        <v>0.41521034983378091</v>
      </c>
    </row>
    <row r="12" spans="1:28" x14ac:dyDescent="0.35">
      <c r="A12" s="3" t="s">
        <v>2</v>
      </c>
      <c r="B12" s="23">
        <v>10668722.029999999</v>
      </c>
      <c r="C12" s="23">
        <v>14013716.99</v>
      </c>
      <c r="D12" s="24">
        <f t="shared" ref="D12:D15" si="16">C12/B12-1</f>
        <v>0.31353286275469694</v>
      </c>
      <c r="E12" s="23">
        <v>13960835.1</v>
      </c>
      <c r="F12" s="24">
        <f t="shared" ref="F12:F15" si="17">E12/C12-1</f>
        <v>-3.7735805595143779E-3</v>
      </c>
      <c r="G12" s="23">
        <v>12245272.42</v>
      </c>
      <c r="H12" s="24">
        <f t="shared" ref="H12:H15" si="18">G12/E12-1</f>
        <v>-0.12288395842452149</v>
      </c>
      <c r="I12" s="23">
        <v>12908143.01</v>
      </c>
      <c r="J12" s="24">
        <f t="shared" ref="J12:J15" si="19">I12/G12-1</f>
        <v>5.4132776084045764E-2</v>
      </c>
      <c r="K12" s="23">
        <v>12593210.310000001</v>
      </c>
      <c r="L12" s="24">
        <f t="shared" ref="L12:L15" si="20">K12/I12-1</f>
        <v>-2.4397986585368625E-2</v>
      </c>
      <c r="M12" s="23">
        <v>11795673.720000001</v>
      </c>
      <c r="N12" s="24">
        <f t="shared" ref="N12:N15" si="21">M12/K12-1</f>
        <v>-6.3330681404303424E-2</v>
      </c>
      <c r="O12" s="23">
        <v>10833320.15</v>
      </c>
      <c r="P12" s="24">
        <f t="shared" ref="P12:P15" si="22">O12/M12-1</f>
        <v>-8.1585299224434693E-2</v>
      </c>
      <c r="Q12" s="23">
        <v>12405187.34</v>
      </c>
      <c r="R12" s="24">
        <f t="shared" ref="R12:R15" si="23">Q12/O12-1</f>
        <v>0.14509560949327249</v>
      </c>
      <c r="S12" s="23">
        <v>10319277.85</v>
      </c>
      <c r="T12" s="24">
        <f t="shared" ref="T12:T15" si="24">S12/Q12-1</f>
        <v>-0.16814816518522646</v>
      </c>
      <c r="U12" s="23">
        <v>11476673.74</v>
      </c>
      <c r="V12" s="24">
        <f t="shared" ref="V12:V15" si="25">U12/S12-1</f>
        <v>0.11215861292076768</v>
      </c>
      <c r="W12" s="23">
        <v>9592720.6899999995</v>
      </c>
      <c r="X12" s="24">
        <f t="shared" ref="X12:X15" si="26">W12/U12-1</f>
        <v>-0.16415497143861479</v>
      </c>
      <c r="Y12" s="23">
        <v>10151016.119999999</v>
      </c>
      <c r="Z12" s="24">
        <f t="shared" ref="Z12:Z15" si="27">Y12/W12-1</f>
        <v>5.8199904702948224E-2</v>
      </c>
      <c r="AA12" s="44">
        <f t="shared" ref="AA12:AA15" si="28">C12+E12+G12+I12+K12+M12+O12+Q12+S12+U12+W12+Y12</f>
        <v>142295047.44</v>
      </c>
      <c r="AB12" s="8">
        <f t="shared" ref="AB12:AB15" si="29">AA12/$AA$15</f>
        <v>0.51323784106044612</v>
      </c>
    </row>
    <row r="13" spans="1:28" x14ac:dyDescent="0.35">
      <c r="A13" s="3" t="s">
        <v>1</v>
      </c>
      <c r="B13" s="23">
        <v>1577283</v>
      </c>
      <c r="C13" s="23">
        <v>1475491</v>
      </c>
      <c r="D13" s="24">
        <f t="shared" si="16"/>
        <v>-6.4536294374566872E-2</v>
      </c>
      <c r="E13" s="23">
        <v>1664937</v>
      </c>
      <c r="F13" s="24">
        <f t="shared" si="17"/>
        <v>0.1283952257248604</v>
      </c>
      <c r="G13" s="23">
        <v>1335892</v>
      </c>
      <c r="H13" s="24">
        <f t="shared" si="18"/>
        <v>-0.19763210259607422</v>
      </c>
      <c r="I13" s="23">
        <v>1536470</v>
      </c>
      <c r="J13" s="24">
        <f t="shared" si="19"/>
        <v>0.15014537103298764</v>
      </c>
      <c r="K13" s="23">
        <v>1599213</v>
      </c>
      <c r="L13" s="24">
        <f t="shared" si="20"/>
        <v>4.0835811958580326E-2</v>
      </c>
      <c r="M13" s="23">
        <v>1333480</v>
      </c>
      <c r="N13" s="24">
        <f t="shared" si="21"/>
        <v>-0.16616485733920372</v>
      </c>
      <c r="O13" s="23">
        <v>1723870</v>
      </c>
      <c r="P13" s="24">
        <f t="shared" si="22"/>
        <v>0.29276029636739964</v>
      </c>
      <c r="Q13" s="23">
        <v>1751921</v>
      </c>
      <c r="R13" s="24">
        <f t="shared" si="23"/>
        <v>1.6272108685689846E-2</v>
      </c>
      <c r="S13" s="23">
        <v>1426357</v>
      </c>
      <c r="T13" s="24">
        <f t="shared" si="24"/>
        <v>-0.18583258035036965</v>
      </c>
      <c r="U13" s="23">
        <v>1449183</v>
      </c>
      <c r="V13" s="24">
        <f t="shared" si="25"/>
        <v>1.6003006260003616E-2</v>
      </c>
      <c r="W13" s="23">
        <v>1638544</v>
      </c>
      <c r="X13" s="24">
        <f t="shared" si="26"/>
        <v>0.13066741743451304</v>
      </c>
      <c r="Y13" s="23">
        <v>1491317</v>
      </c>
      <c r="Z13" s="24">
        <f t="shared" si="27"/>
        <v>-8.9852332314542704E-2</v>
      </c>
      <c r="AA13" s="44">
        <f t="shared" si="28"/>
        <v>18426675</v>
      </c>
      <c r="AB13" s="8">
        <f t="shared" si="29"/>
        <v>6.6462375641782187E-2</v>
      </c>
    </row>
    <row r="14" spans="1:28" x14ac:dyDescent="0.35">
      <c r="A14" s="3" t="s">
        <v>3</v>
      </c>
      <c r="B14" s="23">
        <v>79972</v>
      </c>
      <c r="C14" s="23">
        <v>120664</v>
      </c>
      <c r="D14" s="24">
        <f t="shared" si="16"/>
        <v>0.50882808983144101</v>
      </c>
      <c r="E14" s="23">
        <v>125119</v>
      </c>
      <c r="F14" s="24">
        <f t="shared" si="17"/>
        <v>3.6920705429954292E-2</v>
      </c>
      <c r="G14" s="23">
        <v>121970</v>
      </c>
      <c r="H14" s="24">
        <f t="shared" si="18"/>
        <v>-2.5168040025895344E-2</v>
      </c>
      <c r="I14" s="23">
        <v>84772</v>
      </c>
      <c r="J14" s="24">
        <f t="shared" si="19"/>
        <v>-0.30497663359842586</v>
      </c>
      <c r="K14" s="23">
        <v>133075</v>
      </c>
      <c r="L14" s="24">
        <f t="shared" si="20"/>
        <v>0.56979899023262393</v>
      </c>
      <c r="M14" s="23">
        <v>81878</v>
      </c>
      <c r="N14" s="24">
        <f t="shared" si="21"/>
        <v>-0.38472290061995118</v>
      </c>
      <c r="O14" s="23">
        <v>142203</v>
      </c>
      <c r="P14" s="24">
        <f t="shared" si="22"/>
        <v>0.73676689709079368</v>
      </c>
      <c r="Q14" s="23">
        <v>113827</v>
      </c>
      <c r="R14" s="24">
        <f t="shared" si="23"/>
        <v>-0.19954571985119862</v>
      </c>
      <c r="S14" s="23">
        <v>159948</v>
      </c>
      <c r="T14" s="24">
        <f t="shared" si="24"/>
        <v>0.40518506154075928</v>
      </c>
      <c r="U14" s="23">
        <v>84390</v>
      </c>
      <c r="V14" s="24">
        <f t="shared" si="25"/>
        <v>-0.47239102708380221</v>
      </c>
      <c r="W14" s="23">
        <v>123663</v>
      </c>
      <c r="X14" s="24">
        <f t="shared" si="26"/>
        <v>0.46537504443654454</v>
      </c>
      <c r="Y14" s="23">
        <v>119535</v>
      </c>
      <c r="Z14" s="24">
        <f t="shared" si="27"/>
        <v>-3.3381043642803476E-2</v>
      </c>
      <c r="AA14" s="44">
        <f t="shared" si="28"/>
        <v>1411044</v>
      </c>
      <c r="AB14" s="8">
        <f t="shared" si="29"/>
        <v>5.0894334639908119E-3</v>
      </c>
    </row>
    <row r="15" spans="1:28" x14ac:dyDescent="0.35">
      <c r="A15" s="3" t="s">
        <v>7</v>
      </c>
      <c r="B15" s="25">
        <v>19924604.030000001</v>
      </c>
      <c r="C15" s="25">
        <f>SUM(C11:C14)</f>
        <v>26272831.990000002</v>
      </c>
      <c r="D15" s="24">
        <f t="shared" si="16"/>
        <v>0.31861250293564813</v>
      </c>
      <c r="E15" s="25">
        <f>SUM(E11:E14)</f>
        <v>24001437.100000001</v>
      </c>
      <c r="F15" s="24">
        <f t="shared" si="17"/>
        <v>-8.6454132194981548E-2</v>
      </c>
      <c r="G15" s="25">
        <f>SUM(G11:G14)</f>
        <v>23289049.420000002</v>
      </c>
      <c r="H15" s="24">
        <f t="shared" si="18"/>
        <v>-2.9681042723895934E-2</v>
      </c>
      <c r="I15" s="25">
        <f>SUM(I11:I14)</f>
        <v>25780811.009999998</v>
      </c>
      <c r="J15" s="24">
        <f t="shared" si="19"/>
        <v>0.10699284221794558</v>
      </c>
      <c r="K15" s="25">
        <f>SUM(K11:K14)</f>
        <v>24692219.310000002</v>
      </c>
      <c r="L15" s="24">
        <f t="shared" si="20"/>
        <v>-4.2224881892883315E-2</v>
      </c>
      <c r="M15" s="25">
        <f>SUM(M11:M14)</f>
        <v>22664080.719999999</v>
      </c>
      <c r="N15" s="24">
        <f t="shared" si="21"/>
        <v>-8.2136747796445975E-2</v>
      </c>
      <c r="O15" s="25">
        <f>SUM(O11:O14)</f>
        <v>22087985.149999999</v>
      </c>
      <c r="P15" s="24">
        <f t="shared" si="22"/>
        <v>-2.5418880964875101E-2</v>
      </c>
      <c r="Q15" s="25">
        <f>SUM(Q11:Q14)</f>
        <v>24842530.34</v>
      </c>
      <c r="R15" s="24">
        <f t="shared" si="23"/>
        <v>0.12470785231399883</v>
      </c>
      <c r="S15" s="25">
        <f>SUM(S11:S14)</f>
        <v>22208805.850000001</v>
      </c>
      <c r="T15" s="24">
        <f t="shared" si="24"/>
        <v>-0.10601675650403974</v>
      </c>
      <c r="U15" s="25">
        <f>SUM(U11:U14)</f>
        <v>22353580.740000002</v>
      </c>
      <c r="V15" s="24">
        <f t="shared" si="25"/>
        <v>6.5188056925626903E-3</v>
      </c>
      <c r="W15" s="25">
        <f>SUM(W11:W14)</f>
        <v>18662875.689999998</v>
      </c>
      <c r="X15" s="24">
        <f t="shared" si="26"/>
        <v>-0.16510576506410779</v>
      </c>
      <c r="Y15" s="25">
        <f>SUM(Y11:Y14)</f>
        <v>20393512.119999997</v>
      </c>
      <c r="Z15" s="24">
        <f t="shared" si="27"/>
        <v>9.2731498550746583E-2</v>
      </c>
      <c r="AA15" s="44">
        <f t="shared" si="28"/>
        <v>277249719.44</v>
      </c>
      <c r="AB15" s="8">
        <f t="shared" si="29"/>
        <v>1</v>
      </c>
    </row>
    <row r="16" spans="1:28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33"/>
      <c r="AB16" s="12"/>
    </row>
    <row r="17" spans="1:28" x14ac:dyDescent="0.35">
      <c r="A17" s="3" t="s">
        <v>44</v>
      </c>
      <c r="B17" s="4">
        <v>45261</v>
      </c>
      <c r="C17" s="36">
        <f t="shared" ref="C17:Z17" si="30">C10</f>
        <v>45292</v>
      </c>
      <c r="D17" s="36" t="str">
        <f t="shared" si="30"/>
        <v>Vari</v>
      </c>
      <c r="E17" s="36">
        <f t="shared" si="30"/>
        <v>45323</v>
      </c>
      <c r="F17" s="36" t="str">
        <f t="shared" si="30"/>
        <v>Vari</v>
      </c>
      <c r="G17" s="36">
        <f t="shared" si="30"/>
        <v>45352</v>
      </c>
      <c r="H17" s="36" t="str">
        <f t="shared" si="30"/>
        <v>Vari</v>
      </c>
      <c r="I17" s="36">
        <f t="shared" si="30"/>
        <v>45383</v>
      </c>
      <c r="J17" s="36" t="str">
        <f t="shared" si="30"/>
        <v>Vari</v>
      </c>
      <c r="K17" s="36">
        <f t="shared" si="30"/>
        <v>45413</v>
      </c>
      <c r="L17" s="36" t="str">
        <f t="shared" si="30"/>
        <v>Vari</v>
      </c>
      <c r="M17" s="36">
        <f t="shared" si="30"/>
        <v>45444</v>
      </c>
      <c r="N17" s="36" t="str">
        <f t="shared" si="30"/>
        <v>Vari</v>
      </c>
      <c r="O17" s="36">
        <f t="shared" si="30"/>
        <v>45474</v>
      </c>
      <c r="P17" s="36" t="str">
        <f t="shared" si="30"/>
        <v>Vari</v>
      </c>
      <c r="Q17" s="36">
        <f t="shared" si="30"/>
        <v>45505</v>
      </c>
      <c r="R17" s="36" t="str">
        <f t="shared" si="30"/>
        <v>Vari</v>
      </c>
      <c r="S17" s="36">
        <f t="shared" si="30"/>
        <v>45536</v>
      </c>
      <c r="T17" s="36" t="str">
        <f t="shared" si="30"/>
        <v>Vari</v>
      </c>
      <c r="U17" s="52">
        <f t="shared" si="30"/>
        <v>45566</v>
      </c>
      <c r="V17" s="52" t="str">
        <f t="shared" si="30"/>
        <v>Vari</v>
      </c>
      <c r="W17" s="36">
        <f t="shared" si="30"/>
        <v>45597</v>
      </c>
      <c r="X17" s="36" t="str">
        <f t="shared" si="30"/>
        <v>Vari</v>
      </c>
      <c r="Y17" s="49">
        <f>Y10</f>
        <v>45627</v>
      </c>
      <c r="Z17" s="49" t="str">
        <f t="shared" si="30"/>
        <v>Vari</v>
      </c>
      <c r="AA17" s="4" t="s">
        <v>55</v>
      </c>
      <c r="AB17" s="12"/>
    </row>
    <row r="18" spans="1:28" x14ac:dyDescent="0.35">
      <c r="A18" s="3" t="s">
        <v>0</v>
      </c>
      <c r="B18" s="26">
        <v>6.8927686541265949</v>
      </c>
      <c r="C18" s="35">
        <f>C4/C11*100</f>
        <v>7.2526001222924963</v>
      </c>
      <c r="D18" s="27">
        <f>C18/B18-1</f>
        <v>5.2204199244446636E-2</v>
      </c>
      <c r="E18" s="35">
        <f>E4/E11*100</f>
        <v>7.0353644473953603</v>
      </c>
      <c r="F18" s="27">
        <f>E18/C18-1</f>
        <v>-2.9952799166386268E-2</v>
      </c>
      <c r="G18" s="35">
        <f>G4/G11*100</f>
        <v>7.1911145675712742</v>
      </c>
      <c r="H18" s="27">
        <f>G18/E18-1</f>
        <v>2.2138173699526753E-2</v>
      </c>
      <c r="I18" s="35">
        <f>I4/I11*100</f>
        <v>7.0817167530586786</v>
      </c>
      <c r="J18" s="27">
        <f>I18/G18-1</f>
        <v>-1.5212914977871583E-2</v>
      </c>
      <c r="K18" s="35">
        <f>K4/K11*100</f>
        <v>7.1719059478884404</v>
      </c>
      <c r="L18" s="27">
        <f>K18/I18-1</f>
        <v>1.2735498746233809E-2</v>
      </c>
      <c r="M18" s="35">
        <f>M4/M11*100</f>
        <v>6.8185272286222149</v>
      </c>
      <c r="N18" s="27">
        <f>M18/K18-1</f>
        <v>-4.9272637125179708E-2</v>
      </c>
      <c r="O18" s="35">
        <f>O4/O11*100</f>
        <v>7.0533343018846697</v>
      </c>
      <c r="P18" s="27">
        <f>O18/M18-1</f>
        <v>3.4436626178862006E-2</v>
      </c>
      <c r="Q18" s="35">
        <f>Q4/Q11*100</f>
        <v>6.9432750687100668</v>
      </c>
      <c r="R18" s="27">
        <f>Q18/O18-1</f>
        <v>-1.5603858893402323E-2</v>
      </c>
      <c r="S18" s="35">
        <f>S4/S11*100</f>
        <v>6.8587495388578894</v>
      </c>
      <c r="T18" s="27">
        <f>S18/Q18-1</f>
        <v>-1.217372623376145E-2</v>
      </c>
      <c r="U18" s="53">
        <f>U4/U11*100</f>
        <v>7.3270960879703111</v>
      </c>
      <c r="V18" s="54">
        <f>U18/S18-1</f>
        <v>6.8284538815571061E-2</v>
      </c>
      <c r="W18" s="35">
        <f>W4/W11*100</f>
        <v>6.9603634289680221</v>
      </c>
      <c r="X18" s="27">
        <f>W18/U18-1</f>
        <v>-5.0051569489363401E-2</v>
      </c>
      <c r="Y18" s="47">
        <f>Y4/Y11*100</f>
        <v>7.0570837953928587</v>
      </c>
      <c r="Z18" s="48">
        <f>Y18/W18-1</f>
        <v>1.3895878772981929E-2</v>
      </c>
      <c r="AA18" s="41">
        <f>(C18+E18+G18+I18+K18+M18+O18+Q18+S18+U18+W18+Y18)/12</f>
        <v>7.0625942740510235</v>
      </c>
      <c r="AB18" s="12"/>
    </row>
    <row r="19" spans="1:28" x14ac:dyDescent="0.35">
      <c r="A19" s="3" t="s">
        <v>2</v>
      </c>
      <c r="B19" s="26">
        <v>7.892563398242368</v>
      </c>
      <c r="C19" s="35">
        <f>C5/C12*100</f>
        <v>7.4357965181085044</v>
      </c>
      <c r="D19" s="27">
        <f t="shared" ref="D19:D22" si="31">C19/B19-1</f>
        <v>-5.7873070773886148E-2</v>
      </c>
      <c r="E19" s="35">
        <f t="shared" ref="E19:E22" si="32">E5/E12*100</f>
        <v>7.679820528787709</v>
      </c>
      <c r="F19" s="27">
        <f t="shared" ref="F19:F22" si="33">E19/C19-1</f>
        <v>3.2817467514734799E-2</v>
      </c>
      <c r="G19" s="35">
        <f t="shared" ref="G19:G22" si="34">G5/G12*100</f>
        <v>7.4571451632923322</v>
      </c>
      <c r="H19" s="27">
        <f t="shared" ref="H19:H22" si="35">G19/E19-1</f>
        <v>-2.8994865786339807E-2</v>
      </c>
      <c r="I19" s="35">
        <f t="shared" ref="I19:I22" si="36">I5/I12*100</f>
        <v>7.5557934959693318</v>
      </c>
      <c r="J19" s="27">
        <f t="shared" ref="J19:J22" si="37">I19/G19-1</f>
        <v>1.3228699524664433E-2</v>
      </c>
      <c r="K19" s="35">
        <f t="shared" ref="K19:K22" si="38">K5/K12*100</f>
        <v>7.8345699445402177</v>
      </c>
      <c r="L19" s="27">
        <f t="shared" ref="L19:L22" si="39">K19/I19-1</f>
        <v>3.6895720974851942E-2</v>
      </c>
      <c r="M19" s="35">
        <f t="shared" ref="M19:M22" si="40">M5/M12*100</f>
        <v>7.9144410243995793</v>
      </c>
      <c r="N19" s="27">
        <f t="shared" ref="N19:N22" si="41">M19/K19-1</f>
        <v>1.0194698678390512E-2</v>
      </c>
      <c r="O19" s="35">
        <f t="shared" ref="O19:O22" si="42">O5/O12*100</f>
        <v>7.3973940482133722</v>
      </c>
      <c r="P19" s="27">
        <f t="shared" ref="P19:P22" si="43">O19/M19-1</f>
        <v>-6.532956333772566E-2</v>
      </c>
      <c r="Q19" s="35">
        <f t="shared" ref="Q19:Q22" si="44">Q5/Q12*100</f>
        <v>7.6292826062230183</v>
      </c>
      <c r="R19" s="27">
        <f t="shared" ref="R19:R22" si="45">Q19/O19-1</f>
        <v>3.1347330762466541E-2</v>
      </c>
      <c r="S19" s="35">
        <f t="shared" ref="S19:S22" si="46">S5/S12*100</f>
        <v>7.6557429839918507</v>
      </c>
      <c r="T19" s="27">
        <f t="shared" ref="T19:T22" si="47">S19/Q19-1</f>
        <v>3.468265515193858E-3</v>
      </c>
      <c r="U19" s="53">
        <f t="shared" ref="U19:U22" si="48">U5/U12*100</f>
        <v>7.7778783314964208</v>
      </c>
      <c r="V19" s="54">
        <f t="shared" ref="V19:V22" si="49">U19/S19-1</f>
        <v>1.595342839486058E-2</v>
      </c>
      <c r="W19" s="35">
        <f t="shared" ref="W19:W22" si="50">W5/W12*100</f>
        <v>7.2253570431018144</v>
      </c>
      <c r="X19" s="27">
        <f t="shared" ref="X19:X22" si="51">W19/U19-1</f>
        <v>-7.1037532967978989E-2</v>
      </c>
      <c r="Y19" s="47">
        <f t="shared" ref="Y19:Y22" si="52">Y5/Y12*100</f>
        <v>7.8066647775158895</v>
      </c>
      <c r="Z19" s="48">
        <f t="shared" ref="Z19:Z22" si="53">Y19/W19-1</f>
        <v>8.0453842065709491E-2</v>
      </c>
      <c r="AA19" s="41">
        <f t="shared" ref="AA19:AA22" si="54">(C19+E19+G19+I19+K19+M19+O19+Q19+S19+U19+W19+Y19)/12</f>
        <v>7.6141572054700042</v>
      </c>
      <c r="AB19" s="12"/>
    </row>
    <row r="20" spans="1:28" x14ac:dyDescent="0.35">
      <c r="A20" s="3" t="s">
        <v>1</v>
      </c>
      <c r="B20" s="26">
        <v>7.3452253019908289</v>
      </c>
      <c r="C20" s="35">
        <f>C6/C13*100</f>
        <v>6.8222828875269315</v>
      </c>
      <c r="D20" s="27">
        <f t="shared" si="31"/>
        <v>-7.1194877347351193E-2</v>
      </c>
      <c r="E20" s="35">
        <f t="shared" si="32"/>
        <v>6.6113756856866059</v>
      </c>
      <c r="F20" s="27">
        <f t="shared" si="33"/>
        <v>-3.0914461525177073E-2</v>
      </c>
      <c r="G20" s="35">
        <f t="shared" si="34"/>
        <v>7.5019851904195844</v>
      </c>
      <c r="H20" s="27">
        <f t="shared" si="35"/>
        <v>0.13470865173508684</v>
      </c>
      <c r="I20" s="35">
        <f t="shared" si="36"/>
        <v>7.6837621300773842</v>
      </c>
      <c r="J20" s="27">
        <f t="shared" si="37"/>
        <v>2.4230511663757781E-2</v>
      </c>
      <c r="K20" s="35">
        <f t="shared" si="38"/>
        <v>7.3194402496728079</v>
      </c>
      <c r="L20" s="27">
        <f t="shared" si="39"/>
        <v>-4.7414518335812561E-2</v>
      </c>
      <c r="M20" s="35">
        <f t="shared" si="40"/>
        <v>7.4591009988901211</v>
      </c>
      <c r="N20" s="27">
        <f t="shared" si="41"/>
        <v>1.9080796407014322E-2</v>
      </c>
      <c r="O20" s="35">
        <f t="shared" si="42"/>
        <v>7.7149622651360019</v>
      </c>
      <c r="P20" s="27">
        <f t="shared" si="43"/>
        <v>3.4301890574206073E-2</v>
      </c>
      <c r="Q20" s="35">
        <f t="shared" si="44"/>
        <v>7.5538754315976577</v>
      </c>
      <c r="R20" s="27">
        <f t="shared" si="45"/>
        <v>-2.0879795390095102E-2</v>
      </c>
      <c r="S20" s="35">
        <f t="shared" si="46"/>
        <v>7.0872004694476907</v>
      </c>
      <c r="T20" s="27">
        <f t="shared" si="47"/>
        <v>-6.1779541690332618E-2</v>
      </c>
      <c r="U20" s="53">
        <f t="shared" si="48"/>
        <v>6.7917530084192252</v>
      </c>
      <c r="V20" s="54">
        <f t="shared" si="49"/>
        <v>-4.1687470574892527E-2</v>
      </c>
      <c r="W20" s="35">
        <f t="shared" si="50"/>
        <v>7.2963991201945149</v>
      </c>
      <c r="X20" s="27">
        <f t="shared" si="51"/>
        <v>7.4302777375696349E-2</v>
      </c>
      <c r="Y20" s="47">
        <f t="shared" si="52"/>
        <v>6.9942265795937413</v>
      </c>
      <c r="Z20" s="48">
        <f t="shared" si="53"/>
        <v>-4.1413927010165774E-2</v>
      </c>
      <c r="AA20" s="41">
        <f t="shared" si="54"/>
        <v>7.2363636680551879</v>
      </c>
      <c r="AB20" s="12"/>
    </row>
    <row r="21" spans="1:28" x14ac:dyDescent="0.35">
      <c r="A21" s="3" t="s">
        <v>3</v>
      </c>
      <c r="B21" s="26">
        <v>1.5990346621317462</v>
      </c>
      <c r="C21" s="35">
        <f>C7/C14*100</f>
        <v>1.5613024597228669</v>
      </c>
      <c r="D21" s="27">
        <f t="shared" si="31"/>
        <v>-2.3596863346649899E-2</v>
      </c>
      <c r="E21" s="35">
        <f t="shared" si="32"/>
        <v>1.5216633764656049</v>
      </c>
      <c r="F21" s="27">
        <f t="shared" si="33"/>
        <v>-2.5388471663778667E-2</v>
      </c>
      <c r="G21" s="35">
        <f t="shared" si="34"/>
        <v>1.4926785275067638</v>
      </c>
      <c r="H21" s="27">
        <f t="shared" si="35"/>
        <v>-1.9048134697284169E-2</v>
      </c>
      <c r="I21" s="35">
        <f t="shared" si="36"/>
        <v>1.5607511914311329</v>
      </c>
      <c r="J21" s="27">
        <f t="shared" si="37"/>
        <v>4.5604370043475839E-2</v>
      </c>
      <c r="K21" s="35">
        <f t="shared" si="38"/>
        <v>5.3410633101634417</v>
      </c>
      <c r="L21" s="27">
        <f t="shared" si="39"/>
        <v>2.4221106730445268</v>
      </c>
      <c r="M21" s="35">
        <f t="shared" si="40"/>
        <v>2.0288233713573858</v>
      </c>
      <c r="N21" s="27">
        <f t="shared" si="41"/>
        <v>-0.62014616686966373</v>
      </c>
      <c r="O21" s="35">
        <f t="shared" si="42"/>
        <v>1.8932582294325717</v>
      </c>
      <c r="P21" s="27">
        <f t="shared" si="43"/>
        <v>-6.6819588062076662E-2</v>
      </c>
      <c r="Q21" s="35">
        <f t="shared" si="44"/>
        <v>1.6419390829943685</v>
      </c>
      <c r="R21" s="27">
        <f t="shared" si="45"/>
        <v>-0.13274425143448398</v>
      </c>
      <c r="S21" s="35">
        <f t="shared" si="46"/>
        <v>1.554874084077325</v>
      </c>
      <c r="T21" s="27">
        <f t="shared" si="47"/>
        <v>-5.302571807856904E-2</v>
      </c>
      <c r="U21" s="53">
        <f t="shared" si="48"/>
        <v>1.7573646166607417</v>
      </c>
      <c r="V21" s="54">
        <f t="shared" si="49"/>
        <v>0.13022953733490028</v>
      </c>
      <c r="W21" s="35">
        <f t="shared" si="50"/>
        <v>1.4869281838545079</v>
      </c>
      <c r="X21" s="27">
        <f t="shared" si="51"/>
        <v>-0.15388749166926097</v>
      </c>
      <c r="Y21" s="47">
        <f t="shared" si="52"/>
        <v>1.5058351110553394</v>
      </c>
      <c r="Z21" s="48">
        <f t="shared" si="53"/>
        <v>1.2715427285680869E-2</v>
      </c>
      <c r="AA21" s="41">
        <f t="shared" si="54"/>
        <v>1.9455401287268381</v>
      </c>
      <c r="AB21" s="12"/>
    </row>
    <row r="22" spans="1:28" x14ac:dyDescent="0.35">
      <c r="A22" s="3" t="s">
        <v>8</v>
      </c>
      <c r="B22" s="28">
        <v>7.4426834167805547</v>
      </c>
      <c r="C22" s="39">
        <f>C8/C15*100</f>
        <v>7.3000102567169032</v>
      </c>
      <c r="D22" s="27">
        <f t="shared" si="31"/>
        <v>-1.9169586031561603E-2</v>
      </c>
      <c r="E22" s="35">
        <f t="shared" si="32"/>
        <v>7.352068889241635</v>
      </c>
      <c r="F22" s="27">
        <f t="shared" si="33"/>
        <v>7.131309504234018E-3</v>
      </c>
      <c r="G22" s="35">
        <f t="shared" si="34"/>
        <v>7.3189801750182388</v>
      </c>
      <c r="H22" s="27">
        <f t="shared" si="35"/>
        <v>-4.5005990452313682E-3</v>
      </c>
      <c r="I22" s="35">
        <f t="shared" si="36"/>
        <v>7.3368077104568954</v>
      </c>
      <c r="J22" s="27">
        <f t="shared" si="37"/>
        <v>2.4357950168394371E-3</v>
      </c>
      <c r="K22" s="35">
        <f t="shared" si="38"/>
        <v>7.5095575117018507</v>
      </c>
      <c r="L22" s="27">
        <f t="shared" si="39"/>
        <v>2.3545635658235975E-2</v>
      </c>
      <c r="M22" s="35">
        <f t="shared" si="40"/>
        <v>7.4092885599288492</v>
      </c>
      <c r="N22" s="27">
        <f t="shared" si="41"/>
        <v>-1.3352178422863958E-2</v>
      </c>
      <c r="O22" s="35">
        <f t="shared" si="42"/>
        <v>7.2404990275901211</v>
      </c>
      <c r="P22" s="27">
        <f t="shared" si="43"/>
        <v>-2.2780801553820007E-2</v>
      </c>
      <c r="Q22" s="35">
        <f t="shared" si="44"/>
        <v>7.3046046242646963</v>
      </c>
      <c r="R22" s="27">
        <f t="shared" si="45"/>
        <v>8.8537539236313023E-3</v>
      </c>
      <c r="S22" s="35">
        <f t="shared" si="46"/>
        <v>7.2055446421042033</v>
      </c>
      <c r="T22" s="27">
        <f t="shared" si="47"/>
        <v>-1.3561306498565573E-2</v>
      </c>
      <c r="U22" s="53">
        <f t="shared" si="48"/>
        <v>7.5028013162959581</v>
      </c>
      <c r="V22" s="54">
        <f t="shared" si="49"/>
        <v>4.1253880026610679E-2</v>
      </c>
      <c r="W22" s="35">
        <f t="shared" si="50"/>
        <v>7.0898053010607613</v>
      </c>
      <c r="X22" s="27">
        <f t="shared" si="51"/>
        <v>-5.5045575355724297E-2</v>
      </c>
      <c r="Y22" s="47">
        <f t="shared" si="52"/>
        <v>7.3930582977975074</v>
      </c>
      <c r="Z22" s="48">
        <f t="shared" si="53"/>
        <v>4.2773106433737107E-2</v>
      </c>
      <c r="AA22" s="41">
        <f t="shared" si="54"/>
        <v>7.3302521926814679</v>
      </c>
      <c r="AB22" s="12"/>
    </row>
    <row r="23" spans="1:28" x14ac:dyDescent="0.35">
      <c r="A23" s="2" t="s">
        <v>10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50"/>
      <c r="V23" s="51"/>
    </row>
    <row r="24" spans="1:28" ht="15.5" x14ac:dyDescent="0.35">
      <c r="A24" s="18" t="s">
        <v>75</v>
      </c>
      <c r="B24" s="18"/>
      <c r="C24" s="18"/>
      <c r="D24" s="18"/>
      <c r="E24" s="18"/>
      <c r="F24" s="18"/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"/>
    </row>
    <row r="25" spans="1:28" ht="15.5" x14ac:dyDescent="0.35">
      <c r="A25" s="56" t="s">
        <v>70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S25" s="32"/>
      <c r="U25" s="45"/>
      <c r="W25" s="45"/>
    </row>
    <row r="26" spans="1:28" ht="15.5" x14ac:dyDescent="0.35">
      <c r="A26" s="20" t="s">
        <v>71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37"/>
      <c r="T26" s="37"/>
    </row>
    <row r="27" spans="1:28" ht="15.5" x14ac:dyDescent="0.35">
      <c r="A27" s="18" t="s">
        <v>72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U27" s="31"/>
      <c r="AA27" s="31"/>
    </row>
    <row r="28" spans="1:28" ht="15" customHeight="1" x14ac:dyDescent="0.35">
      <c r="A28" s="20" t="s">
        <v>73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18"/>
      <c r="R28" s="18"/>
      <c r="S28" s="45"/>
    </row>
    <row r="29" spans="1:28" ht="15.5" x14ac:dyDescent="0.35">
      <c r="A29" s="20" t="s">
        <v>74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37"/>
      <c r="T29" s="37"/>
      <c r="U29" s="37"/>
    </row>
  </sheetData>
  <mergeCells count="2">
    <mergeCell ref="A1:AB1"/>
    <mergeCell ref="A25:O2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8636-4527-4D35-B95B-7C6AD1E35E11}">
  <dimension ref="A1:AB29"/>
  <sheetViews>
    <sheetView zoomScale="80" zoomScaleNormal="80" workbookViewId="0">
      <selection sqref="A1:AB29"/>
    </sheetView>
  </sheetViews>
  <sheetFormatPr defaultRowHeight="14.5" x14ac:dyDescent="0.35"/>
  <cols>
    <col min="2" max="3" width="9.36328125" bestFit="1" customWidth="1"/>
    <col min="4" max="4" width="5.1796875" customWidth="1"/>
    <col min="5" max="5" width="9.36328125" bestFit="1" customWidth="1"/>
    <col min="6" max="6" width="5.1796875" customWidth="1"/>
    <col min="7" max="7" width="9.36328125" bestFit="1" customWidth="1"/>
    <col min="8" max="8" width="5.1796875" customWidth="1"/>
    <col min="9" max="9" width="9.36328125" bestFit="1" customWidth="1"/>
    <col min="10" max="10" width="5.1796875" customWidth="1"/>
    <col min="11" max="11" width="9.36328125" bestFit="1" customWidth="1"/>
    <col min="12" max="12" width="5.1796875" customWidth="1"/>
    <col min="13" max="13" width="9.36328125" bestFit="1" customWidth="1"/>
    <col min="14" max="14" width="5.1796875" customWidth="1"/>
    <col min="15" max="15" width="9.36328125" bestFit="1" customWidth="1"/>
    <col min="16" max="16" width="5.1796875" customWidth="1"/>
    <col min="17" max="17" width="9.36328125" bestFit="1" customWidth="1"/>
    <col min="18" max="18" width="5.1796875" customWidth="1"/>
    <col min="19" max="19" width="9.36328125" bestFit="1" customWidth="1"/>
    <col min="20" max="20" width="5.1796875" customWidth="1"/>
    <col min="21" max="21" width="9.36328125" bestFit="1" customWidth="1"/>
    <col min="22" max="22" width="5.1796875" customWidth="1"/>
    <col min="23" max="23" width="9.36328125" bestFit="1" customWidth="1"/>
    <col min="24" max="24" width="5.1796875" customWidth="1"/>
    <col min="25" max="25" width="9.36328125" bestFit="1" customWidth="1"/>
    <col min="26" max="26" width="5.1796875" customWidth="1"/>
    <col min="27" max="27" width="10.1796875" bestFit="1" customWidth="1"/>
  </cols>
  <sheetData>
    <row r="1" spans="1:28" ht="20" x14ac:dyDescent="0.4">
      <c r="A1" s="55" t="s">
        <v>76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20" x14ac:dyDescent="0.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35">
      <c r="A3" s="3" t="s">
        <v>5</v>
      </c>
      <c r="B3" s="4">
        <v>45627</v>
      </c>
      <c r="C3" s="4">
        <v>45658</v>
      </c>
      <c r="D3" s="4" t="s">
        <v>9</v>
      </c>
      <c r="E3" s="4">
        <v>45689</v>
      </c>
      <c r="F3" s="4" t="s">
        <v>9</v>
      </c>
      <c r="G3" s="4">
        <v>45717</v>
      </c>
      <c r="H3" s="4" t="s">
        <v>9</v>
      </c>
      <c r="I3" s="4">
        <v>45748</v>
      </c>
      <c r="J3" s="4" t="s">
        <v>9</v>
      </c>
      <c r="K3" s="4">
        <v>45778</v>
      </c>
      <c r="L3" s="4" t="s">
        <v>9</v>
      </c>
      <c r="M3" s="4">
        <v>45809</v>
      </c>
      <c r="N3" s="4" t="s">
        <v>9</v>
      </c>
      <c r="O3" s="4">
        <v>45839</v>
      </c>
      <c r="P3" s="4" t="s">
        <v>9</v>
      </c>
      <c r="Q3" s="4">
        <v>45870</v>
      </c>
      <c r="R3" s="4" t="s">
        <v>9</v>
      </c>
      <c r="S3" s="4">
        <v>45901</v>
      </c>
      <c r="T3" s="4" t="s">
        <v>9</v>
      </c>
      <c r="U3" s="4">
        <v>45931</v>
      </c>
      <c r="V3" s="4" t="s">
        <v>9</v>
      </c>
      <c r="W3" s="4">
        <v>46327</v>
      </c>
      <c r="X3" s="4" t="s">
        <v>9</v>
      </c>
      <c r="Y3" s="4">
        <v>45992</v>
      </c>
      <c r="Z3" s="4" t="s">
        <v>9</v>
      </c>
      <c r="AA3" s="4" t="s">
        <v>52</v>
      </c>
      <c r="AB3" s="3" t="s">
        <v>11</v>
      </c>
    </row>
    <row r="4" spans="1:28" x14ac:dyDescent="0.35">
      <c r="A4" s="3" t="s">
        <v>0</v>
      </c>
      <c r="B4" s="29">
        <v>609142.35</v>
      </c>
      <c r="C4" s="29">
        <v>671108.58</v>
      </c>
      <c r="D4" s="24">
        <f>C4/B4-1</f>
        <v>0.10172701011512331</v>
      </c>
      <c r="E4" s="29">
        <v>662566.92000000004</v>
      </c>
      <c r="F4" s="24">
        <f>E4/C4-1</f>
        <v>-1.2727687075614336E-2</v>
      </c>
      <c r="G4" s="29">
        <v>676882.98</v>
      </c>
      <c r="H4" s="24">
        <f>G4/E4-1</f>
        <v>2.1606964621777358E-2</v>
      </c>
      <c r="I4" s="29">
        <v>627873.98</v>
      </c>
      <c r="J4" s="24">
        <f>I4/G4-1</f>
        <v>-7.2403947872939578E-2</v>
      </c>
      <c r="K4" s="29">
        <v>685051.4</v>
      </c>
      <c r="L4" s="24">
        <f>K4/I4-1</f>
        <v>9.1065121061395304E-2</v>
      </c>
      <c r="M4" s="29">
        <v>604328.74</v>
      </c>
      <c r="N4" s="24">
        <f>M4/K4-1</f>
        <v>-0.11783445738524145</v>
      </c>
      <c r="O4" s="29">
        <v>624000.17000000004</v>
      </c>
      <c r="P4" s="24">
        <f>O4/M4-1</f>
        <v>3.2550876200261536E-2</v>
      </c>
      <c r="Q4" s="29">
        <v>660898.93000000005</v>
      </c>
      <c r="R4" s="24">
        <f>Q4/O4-1</f>
        <v>5.9132612095281978E-2</v>
      </c>
      <c r="S4" s="29">
        <v>690210.84</v>
      </c>
      <c r="T4" s="24">
        <f>S4/Q4-1</f>
        <v>4.4351577328170189E-2</v>
      </c>
      <c r="U4" s="29">
        <v>718998.81</v>
      </c>
      <c r="V4" s="24">
        <f>U4/S4-1</f>
        <v>4.1708950847541226E-2</v>
      </c>
      <c r="W4" s="29">
        <v>423653.12</v>
      </c>
      <c r="X4" s="24">
        <f>W4/U4-1</f>
        <v>-0.41077354495204244</v>
      </c>
      <c r="Y4" s="29">
        <v>537256.48</v>
      </c>
      <c r="Z4" s="24">
        <f>Y4/W4-1</f>
        <v>0.26815183138507281</v>
      </c>
      <c r="AA4" s="42">
        <f>C4+E4+G4+I4+K4+M4+O4+Q4+S4+U4+W4+Y4</f>
        <v>7582830.9499999993</v>
      </c>
      <c r="AB4" s="8">
        <f>AA4/$AA$8</f>
        <v>0.39823233346172365</v>
      </c>
    </row>
    <row r="5" spans="1:28" x14ac:dyDescent="0.35">
      <c r="A5" s="3" t="s">
        <v>2</v>
      </c>
      <c r="B5" s="29">
        <v>792455.8</v>
      </c>
      <c r="C5" s="29">
        <v>912414.68</v>
      </c>
      <c r="D5" s="24">
        <f t="shared" ref="D5:D8" si="0">C5/B5-1</f>
        <v>0.15137611460475142</v>
      </c>
      <c r="E5" s="29">
        <v>748473.36</v>
      </c>
      <c r="F5" s="24">
        <f t="shared" ref="F5:F8" si="1">E5/C5-1</f>
        <v>-0.17967852073576907</v>
      </c>
      <c r="G5" s="29">
        <v>804078.86</v>
      </c>
      <c r="H5" s="24">
        <f t="shared" ref="H5:H8" si="2">G5/E5-1</f>
        <v>7.4291889293160773E-2</v>
      </c>
      <c r="I5" s="29">
        <v>918822.68</v>
      </c>
      <c r="J5" s="24">
        <f t="shared" ref="J5:J8" si="3">I5/G5-1</f>
        <v>0.1427021971451905</v>
      </c>
      <c r="K5" s="29">
        <v>913940.72</v>
      </c>
      <c r="L5" s="24">
        <f t="shared" ref="L5:L8" si="4">K5/I5-1</f>
        <v>-5.3132776391632275E-3</v>
      </c>
      <c r="M5" s="29">
        <v>891490.13</v>
      </c>
      <c r="N5" s="24">
        <f t="shared" ref="N5:N8" si="5">M5/K5-1</f>
        <v>-2.4564601957991261E-2</v>
      </c>
      <c r="O5" s="29">
        <v>981806.95</v>
      </c>
      <c r="P5" s="24">
        <f t="shared" ref="P5:P8" si="6">O5/M5-1</f>
        <v>0.10130994944385985</v>
      </c>
      <c r="Q5" s="29">
        <v>904213.71</v>
      </c>
      <c r="R5" s="24">
        <f t="shared" ref="R5:R8" si="7">Q5/O5-1</f>
        <v>-7.9031055952496598E-2</v>
      </c>
      <c r="S5" s="29">
        <v>840689.73</v>
      </c>
      <c r="T5" s="24">
        <f t="shared" ref="T5:T8" si="8">S5/Q5-1</f>
        <v>-7.0253281162923287E-2</v>
      </c>
      <c r="U5" s="29">
        <v>824482.3</v>
      </c>
      <c r="V5" s="24">
        <f t="shared" ref="V5:V8" si="9">U5/S5-1</f>
        <v>-1.9278729621212243E-2</v>
      </c>
      <c r="W5" s="29">
        <v>686080.2</v>
      </c>
      <c r="X5" s="24">
        <f t="shared" ref="X5:X8" si="10">W5/U5-1</f>
        <v>-0.16786545933126773</v>
      </c>
      <c r="Y5" s="29">
        <v>771246.25</v>
      </c>
      <c r="Z5" s="24">
        <f t="shared" ref="Z5:Z8" si="11">Y5/W5-1</f>
        <v>0.12413424844500698</v>
      </c>
      <c r="AA5" s="42">
        <f t="shared" ref="AA5:AA7" si="12">C5+E5+G5+I5+K5+M5+O5+Q5+S5+U5+W5+Y5</f>
        <v>10197739.57</v>
      </c>
      <c r="AB5" s="8">
        <f t="shared" ref="AB5:AB7" si="13">AA5/$AA$8</f>
        <v>0.53556114487769968</v>
      </c>
    </row>
    <row r="6" spans="1:28" x14ac:dyDescent="0.35">
      <c r="A6" s="3" t="s">
        <v>1</v>
      </c>
      <c r="B6" s="29">
        <v>104306.09</v>
      </c>
      <c r="C6" s="29">
        <v>88368.61</v>
      </c>
      <c r="D6" s="24">
        <f t="shared" si="0"/>
        <v>-0.15279529699560201</v>
      </c>
      <c r="E6" s="29">
        <v>106787.47</v>
      </c>
      <c r="F6" s="24">
        <f t="shared" si="1"/>
        <v>0.20843215707478024</v>
      </c>
      <c r="G6" s="29">
        <v>113790.74</v>
      </c>
      <c r="H6" s="24">
        <f t="shared" si="2"/>
        <v>6.558138328401264E-2</v>
      </c>
      <c r="I6" s="29">
        <v>115127.77</v>
      </c>
      <c r="J6" s="24">
        <f t="shared" si="3"/>
        <v>1.1749901617653657E-2</v>
      </c>
      <c r="K6" s="29">
        <v>104609.91</v>
      </c>
      <c r="L6" s="24">
        <f t="shared" si="4"/>
        <v>-9.1358149297949609E-2</v>
      </c>
      <c r="M6" s="29">
        <v>114673.52</v>
      </c>
      <c r="N6" s="24">
        <f t="shared" si="5"/>
        <v>9.6201306358068672E-2</v>
      </c>
      <c r="O6" s="29">
        <v>122279.46</v>
      </c>
      <c r="P6" s="24">
        <f t="shared" si="6"/>
        <v>6.6326907903411447E-2</v>
      </c>
      <c r="Q6" s="29">
        <v>86659.99</v>
      </c>
      <c r="R6" s="24">
        <f t="shared" si="7"/>
        <v>-0.29129561089000555</v>
      </c>
      <c r="S6" s="29">
        <v>87491.86</v>
      </c>
      <c r="T6" s="24">
        <f t="shared" si="8"/>
        <v>9.5992395106436756E-3</v>
      </c>
      <c r="U6" s="29">
        <v>113293.66</v>
      </c>
      <c r="V6" s="24">
        <f t="shared" si="9"/>
        <v>0.29490514889042263</v>
      </c>
      <c r="W6" s="29">
        <v>69029.47</v>
      </c>
      <c r="X6" s="24">
        <f t="shared" si="10"/>
        <v>-0.390703151438483</v>
      </c>
      <c r="Y6" s="29">
        <v>76572.75</v>
      </c>
      <c r="Z6" s="24">
        <f t="shared" si="11"/>
        <v>0.10927622651600832</v>
      </c>
      <c r="AA6" s="42">
        <f t="shared" si="12"/>
        <v>1198685.21</v>
      </c>
      <c r="AB6" s="8">
        <f t="shared" si="13"/>
        <v>6.2952110024865615E-2</v>
      </c>
    </row>
    <row r="7" spans="1:28" x14ac:dyDescent="0.35">
      <c r="A7" s="3" t="s">
        <v>3</v>
      </c>
      <c r="B7" s="29">
        <v>1800</v>
      </c>
      <c r="C7" s="29">
        <v>2275.52</v>
      </c>
      <c r="D7" s="24">
        <f t="shared" si="0"/>
        <v>0.26417777777777784</v>
      </c>
      <c r="E7" s="29">
        <v>2639.5</v>
      </c>
      <c r="F7" s="24">
        <f t="shared" si="1"/>
        <v>0.15995464772887069</v>
      </c>
      <c r="G7" s="29">
        <v>8163.11</v>
      </c>
      <c r="H7" s="24">
        <f t="shared" si="2"/>
        <v>2.092672854707331</v>
      </c>
      <c r="I7" s="29">
        <v>7101.68</v>
      </c>
      <c r="J7" s="24">
        <f t="shared" si="3"/>
        <v>-0.13002764877601791</v>
      </c>
      <c r="K7" s="29">
        <v>21161.56</v>
      </c>
      <c r="L7" s="24">
        <f t="shared" si="4"/>
        <v>1.9797963298825065</v>
      </c>
      <c r="M7" s="29">
        <v>150.9</v>
      </c>
      <c r="N7" s="24">
        <f t="shared" si="5"/>
        <v>-0.99286914575295959</v>
      </c>
      <c r="O7" s="29">
        <v>692.79</v>
      </c>
      <c r="P7" s="24">
        <f t="shared" si="6"/>
        <v>3.5910536779324049</v>
      </c>
      <c r="Q7" s="29">
        <v>3594.82</v>
      </c>
      <c r="R7" s="24">
        <f t="shared" si="7"/>
        <v>4.1889028421310934</v>
      </c>
      <c r="S7" s="29">
        <v>6085</v>
      </c>
      <c r="T7" s="24">
        <f t="shared" si="8"/>
        <v>0.69271340428728001</v>
      </c>
      <c r="U7" s="29">
        <v>2259.4</v>
      </c>
      <c r="V7" s="24">
        <f t="shared" si="9"/>
        <v>-0.62869350862777318</v>
      </c>
      <c r="W7" s="29">
        <v>4188.25</v>
      </c>
      <c r="X7" s="24">
        <f t="shared" si="10"/>
        <v>0.8537000973709834</v>
      </c>
      <c r="Y7" s="29">
        <v>3655.45</v>
      </c>
      <c r="Z7" s="24">
        <f t="shared" si="11"/>
        <v>-0.12721303647107984</v>
      </c>
      <c r="AA7" s="42">
        <f t="shared" si="12"/>
        <v>61967.98</v>
      </c>
      <c r="AB7" s="8">
        <f t="shared" si="13"/>
        <v>3.2544116357109908E-3</v>
      </c>
    </row>
    <row r="8" spans="1:28" x14ac:dyDescent="0.35">
      <c r="A8" s="3" t="s">
        <v>7</v>
      </c>
      <c r="B8" s="30">
        <v>1507704.24</v>
      </c>
      <c r="C8" s="30">
        <f>SUM(C4:C7)</f>
        <v>1674167.3900000001</v>
      </c>
      <c r="D8" s="24">
        <f t="shared" si="0"/>
        <v>0.11040835833956408</v>
      </c>
      <c r="E8" s="30">
        <f>SUM(E4:E7)</f>
        <v>1520467.25</v>
      </c>
      <c r="F8" s="24">
        <f t="shared" si="1"/>
        <v>-9.1806913047087879E-2</v>
      </c>
      <c r="G8" s="30">
        <f>SUM(G4:G7)</f>
        <v>1602915.69</v>
      </c>
      <c r="H8" s="24">
        <f t="shared" si="2"/>
        <v>5.4225725677419234E-2</v>
      </c>
      <c r="I8" s="30">
        <f>SUM(I4:I7)</f>
        <v>1668926.11</v>
      </c>
      <c r="J8" s="24">
        <f t="shared" si="3"/>
        <v>4.1181467254837401E-2</v>
      </c>
      <c r="K8" s="30">
        <f>SUM(K4:K7)</f>
        <v>1724763.59</v>
      </c>
      <c r="L8" s="24">
        <f t="shared" si="4"/>
        <v>3.3457131304632792E-2</v>
      </c>
      <c r="M8" s="30">
        <f>SUM(M4:M7)</f>
        <v>1610643.29</v>
      </c>
      <c r="N8" s="24">
        <f t="shared" si="5"/>
        <v>-6.6165763622132112E-2</v>
      </c>
      <c r="O8" s="30">
        <f>SUM(O4:O7)</f>
        <v>1728779.37</v>
      </c>
      <c r="P8" s="24">
        <f t="shared" si="6"/>
        <v>7.3347140694324686E-2</v>
      </c>
      <c r="Q8" s="30">
        <f>SUM(Q4:Q7)</f>
        <v>1655367.4500000002</v>
      </c>
      <c r="R8" s="24">
        <f t="shared" si="7"/>
        <v>-4.2464597434431428E-2</v>
      </c>
      <c r="S8" s="30">
        <f>SUM(S4:S7)</f>
        <v>1624477.43</v>
      </c>
      <c r="T8" s="24">
        <f t="shared" si="8"/>
        <v>-1.8660521565770916E-2</v>
      </c>
      <c r="U8" s="30">
        <f>SUM(U4:U7)</f>
        <v>1659034.17</v>
      </c>
      <c r="V8" s="24">
        <f t="shared" si="9"/>
        <v>2.1272527005807618E-2</v>
      </c>
      <c r="W8" s="30">
        <f>SUM(W4:W7)</f>
        <v>1182951.0399999998</v>
      </c>
      <c r="X8" s="24">
        <f t="shared" si="10"/>
        <v>-0.2869640291977833</v>
      </c>
      <c r="Y8" s="30">
        <f>SUM(Y4:Y7)</f>
        <v>1388730.93</v>
      </c>
      <c r="Z8" s="24">
        <f t="shared" si="11"/>
        <v>0.17395469722905865</v>
      </c>
      <c r="AA8" s="42">
        <f>C8+E8+G8+I8+K8+M8+O8+Q8+S8+U8+W8+Y8</f>
        <v>19041223.710000001</v>
      </c>
      <c r="AB8" s="8">
        <f t="shared" ref="AB8" si="14">C8/$C$8</f>
        <v>1</v>
      </c>
    </row>
    <row r="9" spans="1:2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5">
      <c r="A10" s="3" t="s">
        <v>53</v>
      </c>
      <c r="B10" s="4">
        <v>45627</v>
      </c>
      <c r="C10" s="4">
        <f t="shared" ref="C10:Z10" si="15">C3</f>
        <v>45658</v>
      </c>
      <c r="D10" s="4" t="str">
        <f t="shared" si="15"/>
        <v>Vari</v>
      </c>
      <c r="E10" s="4">
        <f t="shared" si="15"/>
        <v>45689</v>
      </c>
      <c r="F10" s="4" t="str">
        <f t="shared" si="15"/>
        <v>Vari</v>
      </c>
      <c r="G10" s="4">
        <f t="shared" si="15"/>
        <v>45717</v>
      </c>
      <c r="H10" s="4" t="str">
        <f t="shared" si="15"/>
        <v>Vari</v>
      </c>
      <c r="I10" s="4">
        <f t="shared" si="15"/>
        <v>45748</v>
      </c>
      <c r="J10" s="4" t="str">
        <f t="shared" si="15"/>
        <v>Vari</v>
      </c>
      <c r="K10" s="4">
        <f t="shared" si="15"/>
        <v>45778</v>
      </c>
      <c r="L10" s="4" t="str">
        <f t="shared" si="15"/>
        <v>Vari</v>
      </c>
      <c r="M10" s="4">
        <f>M3</f>
        <v>45809</v>
      </c>
      <c r="N10" s="4" t="str">
        <f t="shared" si="15"/>
        <v>Vari</v>
      </c>
      <c r="O10" s="4">
        <f t="shared" si="15"/>
        <v>45839</v>
      </c>
      <c r="P10" s="4" t="str">
        <f t="shared" si="15"/>
        <v>Vari</v>
      </c>
      <c r="Q10" s="4">
        <f t="shared" si="15"/>
        <v>45870</v>
      </c>
      <c r="R10" s="4" t="str">
        <f t="shared" si="15"/>
        <v>Vari</v>
      </c>
      <c r="S10" s="4">
        <f t="shared" si="15"/>
        <v>45901</v>
      </c>
      <c r="T10" s="4" t="str">
        <f t="shared" si="15"/>
        <v>Vari</v>
      </c>
      <c r="U10" s="4">
        <f t="shared" si="15"/>
        <v>45931</v>
      </c>
      <c r="V10" s="4" t="str">
        <f t="shared" si="15"/>
        <v>Vari</v>
      </c>
      <c r="W10" s="4">
        <f t="shared" si="15"/>
        <v>46327</v>
      </c>
      <c r="X10" s="4" t="str">
        <f t="shared" si="15"/>
        <v>Vari</v>
      </c>
      <c r="Y10" s="4">
        <f t="shared" si="15"/>
        <v>45992</v>
      </c>
      <c r="Z10" s="4" t="str">
        <f t="shared" si="15"/>
        <v>Vari</v>
      </c>
      <c r="AA10" s="4" t="s">
        <v>54</v>
      </c>
      <c r="AB10" s="3" t="s">
        <v>11</v>
      </c>
    </row>
    <row r="11" spans="1:28" x14ac:dyDescent="0.35">
      <c r="A11" s="3" t="s">
        <v>0</v>
      </c>
      <c r="B11" s="23">
        <v>8631644</v>
      </c>
      <c r="C11" s="23">
        <v>9081764</v>
      </c>
      <c r="D11" s="24">
        <f>C11/B11-1</f>
        <v>5.2147655765228507E-2</v>
      </c>
      <c r="E11" s="23">
        <v>9108692</v>
      </c>
      <c r="F11" s="24">
        <f>E11/C11-1</f>
        <v>2.9650627345083613E-3</v>
      </c>
      <c r="G11" s="23">
        <v>9537064</v>
      </c>
      <c r="H11" s="24">
        <f>G11/E11-1</f>
        <v>4.7028925777707675E-2</v>
      </c>
      <c r="I11" s="23">
        <v>8703309</v>
      </c>
      <c r="J11" s="24">
        <f>I11/G11-1</f>
        <v>-8.7422607209095005E-2</v>
      </c>
      <c r="K11" s="23">
        <v>9173080</v>
      </c>
      <c r="L11" s="24">
        <f>K11/I11-1</f>
        <v>5.3976137122099255E-2</v>
      </c>
      <c r="M11" s="23">
        <v>8207373</v>
      </c>
      <c r="N11" s="24">
        <f>M11/K11-1</f>
        <v>-0.10527619948806721</v>
      </c>
      <c r="O11" s="23">
        <v>8529298</v>
      </c>
      <c r="P11" s="24">
        <f>O11/M11-1</f>
        <v>3.9223878334760709E-2</v>
      </c>
      <c r="Q11" s="23">
        <v>8902731</v>
      </c>
      <c r="R11" s="24">
        <f>Q11/O11-1</f>
        <v>4.3782383966417759E-2</v>
      </c>
      <c r="S11" s="23">
        <v>9414760</v>
      </c>
      <c r="T11" s="24">
        <f>S11/Q11-1</f>
        <v>5.7513700009581337E-2</v>
      </c>
      <c r="U11" s="23">
        <v>9630864</v>
      </c>
      <c r="V11" s="24">
        <f>U11/S11-1</f>
        <v>2.2953744970663159E-2</v>
      </c>
      <c r="W11" s="23">
        <v>6130195</v>
      </c>
      <c r="X11" s="24">
        <f>W11/U11-1</f>
        <v>-0.36348441842808699</v>
      </c>
      <c r="Y11" s="23">
        <v>6983307</v>
      </c>
      <c r="Z11" s="24">
        <f>Y11/W11-1</f>
        <v>0.13916555672372577</v>
      </c>
      <c r="AA11" s="44">
        <f>C11+E11+G11+I11+K11+M11+O11+Q11+S11+U11+W11+Y11</f>
        <v>103402437</v>
      </c>
      <c r="AB11" s="8">
        <f>AA11/$AA$15</f>
        <v>0.41089167819878342</v>
      </c>
    </row>
    <row r="12" spans="1:28" x14ac:dyDescent="0.35">
      <c r="A12" s="3" t="s">
        <v>2</v>
      </c>
      <c r="B12" s="23">
        <v>10151016.119999999</v>
      </c>
      <c r="C12" s="23">
        <v>11661165.99</v>
      </c>
      <c r="D12" s="24">
        <f t="shared" ref="D12:D15" si="16">C12/B12-1</f>
        <v>0.14876834517331061</v>
      </c>
      <c r="E12" s="23">
        <v>10446229.029999999</v>
      </c>
      <c r="F12" s="24">
        <f t="shared" ref="F12:F15" si="17">E12/C12-1</f>
        <v>-0.10418657628592776</v>
      </c>
      <c r="G12" s="23">
        <v>10346366.779999999</v>
      </c>
      <c r="H12" s="24">
        <f t="shared" ref="H12:H15" si="18">G12/E12-1</f>
        <v>-9.5596458504988435E-3</v>
      </c>
      <c r="I12" s="23">
        <v>11456321.92</v>
      </c>
      <c r="J12" s="24">
        <f t="shared" ref="J12:J15" si="19">I12/G12-1</f>
        <v>0.1072797015224316</v>
      </c>
      <c r="K12" s="23">
        <v>10981741.76</v>
      </c>
      <c r="L12" s="24">
        <f t="shared" ref="L12:L15" si="20">K12/I12-1</f>
        <v>-4.14251767115148E-2</v>
      </c>
      <c r="M12" s="23">
        <v>10964437.76</v>
      </c>
      <c r="N12" s="24">
        <f t="shared" ref="N12:N15" si="21">M12/K12-1</f>
        <v>-1.5757063294848939E-3</v>
      </c>
      <c r="O12" s="23">
        <v>12568108.08</v>
      </c>
      <c r="P12" s="24">
        <f t="shared" ref="P12:P15" si="22">O12/M12-1</f>
        <v>0.14626106281987772</v>
      </c>
      <c r="Q12" s="23">
        <v>11173793.4</v>
      </c>
      <c r="R12" s="24">
        <f t="shared" ref="R12:R15" si="23">Q12/O12-1</f>
        <v>-0.11094069776650106</v>
      </c>
      <c r="S12" s="23">
        <v>10298432.77</v>
      </c>
      <c r="T12" s="24">
        <f t="shared" ref="T12:T15" si="24">S12/Q12-1</f>
        <v>-7.8340506098851015E-2</v>
      </c>
      <c r="U12" s="23">
        <v>10263401.98</v>
      </c>
      <c r="V12" s="24">
        <f t="shared" ref="V12:V15" si="25">U12/S12-1</f>
        <v>-3.4015651490240106E-3</v>
      </c>
      <c r="W12" s="23">
        <v>9054515.7699999996</v>
      </c>
      <c r="X12" s="24">
        <f t="shared" ref="X12:X15" si="26">W12/U12-1</f>
        <v>-0.11778611150140306</v>
      </c>
      <c r="Y12" s="23">
        <v>10605116.75</v>
      </c>
      <c r="Z12" s="24">
        <f t="shared" ref="Z12:Z15" si="27">Y12/W12-1</f>
        <v>0.17125167368282135</v>
      </c>
      <c r="AA12" s="44">
        <f t="shared" ref="AA12:AA15" si="28">C12+E12+G12+I12+K12+M12+O12+Q12+S12+U12+W12+Y12</f>
        <v>129819631.98999999</v>
      </c>
      <c r="AB12" s="8">
        <f t="shared" ref="AB12:AB15" si="29">AA12/$AA$15</f>
        <v>0.51586604725302143</v>
      </c>
    </row>
    <row r="13" spans="1:28" x14ac:dyDescent="0.35">
      <c r="A13" s="3" t="s">
        <v>1</v>
      </c>
      <c r="B13" s="23">
        <v>1491317</v>
      </c>
      <c r="C13" s="23">
        <v>1199251</v>
      </c>
      <c r="D13" s="24">
        <f t="shared" si="16"/>
        <v>-0.1958443442943385</v>
      </c>
      <c r="E13" s="23">
        <v>1486699</v>
      </c>
      <c r="F13" s="24">
        <f t="shared" si="17"/>
        <v>0.23968960626257552</v>
      </c>
      <c r="G13" s="23">
        <v>1532594</v>
      </c>
      <c r="H13" s="24">
        <f t="shared" si="18"/>
        <v>3.0870404836486731E-2</v>
      </c>
      <c r="I13" s="23">
        <v>1494891</v>
      </c>
      <c r="J13" s="24">
        <f t="shared" si="19"/>
        <v>-2.4600774895373489E-2</v>
      </c>
      <c r="K13" s="23">
        <v>1401146</v>
      </c>
      <c r="L13" s="24">
        <f t="shared" si="20"/>
        <v>-6.2710257804749592E-2</v>
      </c>
      <c r="M13" s="23">
        <v>1538960</v>
      </c>
      <c r="N13" s="24">
        <f t="shared" si="21"/>
        <v>9.8358058332250975E-2</v>
      </c>
      <c r="O13" s="23">
        <v>1566627</v>
      </c>
      <c r="P13" s="24">
        <f t="shared" si="22"/>
        <v>1.7977725217029672E-2</v>
      </c>
      <c r="Q13" s="23">
        <v>1093746</v>
      </c>
      <c r="R13" s="24">
        <f t="shared" si="23"/>
        <v>-0.30184657866869391</v>
      </c>
      <c r="S13" s="23">
        <v>1145571</v>
      </c>
      <c r="T13" s="24">
        <f t="shared" si="24"/>
        <v>4.7383030429368533E-2</v>
      </c>
      <c r="U13" s="23">
        <v>1541401</v>
      </c>
      <c r="V13" s="24">
        <f t="shared" si="25"/>
        <v>0.34553074405689399</v>
      </c>
      <c r="W13" s="23">
        <v>970095</v>
      </c>
      <c r="X13" s="24">
        <f t="shared" si="26"/>
        <v>-0.37064073527913888</v>
      </c>
      <c r="Y13" s="23">
        <v>1079682</v>
      </c>
      <c r="Z13" s="24">
        <f t="shared" si="27"/>
        <v>0.11296522505527817</v>
      </c>
      <c r="AA13" s="44">
        <f t="shared" si="28"/>
        <v>16050663</v>
      </c>
      <c r="AB13" s="8">
        <f t="shared" si="29"/>
        <v>6.3780739096827285E-2</v>
      </c>
    </row>
    <row r="14" spans="1:28" x14ac:dyDescent="0.35">
      <c r="A14" s="3" t="s">
        <v>3</v>
      </c>
      <c r="B14" s="23">
        <v>119535</v>
      </c>
      <c r="C14" s="23">
        <v>168740</v>
      </c>
      <c r="D14" s="24">
        <f t="shared" si="16"/>
        <v>0.41163675910821107</v>
      </c>
      <c r="E14" s="23">
        <v>169006</v>
      </c>
      <c r="F14" s="24">
        <f t="shared" si="17"/>
        <v>1.5763897119829284E-3</v>
      </c>
      <c r="G14" s="23">
        <v>247644</v>
      </c>
      <c r="H14" s="24">
        <f t="shared" si="18"/>
        <v>0.46529709004414044</v>
      </c>
      <c r="I14" s="23">
        <v>208880</v>
      </c>
      <c r="J14" s="24">
        <f t="shared" si="19"/>
        <v>-0.1565311495533912</v>
      </c>
      <c r="K14" s="23">
        <v>518173</v>
      </c>
      <c r="L14" s="24">
        <f t="shared" si="20"/>
        <v>1.4807209881271541</v>
      </c>
      <c r="M14" s="23">
        <v>639</v>
      </c>
      <c r="N14" s="24">
        <f t="shared" si="21"/>
        <v>-0.99876682111958748</v>
      </c>
      <c r="O14" s="23">
        <v>41487</v>
      </c>
      <c r="P14" s="24">
        <f t="shared" si="22"/>
        <v>63.924882629107984</v>
      </c>
      <c r="Q14" s="23">
        <v>209400</v>
      </c>
      <c r="R14" s="24">
        <f t="shared" si="23"/>
        <v>4.0473642345795069</v>
      </c>
      <c r="S14" s="23">
        <v>207234</v>
      </c>
      <c r="T14" s="24">
        <f t="shared" si="24"/>
        <v>-1.0343839541547273E-2</v>
      </c>
      <c r="U14" s="23">
        <v>120400</v>
      </c>
      <c r="V14" s="24">
        <f t="shared" si="25"/>
        <v>-0.41901425441771134</v>
      </c>
      <c r="W14" s="23">
        <v>244542</v>
      </c>
      <c r="X14" s="24">
        <f t="shared" si="26"/>
        <v>1.031079734219269</v>
      </c>
      <c r="Y14" s="23">
        <v>244886</v>
      </c>
      <c r="Z14" s="24">
        <f t="shared" si="27"/>
        <v>1.4067113215725513E-3</v>
      </c>
      <c r="AA14" s="44">
        <f t="shared" si="28"/>
        <v>2381031</v>
      </c>
      <c r="AB14" s="8">
        <f t="shared" si="29"/>
        <v>9.4615354513678199E-3</v>
      </c>
    </row>
    <row r="15" spans="1:28" x14ac:dyDescent="0.35">
      <c r="A15" s="3" t="s">
        <v>7</v>
      </c>
      <c r="B15" s="25">
        <v>20393512.119999997</v>
      </c>
      <c r="C15" s="25">
        <f>SUM(C11:C14)</f>
        <v>22110920.990000002</v>
      </c>
      <c r="D15" s="24">
        <f t="shared" si="16"/>
        <v>8.4213492011301794E-2</v>
      </c>
      <c r="E15" s="25">
        <f>SUM(E11:E14)</f>
        <v>21210626.030000001</v>
      </c>
      <c r="F15" s="24">
        <f t="shared" si="17"/>
        <v>-4.0717207591993709E-2</v>
      </c>
      <c r="G15" s="25">
        <f>SUM(G11:G14)</f>
        <v>21663668.780000001</v>
      </c>
      <c r="H15" s="24">
        <f t="shared" si="18"/>
        <v>2.1359235194624793E-2</v>
      </c>
      <c r="I15" s="25">
        <f>SUM(I11:I14)</f>
        <v>21863401.920000002</v>
      </c>
      <c r="J15" s="24">
        <f t="shared" si="19"/>
        <v>9.2197282938701886E-3</v>
      </c>
      <c r="K15" s="25">
        <f>SUM(K11:K14)</f>
        <v>22074140.759999998</v>
      </c>
      <c r="L15" s="24">
        <f t="shared" si="20"/>
        <v>9.6388860604177395E-3</v>
      </c>
      <c r="M15" s="25">
        <f>SUM(M11:M14)</f>
        <v>20711409.759999998</v>
      </c>
      <c r="N15" s="24">
        <f t="shared" si="21"/>
        <v>-6.1734271554042541E-2</v>
      </c>
      <c r="O15" s="25">
        <f>SUM(O11:O14)</f>
        <v>22705520.079999998</v>
      </c>
      <c r="P15" s="24">
        <f t="shared" si="22"/>
        <v>9.6280762299977729E-2</v>
      </c>
      <c r="Q15" s="25">
        <f>SUM(Q11:Q14)</f>
        <v>21379670.399999999</v>
      </c>
      <c r="R15" s="24">
        <f t="shared" si="23"/>
        <v>-5.839327508590586E-2</v>
      </c>
      <c r="S15" s="25">
        <f>SUM(S11:S14)</f>
        <v>21065997.77</v>
      </c>
      <c r="T15" s="24">
        <f t="shared" si="24"/>
        <v>-1.4671537218833741E-2</v>
      </c>
      <c r="U15" s="25">
        <f>SUM(U11:U14)</f>
        <v>21556066.98</v>
      </c>
      <c r="V15" s="24">
        <f t="shared" si="25"/>
        <v>2.326351760550871E-2</v>
      </c>
      <c r="W15" s="25">
        <f>SUM(W11:W14)</f>
        <v>16399347.77</v>
      </c>
      <c r="X15" s="24">
        <f t="shared" si="26"/>
        <v>-0.23922356591230076</v>
      </c>
      <c r="Y15" s="25">
        <f>SUM(Y11:Y14)</f>
        <v>18912991.75</v>
      </c>
      <c r="Z15" s="24">
        <f t="shared" si="27"/>
        <v>0.15327707023801973</v>
      </c>
      <c r="AA15" s="44">
        <f t="shared" si="28"/>
        <v>251653762.99000001</v>
      </c>
      <c r="AB15" s="8">
        <f t="shared" si="29"/>
        <v>1</v>
      </c>
    </row>
    <row r="16" spans="1:28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33"/>
      <c r="AB16" s="12"/>
    </row>
    <row r="17" spans="1:28" x14ac:dyDescent="0.35">
      <c r="A17" s="3" t="s">
        <v>44</v>
      </c>
      <c r="B17" s="4">
        <v>45627</v>
      </c>
      <c r="C17" s="36">
        <f t="shared" ref="C17:X17" si="30">C10</f>
        <v>45658</v>
      </c>
      <c r="D17" s="36" t="str">
        <f t="shared" si="30"/>
        <v>Vari</v>
      </c>
      <c r="E17" s="36">
        <f t="shared" si="30"/>
        <v>45689</v>
      </c>
      <c r="F17" s="36" t="str">
        <f t="shared" si="30"/>
        <v>Vari</v>
      </c>
      <c r="G17" s="36">
        <f t="shared" si="30"/>
        <v>45717</v>
      </c>
      <c r="H17" s="36" t="str">
        <f t="shared" si="30"/>
        <v>Vari</v>
      </c>
      <c r="I17" s="36">
        <f t="shared" si="30"/>
        <v>45748</v>
      </c>
      <c r="J17" s="36" t="str">
        <f t="shared" si="30"/>
        <v>Vari</v>
      </c>
      <c r="K17" s="36">
        <f t="shared" si="30"/>
        <v>45778</v>
      </c>
      <c r="L17" s="36" t="str">
        <f t="shared" si="30"/>
        <v>Vari</v>
      </c>
      <c r="M17" s="36">
        <f t="shared" si="30"/>
        <v>45809</v>
      </c>
      <c r="N17" s="36" t="str">
        <f t="shared" si="30"/>
        <v>Vari</v>
      </c>
      <c r="O17" s="36">
        <f t="shared" si="30"/>
        <v>45839</v>
      </c>
      <c r="P17" s="36" t="str">
        <f t="shared" si="30"/>
        <v>Vari</v>
      </c>
      <c r="Q17" s="36">
        <f t="shared" si="30"/>
        <v>45870</v>
      </c>
      <c r="R17" s="36" t="str">
        <f t="shared" si="30"/>
        <v>Vari</v>
      </c>
      <c r="S17" s="36">
        <f t="shared" si="30"/>
        <v>45901</v>
      </c>
      <c r="T17" s="36" t="str">
        <f t="shared" si="30"/>
        <v>Vari</v>
      </c>
      <c r="U17" s="52">
        <f t="shared" si="30"/>
        <v>45931</v>
      </c>
      <c r="V17" s="52" t="str">
        <f t="shared" si="30"/>
        <v>Vari</v>
      </c>
      <c r="W17" s="36">
        <f t="shared" si="30"/>
        <v>46327</v>
      </c>
      <c r="X17" s="36" t="str">
        <f t="shared" si="30"/>
        <v>Vari</v>
      </c>
      <c r="Y17" s="49">
        <f>Y10</f>
        <v>45992</v>
      </c>
      <c r="Z17" s="49" t="str">
        <f t="shared" ref="Z17" si="31">Z10</f>
        <v>Vari</v>
      </c>
      <c r="AA17" s="4" t="s">
        <v>55</v>
      </c>
      <c r="AB17" s="12"/>
    </row>
    <row r="18" spans="1:28" x14ac:dyDescent="0.35">
      <c r="A18" s="3" t="s">
        <v>0</v>
      </c>
      <c r="B18" s="26">
        <v>7.0570837953928587</v>
      </c>
      <c r="C18" s="35">
        <f>C4/C11*100</f>
        <v>7.3896280502334131</v>
      </c>
      <c r="D18" s="27">
        <f>C18/B18-1</f>
        <v>4.712204991212543E-2</v>
      </c>
      <c r="E18" s="35">
        <f>E4/E11*100</f>
        <v>7.2740072888621112</v>
      </c>
      <c r="F18" s="27">
        <f>E18/C18-1</f>
        <v>-1.5646357378927833E-2</v>
      </c>
      <c r="G18" s="35">
        <f>G4/G11*100</f>
        <v>7.0973937052325535</v>
      </c>
      <c r="H18" s="27">
        <f>G18/E18-1</f>
        <v>-2.4280094398583696E-2</v>
      </c>
      <c r="I18" s="35">
        <f>I4/I11*100</f>
        <v>7.2141984157979451</v>
      </c>
      <c r="J18" s="27">
        <f>I18/G18-1</f>
        <v>1.6457408932982975E-2</v>
      </c>
      <c r="K18" s="35">
        <f>K4/K11*100</f>
        <v>7.4680630715092429</v>
      </c>
      <c r="L18" s="27">
        <f>K18/I18-1</f>
        <v>3.5189586019061414E-2</v>
      </c>
      <c r="M18" s="35">
        <f>M4/M11*100</f>
        <v>7.3632420507755647</v>
      </c>
      <c r="N18" s="27">
        <f>M18/K18-1</f>
        <v>-1.4035904588643788E-2</v>
      </c>
      <c r="O18" s="35">
        <f>O4/O11*100</f>
        <v>7.3159616418607962</v>
      </c>
      <c r="P18" s="27">
        <f>O18/M18-1</f>
        <v>-6.4211401158255077E-3</v>
      </c>
      <c r="Q18" s="35">
        <f>Q4/Q11*100</f>
        <v>7.4235527278090299</v>
      </c>
      <c r="R18" s="27">
        <f>Q18/O18-1</f>
        <v>1.4706349105579442E-2</v>
      </c>
      <c r="S18" s="35">
        <f>S4/S11*100</f>
        <v>7.3311570342738417</v>
      </c>
      <c r="T18" s="27">
        <f>S18/Q18-1</f>
        <v>-1.2446290465354837E-2</v>
      </c>
      <c r="U18" s="53">
        <f>U4/U11*100</f>
        <v>7.4655691327382465</v>
      </c>
      <c r="V18" s="54">
        <f>U18/S18-1</f>
        <v>1.8334363571263834E-2</v>
      </c>
      <c r="W18" s="35">
        <f>W4/W11*100</f>
        <v>6.9109240407523735</v>
      </c>
      <c r="X18" s="27">
        <f>W18/U18-1</f>
        <v>-7.4293745342686068E-2</v>
      </c>
      <c r="Y18" s="47">
        <f>Y4/Y11*100</f>
        <v>7.6934392258567463</v>
      </c>
      <c r="Z18" s="48">
        <f>Y18/W18-1</f>
        <v>0.11322873475240547</v>
      </c>
      <c r="AA18" s="41">
        <f>(C18+E18+G18+I18+K18+M18+O18+Q18+S18+U18+W18+Y18)/12</f>
        <v>7.328928032141822</v>
      </c>
      <c r="AB18" s="12"/>
    </row>
    <row r="19" spans="1:28" x14ac:dyDescent="0.35">
      <c r="A19" s="3" t="s">
        <v>2</v>
      </c>
      <c r="B19" s="26">
        <v>7.8066647775158895</v>
      </c>
      <c r="C19" s="35">
        <f>C5/C12*100</f>
        <v>7.8243863502366633</v>
      </c>
      <c r="D19" s="27">
        <f t="shared" ref="D19:D22" si="32">C19/B19-1</f>
        <v>2.2700568329530046E-3</v>
      </c>
      <c r="E19" s="35">
        <f t="shared" ref="E19:E22" si="33">E5/E12*100</f>
        <v>7.165010051478836</v>
      </c>
      <c r="F19" s="27">
        <f t="shared" ref="F19:F22" si="34">E19/C19-1</f>
        <v>-8.4271950443485344E-2</v>
      </c>
      <c r="G19" s="35">
        <f t="shared" ref="G19:G22" si="35">G5/G12*100</f>
        <v>7.7716059859227222</v>
      </c>
      <c r="H19" s="27">
        <f t="shared" ref="H19:H22" si="36">G19/E19-1</f>
        <v>8.4660863011446486E-2</v>
      </c>
      <c r="I19" s="35">
        <f t="shared" ref="I19:I22" si="37">I5/I12*100</f>
        <v>8.020223998733444</v>
      </c>
      <c r="J19" s="27">
        <f t="shared" ref="J19:J22" si="38">I19/G19-1</f>
        <v>3.1990558098424104E-2</v>
      </c>
      <c r="K19" s="35">
        <f t="shared" ref="K19:K22" si="39">K5/K12*100</f>
        <v>8.3223657956422397</v>
      </c>
      <c r="L19" s="27">
        <f t="shared" ref="L19:L22" si="40">K19/I19-1</f>
        <v>3.7672488568462725E-2</v>
      </c>
      <c r="M19" s="35">
        <f t="shared" ref="M19:M22" si="41">M5/M12*100</f>
        <v>8.1307418539261231</v>
      </c>
      <c r="N19" s="27">
        <f t="shared" ref="N19:N22" si="42">M19/K19-1</f>
        <v>-2.3025176544926085E-2</v>
      </c>
      <c r="O19" s="35">
        <f t="shared" ref="O19:O22" si="43">O5/O12*100</f>
        <v>7.8118913662301992</v>
      </c>
      <c r="P19" s="27">
        <f t="shared" ref="P19:P22" si="44">O19/M19-1</f>
        <v>-3.9215423810554206E-2</v>
      </c>
      <c r="Q19" s="35">
        <f t="shared" ref="Q19:Q22" si="45">Q5/Q12*100</f>
        <v>8.0922716004396484</v>
      </c>
      <c r="R19" s="27">
        <f t="shared" ref="R19:R22" si="46">Q19/O19-1</f>
        <v>3.5891466107874637E-2</v>
      </c>
      <c r="S19" s="35">
        <f t="shared" ref="S19:S22" si="47">S5/S12*100</f>
        <v>8.1632783237560531</v>
      </c>
      <c r="T19" s="27">
        <f t="shared" ref="T19:T22" si="48">S19/Q19-1</f>
        <v>8.7746342216872275E-3</v>
      </c>
      <c r="U19" s="53">
        <f t="shared" ref="U19:U22" si="49">U5/U12*100</f>
        <v>8.0332262305095838</v>
      </c>
      <c r="V19" s="54">
        <f t="shared" ref="V19:V22" si="50">U19/S19-1</f>
        <v>-1.5931356017594434E-2</v>
      </c>
      <c r="W19" s="35">
        <f t="shared" ref="W19:W22" si="51">W5/W12*100</f>
        <v>7.5772158051031813</v>
      </c>
      <c r="X19" s="27">
        <f t="shared" ref="X19:X22" si="52">W19/U19-1</f>
        <v>-5.6765540060917163E-2</v>
      </c>
      <c r="Y19" s="47">
        <f t="shared" ref="Y19:Y22" si="53">Y5/Y12*100</f>
        <v>7.2723975433839518</v>
      </c>
      <c r="Z19" s="48">
        <f t="shared" ref="Z19:Z22" si="54">Y19/W19-1</f>
        <v>-4.0228267157698894E-2</v>
      </c>
      <c r="AA19" s="41">
        <f t="shared" ref="AA19:AA22" si="55">(C19+E19+G19+I19+K19+M19+O19+Q19+S19+U19+W19+Y19)/12</f>
        <v>7.8487179087802206</v>
      </c>
      <c r="AB19" s="12"/>
    </row>
    <row r="20" spans="1:28" x14ac:dyDescent="0.35">
      <c r="A20" s="3" t="s">
        <v>1</v>
      </c>
      <c r="B20" s="26">
        <v>6.9942265795937413</v>
      </c>
      <c r="C20" s="35">
        <f>C6/C13*100</f>
        <v>7.3686500991035242</v>
      </c>
      <c r="D20" s="27">
        <f t="shared" si="32"/>
        <v>5.3533227047890541E-2</v>
      </c>
      <c r="E20" s="35">
        <f t="shared" si="33"/>
        <v>7.1828574580328635</v>
      </c>
      <c r="F20" s="27">
        <f t="shared" si="34"/>
        <v>-2.5213931801872924E-2</v>
      </c>
      <c r="G20" s="35">
        <f t="shared" si="35"/>
        <v>7.4247152213828329</v>
      </c>
      <c r="H20" s="27">
        <f t="shared" si="36"/>
        <v>3.3671524844125944E-2</v>
      </c>
      <c r="I20" s="35">
        <f t="shared" si="37"/>
        <v>7.7014156885017035</v>
      </c>
      <c r="J20" s="27">
        <f t="shared" si="38"/>
        <v>3.7267485535604994E-2</v>
      </c>
      <c r="K20" s="35">
        <f t="shared" si="39"/>
        <v>7.4660249538591987</v>
      </c>
      <c r="L20" s="27">
        <f t="shared" si="40"/>
        <v>-3.0564605802793632E-2</v>
      </c>
      <c r="M20" s="35">
        <f t="shared" si="41"/>
        <v>7.4513645578832461</v>
      </c>
      <c r="N20" s="27">
        <f t="shared" si="42"/>
        <v>-1.9636146499047991E-3</v>
      </c>
      <c r="O20" s="35">
        <f t="shared" si="43"/>
        <v>7.8052695376755281</v>
      </c>
      <c r="P20" s="27">
        <f t="shared" si="44"/>
        <v>4.749532478824503E-2</v>
      </c>
      <c r="Q20" s="35">
        <f t="shared" si="45"/>
        <v>7.9232280620911988</v>
      </c>
      <c r="R20" s="27">
        <f t="shared" si="46"/>
        <v>1.5112677896168991E-2</v>
      </c>
      <c r="S20" s="35">
        <f t="shared" si="47"/>
        <v>7.6374017847867997</v>
      </c>
      <c r="T20" s="27">
        <f t="shared" si="48"/>
        <v>-3.6074473063818391E-2</v>
      </c>
      <c r="U20" s="53">
        <f t="shared" si="49"/>
        <v>7.3500445374046084</v>
      </c>
      <c r="V20" s="54">
        <f t="shared" si="50"/>
        <v>-3.7625000684733956E-2</v>
      </c>
      <c r="W20" s="35">
        <f t="shared" si="51"/>
        <v>7.1157433034908957</v>
      </c>
      <c r="X20" s="27">
        <f t="shared" si="52"/>
        <v>-3.1877525737612378E-2</v>
      </c>
      <c r="Y20" s="47">
        <f t="shared" si="53"/>
        <v>7.0921576908756476</v>
      </c>
      <c r="Z20" s="48">
        <f t="shared" si="54"/>
        <v>-3.3145676578407723E-3</v>
      </c>
      <c r="AA20" s="41">
        <f t="shared" si="55"/>
        <v>7.4599060745906725</v>
      </c>
      <c r="AB20" s="12"/>
    </row>
    <row r="21" spans="1:28" x14ac:dyDescent="0.35">
      <c r="A21" s="3" t="s">
        <v>3</v>
      </c>
      <c r="B21" s="26">
        <v>1.5058351110553394</v>
      </c>
      <c r="C21" s="35">
        <f>C7/C14*100</f>
        <v>1.3485362095531588</v>
      </c>
      <c r="D21" s="27">
        <f t="shared" si="32"/>
        <v>-0.10445957883923973</v>
      </c>
      <c r="E21" s="35">
        <f t="shared" si="33"/>
        <v>1.5617788717560324</v>
      </c>
      <c r="F21" s="27">
        <f t="shared" si="34"/>
        <v>0.15812898511159168</v>
      </c>
      <c r="G21" s="35">
        <f t="shared" si="35"/>
        <v>3.2963084104601768</v>
      </c>
      <c r="H21" s="27">
        <f t="shared" si="36"/>
        <v>1.1106114764850639</v>
      </c>
      <c r="I21" s="35">
        <f t="shared" si="37"/>
        <v>3.3998851014936804</v>
      </c>
      <c r="J21" s="27">
        <f t="shared" si="38"/>
        <v>3.1422026745077547E-2</v>
      </c>
      <c r="K21" s="35">
        <f t="shared" si="39"/>
        <v>4.0838793221568856</v>
      </c>
      <c r="L21" s="27">
        <f t="shared" si="40"/>
        <v>0.20118156944853949</v>
      </c>
      <c r="M21" s="35">
        <f t="shared" si="41"/>
        <v>23.615023474178404</v>
      </c>
      <c r="N21" s="27">
        <f t="shared" si="42"/>
        <v>4.7824978681559616</v>
      </c>
      <c r="O21" s="35">
        <f t="shared" si="43"/>
        <v>1.6698965941138189</v>
      </c>
      <c r="P21" s="27">
        <f t="shared" si="44"/>
        <v>-0.92928668498086608</v>
      </c>
      <c r="Q21" s="35">
        <f t="shared" si="45"/>
        <v>1.7167239732569246</v>
      </c>
      <c r="R21" s="27">
        <f t="shared" si="46"/>
        <v>2.8042083149439678E-2</v>
      </c>
      <c r="S21" s="35">
        <f t="shared" si="47"/>
        <v>2.9362942374320817</v>
      </c>
      <c r="T21" s="27">
        <f t="shared" si="48"/>
        <v>0.71040556500263685</v>
      </c>
      <c r="U21" s="53">
        <f t="shared" si="49"/>
        <v>1.8765780730897013</v>
      </c>
      <c r="V21" s="54">
        <f t="shared" si="50"/>
        <v>-0.3609025794598667</v>
      </c>
      <c r="W21" s="35">
        <f t="shared" si="51"/>
        <v>1.712691480400095</v>
      </c>
      <c r="X21" s="27">
        <f t="shared" si="52"/>
        <v>-8.733268017982021E-2</v>
      </c>
      <c r="Y21" s="47">
        <f t="shared" si="53"/>
        <v>1.492714977581405</v>
      </c>
      <c r="Z21" s="48">
        <f t="shared" si="54"/>
        <v>-0.12843907109720787</v>
      </c>
      <c r="AA21" s="41">
        <f t="shared" si="55"/>
        <v>4.0591925604560304</v>
      </c>
      <c r="AB21" s="12"/>
    </row>
    <row r="22" spans="1:28" x14ac:dyDescent="0.35">
      <c r="A22" s="3" t="s">
        <v>8</v>
      </c>
      <c r="B22" s="28">
        <v>7.3930582977975074</v>
      </c>
      <c r="C22" s="39">
        <f>C8/C15*100</f>
        <v>7.5716764161798942</v>
      </c>
      <c r="D22" s="27">
        <f t="shared" si="32"/>
        <v>2.4160247516998412E-2</v>
      </c>
      <c r="E22" s="35">
        <f t="shared" si="33"/>
        <v>7.16842231742464</v>
      </c>
      <c r="F22" s="27">
        <f t="shared" si="34"/>
        <v>-5.3258231941019196E-2</v>
      </c>
      <c r="G22" s="35">
        <f t="shared" si="35"/>
        <v>7.3990961839290073</v>
      </c>
      <c r="H22" s="27">
        <f t="shared" si="36"/>
        <v>3.2179168063753316E-2</v>
      </c>
      <c r="I22" s="35">
        <f t="shared" si="37"/>
        <v>7.6334237284149049</v>
      </c>
      <c r="J22" s="27">
        <f t="shared" si="38"/>
        <v>3.1669752448260091E-2</v>
      </c>
      <c r="K22" s="35">
        <f t="shared" si="39"/>
        <v>7.8135027258927385</v>
      </c>
      <c r="L22" s="27">
        <f t="shared" si="40"/>
        <v>2.3590855674302746E-2</v>
      </c>
      <c r="M22" s="35">
        <f t="shared" si="41"/>
        <v>7.7765990276076709</v>
      </c>
      <c r="N22" s="27">
        <f t="shared" si="42"/>
        <v>-4.7230671799440849E-3</v>
      </c>
      <c r="O22" s="35">
        <f t="shared" si="43"/>
        <v>7.6139166330868742</v>
      </c>
      <c r="P22" s="27">
        <f t="shared" si="44"/>
        <v>-2.0919478289064264E-2</v>
      </c>
      <c r="Q22" s="35">
        <f t="shared" si="45"/>
        <v>7.7427173526491799</v>
      </c>
      <c r="R22" s="27">
        <f t="shared" si="46"/>
        <v>1.6916486713630663E-2</v>
      </c>
      <c r="S22" s="35">
        <f t="shared" si="47"/>
        <v>7.711371888178074</v>
      </c>
      <c r="T22" s="27">
        <f t="shared" si="48"/>
        <v>-4.0483803093214199E-3</v>
      </c>
      <c r="U22" s="53">
        <f t="shared" si="49"/>
        <v>7.6963676701286623</v>
      </c>
      <c r="V22" s="54">
        <f t="shared" si="50"/>
        <v>-1.9457261648104796E-3</v>
      </c>
      <c r="W22" s="35">
        <f t="shared" si="51"/>
        <v>7.2134029754769928</v>
      </c>
      <c r="X22" s="27">
        <f t="shared" si="52"/>
        <v>-6.2752289827078367E-2</v>
      </c>
      <c r="Y22" s="47">
        <f t="shared" si="53"/>
        <v>7.3427353448721293</v>
      </c>
      <c r="Z22" s="48">
        <f t="shared" si="54"/>
        <v>1.7929452968982851E-2</v>
      </c>
      <c r="AA22" s="41">
        <f t="shared" si="55"/>
        <v>7.5569360219867301</v>
      </c>
      <c r="AB22" s="12"/>
    </row>
    <row r="23" spans="1:28" x14ac:dyDescent="0.35">
      <c r="A23" s="2" t="s">
        <v>10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50"/>
      <c r="R23" s="50"/>
      <c r="S23" s="1"/>
      <c r="T23" s="1"/>
      <c r="U23" s="50"/>
      <c r="V23" s="51"/>
    </row>
    <row r="24" spans="1:28" ht="15.5" x14ac:dyDescent="0.35">
      <c r="A24" s="18" t="s">
        <v>77</v>
      </c>
      <c r="B24" s="18"/>
      <c r="C24" s="18"/>
      <c r="D24" s="18"/>
      <c r="E24" s="18"/>
      <c r="F24" s="18"/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"/>
    </row>
    <row r="25" spans="1:28" ht="15.5" x14ac:dyDescent="0.35">
      <c r="A25" s="56" t="s">
        <v>78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S25" s="32"/>
      <c r="U25" s="45"/>
      <c r="W25" s="45"/>
    </row>
    <row r="26" spans="1:28" ht="15.5" x14ac:dyDescent="0.35">
      <c r="A26" s="20" t="s">
        <v>79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37"/>
      <c r="T26" s="37"/>
    </row>
    <row r="27" spans="1:28" ht="15.5" x14ac:dyDescent="0.35">
      <c r="A27" s="18" t="s">
        <v>80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U27" s="31"/>
      <c r="AA27" s="31"/>
    </row>
    <row r="28" spans="1:28" ht="15.5" x14ac:dyDescent="0.35">
      <c r="A28" s="20" t="s">
        <v>81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18"/>
      <c r="R28" s="18"/>
      <c r="S28" s="45"/>
    </row>
    <row r="29" spans="1:28" ht="15.5" x14ac:dyDescent="0.35">
      <c r="A29" s="20" t="s">
        <v>82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37"/>
      <c r="T29" s="37"/>
      <c r="U29" s="37"/>
    </row>
  </sheetData>
  <mergeCells count="2">
    <mergeCell ref="A1:AB1"/>
    <mergeCell ref="A25:O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6F25-6EA9-41E2-A0A0-540FEBEB62D9}">
  <dimension ref="A1:AB29"/>
  <sheetViews>
    <sheetView tabSelected="1" workbookViewId="0">
      <selection activeCell="U25" sqref="U25"/>
    </sheetView>
  </sheetViews>
  <sheetFormatPr defaultRowHeight="14.5" x14ac:dyDescent="0.35"/>
  <cols>
    <col min="2" max="3" width="9.36328125" bestFit="1" customWidth="1"/>
    <col min="4" max="4" width="5.6328125" customWidth="1"/>
    <col min="5" max="5" width="9.36328125" bestFit="1" customWidth="1"/>
    <col min="6" max="6" width="5.6328125" customWidth="1"/>
    <col min="7" max="7" width="9.36328125" bestFit="1" customWidth="1"/>
    <col min="8" max="8" width="5.6328125" customWidth="1"/>
    <col min="10" max="10" width="5.6328125" customWidth="1"/>
    <col min="12" max="12" width="5.6328125" customWidth="1"/>
    <col min="14" max="14" width="5.6328125" customWidth="1"/>
    <col min="16" max="16" width="5.6328125" customWidth="1"/>
    <col min="18" max="18" width="5.6328125" customWidth="1"/>
    <col min="20" max="20" width="5.6328125" customWidth="1"/>
    <col min="22" max="22" width="5.6328125" customWidth="1"/>
    <col min="24" max="24" width="5.6328125" customWidth="1"/>
    <col min="25" max="25" width="9.36328125" bestFit="1" customWidth="1"/>
    <col min="26" max="26" width="5.6328125" customWidth="1"/>
    <col min="27" max="27" width="9.36328125" bestFit="1" customWidth="1"/>
    <col min="28" max="28" width="6.6328125" customWidth="1"/>
  </cols>
  <sheetData>
    <row r="1" spans="1:28" ht="20" x14ac:dyDescent="0.4">
      <c r="A1" s="55" t="s">
        <v>83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20" x14ac:dyDescent="0.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35">
      <c r="A3" s="3" t="s">
        <v>5</v>
      </c>
      <c r="B3" s="4">
        <v>45992</v>
      </c>
      <c r="C3" s="4">
        <v>46023</v>
      </c>
      <c r="D3" s="4" t="s">
        <v>9</v>
      </c>
      <c r="E3" s="4">
        <v>46054</v>
      </c>
      <c r="F3" s="4" t="s">
        <v>9</v>
      </c>
      <c r="G3" s="4">
        <v>46082</v>
      </c>
      <c r="H3" s="4" t="s">
        <v>9</v>
      </c>
      <c r="I3" s="4">
        <v>46113</v>
      </c>
      <c r="J3" s="4" t="s">
        <v>9</v>
      </c>
      <c r="K3" s="4">
        <v>46143</v>
      </c>
      <c r="L3" s="4" t="s">
        <v>9</v>
      </c>
      <c r="M3" s="4">
        <v>46174</v>
      </c>
      <c r="N3" s="4" t="s">
        <v>9</v>
      </c>
      <c r="O3" s="4">
        <v>46204</v>
      </c>
      <c r="P3" s="4" t="s">
        <v>9</v>
      </c>
      <c r="Q3" s="4">
        <v>46235</v>
      </c>
      <c r="R3" s="4" t="s">
        <v>9</v>
      </c>
      <c r="S3" s="4">
        <v>46266</v>
      </c>
      <c r="T3" s="4" t="s">
        <v>9</v>
      </c>
      <c r="U3" s="4">
        <v>46296</v>
      </c>
      <c r="V3" s="4" t="s">
        <v>9</v>
      </c>
      <c r="W3" s="4">
        <v>46327</v>
      </c>
      <c r="X3" s="4" t="s">
        <v>9</v>
      </c>
      <c r="Y3" s="4">
        <v>46357</v>
      </c>
      <c r="Z3" s="4" t="s">
        <v>9</v>
      </c>
      <c r="AA3" s="4" t="s">
        <v>52</v>
      </c>
      <c r="AB3" s="3" t="s">
        <v>11</v>
      </c>
    </row>
    <row r="4" spans="1:28" x14ac:dyDescent="0.35">
      <c r="A4" s="3" t="s">
        <v>0</v>
      </c>
      <c r="B4" s="29">
        <v>537256.48</v>
      </c>
      <c r="C4" s="29">
        <v>696753.73</v>
      </c>
      <c r="D4" s="24">
        <f>C4/B4-1</f>
        <v>0.29687357144580173</v>
      </c>
      <c r="E4" s="29">
        <v>699525.61</v>
      </c>
      <c r="F4" s="24">
        <f>E4/C4-1</f>
        <v>3.9782779490824538E-3</v>
      </c>
      <c r="G4" s="29">
        <v>819649.46</v>
      </c>
      <c r="H4" s="24">
        <f>G4/E4-1</f>
        <v>0.17172187591530785</v>
      </c>
      <c r="I4" s="29"/>
      <c r="J4" s="24"/>
      <c r="K4" s="29"/>
      <c r="L4" s="24"/>
      <c r="M4" s="29"/>
      <c r="N4" s="24"/>
      <c r="O4" s="29"/>
      <c r="P4" s="24"/>
      <c r="Q4" s="29"/>
      <c r="R4" s="24"/>
      <c r="S4" s="29"/>
      <c r="T4" s="24"/>
      <c r="U4" s="29"/>
      <c r="V4" s="24"/>
      <c r="W4" s="29"/>
      <c r="X4" s="24"/>
      <c r="Y4" s="29"/>
      <c r="Z4" s="24"/>
      <c r="AA4" s="42">
        <f>C4+E4+G4+I4+K4+M4+O4+Q4+S4+U4+W4+Y4</f>
        <v>2215928.7999999998</v>
      </c>
      <c r="AB4" s="8">
        <f>AA4/$AA$8</f>
        <v>0.41757096250585796</v>
      </c>
    </row>
    <row r="5" spans="1:28" x14ac:dyDescent="0.35">
      <c r="A5" s="3" t="s">
        <v>2</v>
      </c>
      <c r="B5" s="29">
        <v>771246.25</v>
      </c>
      <c r="C5" s="29">
        <v>803198.01</v>
      </c>
      <c r="D5" s="24">
        <f t="shared" ref="D5:D8" si="0">C5/B5-1</f>
        <v>4.1428739523855063E-2</v>
      </c>
      <c r="E5" s="29">
        <v>876392.27</v>
      </c>
      <c r="F5" s="24">
        <f t="shared" ref="F5:F8" si="1">E5/C5-1</f>
        <v>9.11285375321087E-2</v>
      </c>
      <c r="G5" s="29">
        <v>1105051</v>
      </c>
      <c r="H5" s="24">
        <f t="shared" ref="H5:H8" si="2">G5/E5-1</f>
        <v>0.2609091132216399</v>
      </c>
      <c r="I5" s="29"/>
      <c r="J5" s="24"/>
      <c r="K5" s="29"/>
      <c r="L5" s="24"/>
      <c r="M5" s="29"/>
      <c r="N5" s="24"/>
      <c r="O5" s="29"/>
      <c r="P5" s="24"/>
      <c r="Q5" s="29"/>
      <c r="R5" s="24"/>
      <c r="S5" s="29"/>
      <c r="T5" s="24"/>
      <c r="U5" s="29"/>
      <c r="V5" s="24"/>
      <c r="W5" s="29"/>
      <c r="X5" s="24"/>
      <c r="Y5" s="29"/>
      <c r="Z5" s="24"/>
      <c r="AA5" s="42">
        <f t="shared" ref="AA5:AA7" si="3">C5+E5+G5+I5+K5+M5+O5+Q5+S5+U5+W5+Y5</f>
        <v>2784641.2800000003</v>
      </c>
      <c r="AB5" s="8">
        <f t="shared" ref="AB5:AB7" si="4">AA5/$AA$8</f>
        <v>0.52473948599934461</v>
      </c>
    </row>
    <row r="6" spans="1:28" x14ac:dyDescent="0.35">
      <c r="A6" s="3" t="s">
        <v>1</v>
      </c>
      <c r="B6" s="29">
        <v>76572.75</v>
      </c>
      <c r="C6" s="29">
        <v>87942.27</v>
      </c>
      <c r="D6" s="24">
        <f t="shared" si="0"/>
        <v>0.14847997492580589</v>
      </c>
      <c r="E6" s="29">
        <v>96705.81</v>
      </c>
      <c r="F6" s="24">
        <f t="shared" si="1"/>
        <v>9.9651055175173253E-2</v>
      </c>
      <c r="G6" s="29">
        <v>118850.63</v>
      </c>
      <c r="H6" s="24">
        <f t="shared" si="2"/>
        <v>0.22899161901441101</v>
      </c>
      <c r="I6" s="29"/>
      <c r="J6" s="24"/>
      <c r="K6" s="29"/>
      <c r="L6" s="24"/>
      <c r="M6" s="29"/>
      <c r="N6" s="24"/>
      <c r="O6" s="29"/>
      <c r="P6" s="24"/>
      <c r="Q6" s="29"/>
      <c r="R6" s="24"/>
      <c r="S6" s="29"/>
      <c r="T6" s="24"/>
      <c r="U6" s="29"/>
      <c r="V6" s="24"/>
      <c r="W6" s="29"/>
      <c r="X6" s="24"/>
      <c r="Y6" s="29"/>
      <c r="Z6" s="24"/>
      <c r="AA6" s="42">
        <f t="shared" si="3"/>
        <v>303498.71000000002</v>
      </c>
      <c r="AB6" s="8">
        <f t="shared" si="4"/>
        <v>5.7191480364344863E-2</v>
      </c>
    </row>
    <row r="7" spans="1:28" x14ac:dyDescent="0.35">
      <c r="A7" s="3" t="s">
        <v>3</v>
      </c>
      <c r="B7" s="29">
        <v>3655.45</v>
      </c>
      <c r="C7" s="29">
        <v>134.44999999999999</v>
      </c>
      <c r="D7" s="24">
        <f t="shared" si="0"/>
        <v>-0.96321930268503198</v>
      </c>
      <c r="E7" s="29">
        <v>689.4</v>
      </c>
      <c r="F7" s="24">
        <f t="shared" si="1"/>
        <v>4.1275567125325399</v>
      </c>
      <c r="G7" s="29">
        <v>1819.27</v>
      </c>
      <c r="H7" s="24">
        <f t="shared" si="2"/>
        <v>1.6389178996228604</v>
      </c>
      <c r="I7" s="29"/>
      <c r="J7" s="24"/>
      <c r="K7" s="29"/>
      <c r="L7" s="24"/>
      <c r="M7" s="29"/>
      <c r="N7" s="24"/>
      <c r="O7" s="29"/>
      <c r="P7" s="24"/>
      <c r="Q7" s="29"/>
      <c r="R7" s="24"/>
      <c r="S7" s="29"/>
      <c r="T7" s="24"/>
      <c r="U7" s="29"/>
      <c r="V7" s="24"/>
      <c r="W7" s="29"/>
      <c r="X7" s="24"/>
      <c r="Y7" s="29"/>
      <c r="Z7" s="24"/>
      <c r="AA7" s="42">
        <f t="shared" si="3"/>
        <v>2643.12</v>
      </c>
      <c r="AB7" s="8">
        <f t="shared" si="4"/>
        <v>4.9807113045260444E-4</v>
      </c>
    </row>
    <row r="8" spans="1:28" x14ac:dyDescent="0.35">
      <c r="A8" s="3" t="s">
        <v>7</v>
      </c>
      <c r="B8" s="30">
        <v>1388730.93</v>
      </c>
      <c r="C8" s="30">
        <f>SUM(C4:C7)</f>
        <v>1588028.46</v>
      </c>
      <c r="D8" s="24">
        <f t="shared" si="0"/>
        <v>0.14351054311147227</v>
      </c>
      <c r="E8" s="30">
        <f>SUM(E4:E7)</f>
        <v>1673313.0899999999</v>
      </c>
      <c r="F8" s="24">
        <f t="shared" si="1"/>
        <v>5.3704723906522256E-2</v>
      </c>
      <c r="G8" s="30">
        <f>SUM(G4:G7)</f>
        <v>2045370.3599999999</v>
      </c>
      <c r="H8" s="24">
        <f t="shared" si="2"/>
        <v>0.22234767194703542</v>
      </c>
      <c r="I8" s="30"/>
      <c r="J8" s="24"/>
      <c r="K8" s="30"/>
      <c r="L8" s="24"/>
      <c r="M8" s="30"/>
      <c r="N8" s="24"/>
      <c r="O8" s="30"/>
      <c r="P8" s="24"/>
      <c r="Q8" s="30"/>
      <c r="R8" s="24"/>
      <c r="S8" s="30"/>
      <c r="T8" s="24"/>
      <c r="U8" s="30"/>
      <c r="V8" s="24"/>
      <c r="W8" s="30"/>
      <c r="X8" s="24"/>
      <c r="Y8" s="30"/>
      <c r="Z8" s="24"/>
      <c r="AA8" s="42">
        <f>C8+E8+G8+I8+K8+M8+O8+Q8+S8+U8+W8+Y8</f>
        <v>5306711.91</v>
      </c>
      <c r="AB8" s="8">
        <f t="shared" ref="AB8" si="5">C8/$C$8</f>
        <v>1</v>
      </c>
    </row>
    <row r="9" spans="1:2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5">
      <c r="A10" s="3" t="s">
        <v>53</v>
      </c>
      <c r="B10" s="4">
        <v>46357</v>
      </c>
      <c r="C10" s="4">
        <f t="shared" ref="C10:Z10" si="6">C3</f>
        <v>46023</v>
      </c>
      <c r="D10" s="4" t="str">
        <f t="shared" si="6"/>
        <v>Vari</v>
      </c>
      <c r="E10" s="4">
        <f t="shared" si="6"/>
        <v>46054</v>
      </c>
      <c r="F10" s="4" t="str">
        <f t="shared" si="6"/>
        <v>Vari</v>
      </c>
      <c r="G10" s="4">
        <f t="shared" si="6"/>
        <v>46082</v>
      </c>
      <c r="H10" s="4" t="str">
        <f t="shared" si="6"/>
        <v>Vari</v>
      </c>
      <c r="I10" s="4">
        <f t="shared" si="6"/>
        <v>46113</v>
      </c>
      <c r="J10" s="4" t="str">
        <f t="shared" si="6"/>
        <v>Vari</v>
      </c>
      <c r="K10" s="4">
        <f t="shared" si="6"/>
        <v>46143</v>
      </c>
      <c r="L10" s="4" t="str">
        <f t="shared" si="6"/>
        <v>Vari</v>
      </c>
      <c r="M10" s="4">
        <f>M3</f>
        <v>46174</v>
      </c>
      <c r="N10" s="4" t="str">
        <f t="shared" si="6"/>
        <v>Vari</v>
      </c>
      <c r="O10" s="4">
        <f t="shared" si="6"/>
        <v>46204</v>
      </c>
      <c r="P10" s="4" t="str">
        <f t="shared" si="6"/>
        <v>Vari</v>
      </c>
      <c r="Q10" s="4">
        <f t="shared" si="6"/>
        <v>46235</v>
      </c>
      <c r="R10" s="4" t="str">
        <f t="shared" si="6"/>
        <v>Vari</v>
      </c>
      <c r="S10" s="4">
        <f t="shared" si="6"/>
        <v>46266</v>
      </c>
      <c r="T10" s="4" t="str">
        <f t="shared" si="6"/>
        <v>Vari</v>
      </c>
      <c r="U10" s="4">
        <f t="shared" si="6"/>
        <v>46296</v>
      </c>
      <c r="V10" s="4" t="str">
        <f t="shared" si="6"/>
        <v>Vari</v>
      </c>
      <c r="W10" s="4">
        <f t="shared" si="6"/>
        <v>46327</v>
      </c>
      <c r="X10" s="4" t="str">
        <f t="shared" si="6"/>
        <v>Vari</v>
      </c>
      <c r="Y10" s="4">
        <f t="shared" si="6"/>
        <v>46357</v>
      </c>
      <c r="Z10" s="4" t="str">
        <f t="shared" si="6"/>
        <v>Vari</v>
      </c>
      <c r="AA10" s="4" t="s">
        <v>54</v>
      </c>
      <c r="AB10" s="3" t="s">
        <v>11</v>
      </c>
    </row>
    <row r="11" spans="1:28" x14ac:dyDescent="0.35">
      <c r="A11" s="3" t="s">
        <v>0</v>
      </c>
      <c r="B11" s="23">
        <v>6983307</v>
      </c>
      <c r="C11" s="23">
        <v>9190693</v>
      </c>
      <c r="D11" s="24">
        <f>C11/B11-1</f>
        <v>0.31609465257649427</v>
      </c>
      <c r="E11" s="23">
        <v>8825780</v>
      </c>
      <c r="F11" s="24">
        <f>E11/C11-1</f>
        <v>-3.97046229266933E-2</v>
      </c>
      <c r="G11" s="23">
        <v>9425092</v>
      </c>
      <c r="H11" s="24">
        <f>G11/E11-1</f>
        <v>6.790470643954416E-2</v>
      </c>
      <c r="I11" s="23"/>
      <c r="J11" s="24"/>
      <c r="K11" s="23"/>
      <c r="L11" s="24"/>
      <c r="M11" s="23"/>
      <c r="N11" s="24"/>
      <c r="O11" s="23"/>
      <c r="P11" s="24"/>
      <c r="Q11" s="23"/>
      <c r="R11" s="24"/>
      <c r="S11" s="23"/>
      <c r="T11" s="24"/>
      <c r="U11" s="23"/>
      <c r="V11" s="24"/>
      <c r="W11" s="23"/>
      <c r="X11" s="24"/>
      <c r="Y11" s="23"/>
      <c r="Z11" s="24"/>
      <c r="AA11" s="44">
        <f>C11+E11+G11+I11+K11+M11+O11+Q11+S11+U11+W11+Y11</f>
        <v>27441565</v>
      </c>
      <c r="AB11" s="8">
        <f>AA11/$AA$15</f>
        <v>0.41575732368964391</v>
      </c>
    </row>
    <row r="12" spans="1:28" x14ac:dyDescent="0.35">
      <c r="A12" s="3" t="s">
        <v>2</v>
      </c>
      <c r="B12" s="23">
        <v>10605116.75</v>
      </c>
      <c r="C12" s="23">
        <v>10400322.49</v>
      </c>
      <c r="D12" s="24">
        <f t="shared" ref="D12:D15" si="7">C12/B12-1</f>
        <v>-1.9310891603338542E-2</v>
      </c>
      <c r="E12" s="23">
        <v>11478980.52</v>
      </c>
      <c r="F12" s="24">
        <f t="shared" ref="F12:F15" si="8">E12/C12-1</f>
        <v>0.10371390224073718</v>
      </c>
      <c r="G12" s="23">
        <v>13039370.220000001</v>
      </c>
      <c r="H12" s="24">
        <f t="shared" ref="H12:H15" si="9">G12/E12-1</f>
        <v>0.13593451938360812</v>
      </c>
      <c r="I12" s="23"/>
      <c r="J12" s="24"/>
      <c r="K12" s="23"/>
      <c r="L12" s="24"/>
      <c r="M12" s="23"/>
      <c r="N12" s="24"/>
      <c r="O12" s="23"/>
      <c r="P12" s="24"/>
      <c r="Q12" s="23"/>
      <c r="R12" s="24"/>
      <c r="S12" s="23"/>
      <c r="T12" s="24"/>
      <c r="U12" s="23"/>
      <c r="V12" s="24"/>
      <c r="W12" s="23"/>
      <c r="X12" s="24"/>
      <c r="Y12" s="23"/>
      <c r="Z12" s="24"/>
      <c r="AA12" s="44">
        <f t="shared" ref="AA12:AA15" si="10">C12+E12+G12+I12+K12+M12+O12+Q12+S12+U12+W12+Y12</f>
        <v>34918673.229999997</v>
      </c>
      <c r="AB12" s="8">
        <f t="shared" ref="AB12:AB15" si="11">AA12/$AA$15</f>
        <v>0.52904031271168439</v>
      </c>
    </row>
    <row r="13" spans="1:28" x14ac:dyDescent="0.35">
      <c r="A13" s="3" t="s">
        <v>1</v>
      </c>
      <c r="B13" s="23">
        <v>1079682</v>
      </c>
      <c r="C13" s="23">
        <v>1043954</v>
      </c>
      <c r="D13" s="24">
        <f t="shared" si="7"/>
        <v>-3.3091225008845204E-2</v>
      </c>
      <c r="E13" s="23">
        <v>1237529</v>
      </c>
      <c r="F13" s="24">
        <f t="shared" si="8"/>
        <v>0.18542483672652232</v>
      </c>
      <c r="G13" s="23">
        <v>1193786</v>
      </c>
      <c r="H13" s="24">
        <f t="shared" si="9"/>
        <v>-3.534705045295905E-2</v>
      </c>
      <c r="I13" s="23"/>
      <c r="J13" s="24"/>
      <c r="K13" s="23"/>
      <c r="L13" s="24"/>
      <c r="M13" s="23"/>
      <c r="N13" s="24"/>
      <c r="O13" s="23"/>
      <c r="P13" s="24"/>
      <c r="Q13" s="23"/>
      <c r="R13" s="24"/>
      <c r="S13" s="23"/>
      <c r="T13" s="24"/>
      <c r="U13" s="23"/>
      <c r="V13" s="24"/>
      <c r="W13" s="23"/>
      <c r="X13" s="24"/>
      <c r="Y13" s="23"/>
      <c r="Z13" s="24"/>
      <c r="AA13" s="44">
        <f t="shared" si="10"/>
        <v>3475269</v>
      </c>
      <c r="AB13" s="8">
        <f t="shared" si="11"/>
        <v>5.2652556023739361E-2</v>
      </c>
    </row>
    <row r="14" spans="1:28" x14ac:dyDescent="0.35">
      <c r="A14" s="3" t="s">
        <v>3</v>
      </c>
      <c r="B14" s="23">
        <v>244886</v>
      </c>
      <c r="C14" s="23">
        <v>1114</v>
      </c>
      <c r="D14" s="24">
        <f t="shared" si="7"/>
        <v>-0.99545094452112415</v>
      </c>
      <c r="E14" s="23">
        <v>46222</v>
      </c>
      <c r="F14" s="24">
        <f t="shared" si="8"/>
        <v>40.491921005385997</v>
      </c>
      <c r="G14" s="23">
        <v>120961</v>
      </c>
      <c r="H14" s="24">
        <f t="shared" si="9"/>
        <v>1.6169572930639089</v>
      </c>
      <c r="I14" s="23"/>
      <c r="J14" s="24"/>
      <c r="K14" s="23"/>
      <c r="L14" s="24"/>
      <c r="M14" s="23"/>
      <c r="N14" s="24"/>
      <c r="O14" s="23"/>
      <c r="P14" s="24"/>
      <c r="Q14" s="23"/>
      <c r="R14" s="24"/>
      <c r="S14" s="23"/>
      <c r="T14" s="24"/>
      <c r="U14" s="23"/>
      <c r="V14" s="24"/>
      <c r="W14" s="23"/>
      <c r="X14" s="24"/>
      <c r="Y14" s="23"/>
      <c r="Z14" s="24"/>
      <c r="AA14" s="44">
        <f t="shared" si="10"/>
        <v>168297</v>
      </c>
      <c r="AB14" s="8">
        <f t="shared" si="11"/>
        <v>2.5498075749322605E-3</v>
      </c>
    </row>
    <row r="15" spans="1:28" x14ac:dyDescent="0.35">
      <c r="A15" s="3" t="s">
        <v>7</v>
      </c>
      <c r="B15" s="25">
        <v>18912991.75</v>
      </c>
      <c r="C15" s="25">
        <f>SUM(C11:C14)</f>
        <v>20636083.490000002</v>
      </c>
      <c r="D15" s="24">
        <f t="shared" si="7"/>
        <v>9.1106249226804659E-2</v>
      </c>
      <c r="E15" s="25">
        <f>SUM(E11:E14)</f>
        <v>21588511.52</v>
      </c>
      <c r="F15" s="24">
        <f t="shared" si="8"/>
        <v>4.6153526683565316E-2</v>
      </c>
      <c r="G15" s="25">
        <f>SUM(G11:G14)</f>
        <v>23779209.219999999</v>
      </c>
      <c r="H15" s="24">
        <f t="shared" si="9"/>
        <v>0.10147516182255067</v>
      </c>
      <c r="I15" s="25"/>
      <c r="J15" s="24"/>
      <c r="K15" s="25"/>
      <c r="L15" s="24"/>
      <c r="M15" s="25"/>
      <c r="N15" s="24"/>
      <c r="O15" s="25"/>
      <c r="P15" s="24"/>
      <c r="Q15" s="25"/>
      <c r="R15" s="24"/>
      <c r="S15" s="25"/>
      <c r="T15" s="24"/>
      <c r="U15" s="25"/>
      <c r="V15" s="24"/>
      <c r="W15" s="25"/>
      <c r="X15" s="24"/>
      <c r="Y15" s="25"/>
      <c r="Z15" s="24"/>
      <c r="AA15" s="44">
        <f t="shared" si="10"/>
        <v>66003804.230000004</v>
      </c>
      <c r="AB15" s="8">
        <f t="shared" si="11"/>
        <v>1</v>
      </c>
    </row>
    <row r="16" spans="1:28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33"/>
      <c r="AB16" s="12"/>
    </row>
    <row r="17" spans="1:28" x14ac:dyDescent="0.35">
      <c r="A17" s="3" t="s">
        <v>44</v>
      </c>
      <c r="B17" s="4">
        <v>46357</v>
      </c>
      <c r="C17" s="36">
        <f t="shared" ref="C17:X17" si="12">C10</f>
        <v>46023</v>
      </c>
      <c r="D17" s="36" t="str">
        <f t="shared" si="12"/>
        <v>Vari</v>
      </c>
      <c r="E17" s="36">
        <f t="shared" si="12"/>
        <v>46054</v>
      </c>
      <c r="F17" s="36" t="str">
        <f t="shared" si="12"/>
        <v>Vari</v>
      </c>
      <c r="G17" s="49">
        <f t="shared" si="12"/>
        <v>46082</v>
      </c>
      <c r="H17" s="49" t="str">
        <f t="shared" si="12"/>
        <v>Vari</v>
      </c>
      <c r="I17" s="36">
        <f t="shared" si="12"/>
        <v>46113</v>
      </c>
      <c r="J17" s="36" t="str">
        <f t="shared" si="12"/>
        <v>Vari</v>
      </c>
      <c r="K17" s="36">
        <f t="shared" si="12"/>
        <v>46143</v>
      </c>
      <c r="L17" s="36" t="str">
        <f t="shared" si="12"/>
        <v>Vari</v>
      </c>
      <c r="M17" s="36">
        <f t="shared" si="12"/>
        <v>46174</v>
      </c>
      <c r="N17" s="36" t="str">
        <f t="shared" si="12"/>
        <v>Vari</v>
      </c>
      <c r="O17" s="36">
        <f t="shared" si="12"/>
        <v>46204</v>
      </c>
      <c r="P17" s="36" t="str">
        <f t="shared" si="12"/>
        <v>Vari</v>
      </c>
      <c r="Q17" s="36">
        <f t="shared" si="12"/>
        <v>46235</v>
      </c>
      <c r="R17" s="36" t="str">
        <f t="shared" si="12"/>
        <v>Vari</v>
      </c>
      <c r="S17" s="36">
        <f t="shared" si="12"/>
        <v>46266</v>
      </c>
      <c r="T17" s="36" t="str">
        <f t="shared" si="12"/>
        <v>Vari</v>
      </c>
      <c r="U17" s="52">
        <f t="shared" si="12"/>
        <v>46296</v>
      </c>
      <c r="V17" s="52" t="str">
        <f t="shared" si="12"/>
        <v>Vari</v>
      </c>
      <c r="W17" s="36">
        <f t="shared" si="12"/>
        <v>46327</v>
      </c>
      <c r="X17" s="36" t="str">
        <f t="shared" si="12"/>
        <v>Vari</v>
      </c>
      <c r="Y17" s="36">
        <f>Y10</f>
        <v>46357</v>
      </c>
      <c r="Z17" s="36" t="str">
        <f t="shared" ref="Z17" si="13">Z10</f>
        <v>Vari</v>
      </c>
      <c r="AA17" s="4" t="s">
        <v>55</v>
      </c>
      <c r="AB17" s="12"/>
    </row>
    <row r="18" spans="1:28" x14ac:dyDescent="0.35">
      <c r="A18" s="3" t="s">
        <v>0</v>
      </c>
      <c r="B18" s="26">
        <v>7.6934392258567463</v>
      </c>
      <c r="C18" s="35">
        <f>C4/C11*100</f>
        <v>7.5810793593040255</v>
      </c>
      <c r="D18" s="27">
        <f>C18/B18-1</f>
        <v>-1.4604634319472121E-2</v>
      </c>
      <c r="E18" s="35">
        <f>E4/E11*100</f>
        <v>7.9259352714434312</v>
      </c>
      <c r="F18" s="27">
        <f>E18/C18-1</f>
        <v>4.5489025479752421E-2</v>
      </c>
      <c r="G18" s="47">
        <f>G4/G11*100</f>
        <v>8.6964611061621468</v>
      </c>
      <c r="H18" s="48">
        <f>G18/E18-1</f>
        <v>9.7215761715196525E-2</v>
      </c>
      <c r="I18" s="35" t="e">
        <f>I4/I11*100</f>
        <v>#DIV/0!</v>
      </c>
      <c r="J18" s="27" t="e">
        <f>I18/G18-1</f>
        <v>#DIV/0!</v>
      </c>
      <c r="K18" s="35" t="e">
        <f>K4/K11*100</f>
        <v>#DIV/0!</v>
      </c>
      <c r="L18" s="27" t="e">
        <f>K18/I18-1</f>
        <v>#DIV/0!</v>
      </c>
      <c r="M18" s="35" t="e">
        <f>M4/M11*100</f>
        <v>#DIV/0!</v>
      </c>
      <c r="N18" s="27" t="e">
        <f>M18/K18-1</f>
        <v>#DIV/0!</v>
      </c>
      <c r="O18" s="35" t="e">
        <f>O4/O11*100</f>
        <v>#DIV/0!</v>
      </c>
      <c r="P18" s="27" t="e">
        <f>O18/M18-1</f>
        <v>#DIV/0!</v>
      </c>
      <c r="Q18" s="35" t="e">
        <f>Q4/Q11*100</f>
        <v>#DIV/0!</v>
      </c>
      <c r="R18" s="27" t="e">
        <f>Q18/O18-1</f>
        <v>#DIV/0!</v>
      </c>
      <c r="S18" s="35" t="e">
        <f>S4/S11*100</f>
        <v>#DIV/0!</v>
      </c>
      <c r="T18" s="27" t="e">
        <f>S18/Q18-1</f>
        <v>#DIV/0!</v>
      </c>
      <c r="U18" s="53" t="e">
        <f>U4/U11*100</f>
        <v>#DIV/0!</v>
      </c>
      <c r="V18" s="54" t="e">
        <f>U18/S18-1</f>
        <v>#DIV/0!</v>
      </c>
      <c r="W18" s="35" t="e">
        <f>W4/W11*100</f>
        <v>#DIV/0!</v>
      </c>
      <c r="X18" s="27" t="e">
        <f>W18/U18-1</f>
        <v>#DIV/0!</v>
      </c>
      <c r="Y18" s="35" t="e">
        <f>Y4/Y11*100</f>
        <v>#DIV/0!</v>
      </c>
      <c r="Z18" s="27" t="e">
        <f>Y18/W18-1</f>
        <v>#DIV/0!</v>
      </c>
      <c r="AA18" s="41">
        <f>(C18+E18)/2</f>
        <v>7.7535073153737279</v>
      </c>
      <c r="AB18" s="12"/>
    </row>
    <row r="19" spans="1:28" x14ac:dyDescent="0.35">
      <c r="A19" s="3" t="s">
        <v>2</v>
      </c>
      <c r="B19" s="26">
        <v>7.2723975433839518</v>
      </c>
      <c r="C19" s="35">
        <f>C5/C12*100</f>
        <v>7.7228183142617146</v>
      </c>
      <c r="D19" s="27">
        <f t="shared" ref="D19:D22" si="14">C19/B19-1</f>
        <v>6.193566402149342E-2</v>
      </c>
      <c r="E19" s="35">
        <f t="shared" ref="E19:E22" si="15">E5/E12*100</f>
        <v>7.6347570106339022</v>
      </c>
      <c r="F19" s="27">
        <f t="shared" ref="F19:F22" si="16">E19/C19-1</f>
        <v>-1.1402741854639964E-2</v>
      </c>
      <c r="G19" s="47">
        <f t="shared" ref="G19:G22" si="17">G5/G12*100</f>
        <v>8.4747267801711352</v>
      </c>
      <c r="H19" s="48">
        <f t="shared" ref="H19:H22" si="18">G19/E19-1</f>
        <v>0.11001918834709468</v>
      </c>
      <c r="I19" s="35" t="e">
        <f t="shared" ref="I19:I22" si="19">I5/I12*100</f>
        <v>#DIV/0!</v>
      </c>
      <c r="J19" s="27" t="e">
        <f t="shared" ref="J19:J22" si="20">I19/G19-1</f>
        <v>#DIV/0!</v>
      </c>
      <c r="K19" s="35" t="e">
        <f t="shared" ref="K19:K22" si="21">K5/K12*100</f>
        <v>#DIV/0!</v>
      </c>
      <c r="L19" s="27" t="e">
        <f t="shared" ref="L19:L22" si="22">K19/I19-1</f>
        <v>#DIV/0!</v>
      </c>
      <c r="M19" s="35" t="e">
        <f t="shared" ref="M19:M22" si="23">M5/M12*100</f>
        <v>#DIV/0!</v>
      </c>
      <c r="N19" s="27" t="e">
        <f t="shared" ref="N19:N22" si="24">M19/K19-1</f>
        <v>#DIV/0!</v>
      </c>
      <c r="O19" s="35" t="e">
        <f t="shared" ref="O19:O22" si="25">O5/O12*100</f>
        <v>#DIV/0!</v>
      </c>
      <c r="P19" s="27" t="e">
        <f t="shared" ref="P19:P22" si="26">O19/M19-1</f>
        <v>#DIV/0!</v>
      </c>
      <c r="Q19" s="35" t="e">
        <f t="shared" ref="Q19:Q22" si="27">Q5/Q12*100</f>
        <v>#DIV/0!</v>
      </c>
      <c r="R19" s="27" t="e">
        <f t="shared" ref="R19:R22" si="28">Q19/O19-1</f>
        <v>#DIV/0!</v>
      </c>
      <c r="S19" s="35" t="e">
        <f t="shared" ref="S19:S22" si="29">S5/S12*100</f>
        <v>#DIV/0!</v>
      </c>
      <c r="T19" s="27" t="e">
        <f t="shared" ref="T19:T22" si="30">S19/Q19-1</f>
        <v>#DIV/0!</v>
      </c>
      <c r="U19" s="53" t="e">
        <f t="shared" ref="U19:U22" si="31">U5/U12*100</f>
        <v>#DIV/0!</v>
      </c>
      <c r="V19" s="54" t="e">
        <f t="shared" ref="V19:V22" si="32">U19/S19-1</f>
        <v>#DIV/0!</v>
      </c>
      <c r="W19" s="35" t="e">
        <f t="shared" ref="W19:W22" si="33">W5/W12*100</f>
        <v>#DIV/0!</v>
      </c>
      <c r="X19" s="27" t="e">
        <f t="shared" ref="X19:X22" si="34">W19/U19-1</f>
        <v>#DIV/0!</v>
      </c>
      <c r="Y19" s="35" t="e">
        <f t="shared" ref="Y19:Y22" si="35">Y5/Y12*100</f>
        <v>#DIV/0!</v>
      </c>
      <c r="Z19" s="27" t="e">
        <f t="shared" ref="Z19:Z22" si="36">Y19/W19-1</f>
        <v>#DIV/0!</v>
      </c>
      <c r="AA19" s="41">
        <f t="shared" ref="AA19:AA22" si="37">(C19+E19)/2</f>
        <v>7.6787876624478084</v>
      </c>
      <c r="AB19" s="12"/>
    </row>
    <row r="20" spans="1:28" x14ac:dyDescent="0.35">
      <c r="A20" s="3" t="s">
        <v>1</v>
      </c>
      <c r="B20" s="26">
        <v>7.0921576908756476</v>
      </c>
      <c r="C20" s="35">
        <f>C6/C13*100</f>
        <v>8.4239602511221747</v>
      </c>
      <c r="D20" s="27">
        <f t="shared" si="14"/>
        <v>0.18778524368683258</v>
      </c>
      <c r="E20" s="35">
        <f t="shared" si="15"/>
        <v>7.8144277831064963</v>
      </c>
      <c r="F20" s="27">
        <f t="shared" si="16"/>
        <v>-7.2356997165849757E-2</v>
      </c>
      <c r="G20" s="47">
        <f t="shared" si="17"/>
        <v>9.9557734803390225</v>
      </c>
      <c r="H20" s="48">
        <f t="shared" si="18"/>
        <v>0.27402463195856286</v>
      </c>
      <c r="I20" s="35" t="e">
        <f t="shared" si="19"/>
        <v>#DIV/0!</v>
      </c>
      <c r="J20" s="27" t="e">
        <f t="shared" si="20"/>
        <v>#DIV/0!</v>
      </c>
      <c r="K20" s="35" t="e">
        <f t="shared" si="21"/>
        <v>#DIV/0!</v>
      </c>
      <c r="L20" s="27" t="e">
        <f t="shared" si="22"/>
        <v>#DIV/0!</v>
      </c>
      <c r="M20" s="35" t="e">
        <f t="shared" si="23"/>
        <v>#DIV/0!</v>
      </c>
      <c r="N20" s="27" t="e">
        <f t="shared" si="24"/>
        <v>#DIV/0!</v>
      </c>
      <c r="O20" s="35" t="e">
        <f t="shared" si="25"/>
        <v>#DIV/0!</v>
      </c>
      <c r="P20" s="27" t="e">
        <f t="shared" si="26"/>
        <v>#DIV/0!</v>
      </c>
      <c r="Q20" s="35" t="e">
        <f t="shared" si="27"/>
        <v>#DIV/0!</v>
      </c>
      <c r="R20" s="27" t="e">
        <f t="shared" si="28"/>
        <v>#DIV/0!</v>
      </c>
      <c r="S20" s="35" t="e">
        <f t="shared" si="29"/>
        <v>#DIV/0!</v>
      </c>
      <c r="T20" s="27" t="e">
        <f t="shared" si="30"/>
        <v>#DIV/0!</v>
      </c>
      <c r="U20" s="53" t="e">
        <f t="shared" si="31"/>
        <v>#DIV/0!</v>
      </c>
      <c r="V20" s="54" t="e">
        <f t="shared" si="32"/>
        <v>#DIV/0!</v>
      </c>
      <c r="W20" s="35" t="e">
        <f t="shared" si="33"/>
        <v>#DIV/0!</v>
      </c>
      <c r="X20" s="27" t="e">
        <f t="shared" si="34"/>
        <v>#DIV/0!</v>
      </c>
      <c r="Y20" s="35" t="e">
        <f t="shared" si="35"/>
        <v>#DIV/0!</v>
      </c>
      <c r="Z20" s="27" t="e">
        <f t="shared" si="36"/>
        <v>#DIV/0!</v>
      </c>
      <c r="AA20" s="41">
        <f t="shared" si="37"/>
        <v>8.1191940171143351</v>
      </c>
      <c r="AB20" s="12"/>
    </row>
    <row r="21" spans="1:28" x14ac:dyDescent="0.35">
      <c r="A21" s="3" t="s">
        <v>3</v>
      </c>
      <c r="B21" s="26">
        <v>1.492714977581405</v>
      </c>
      <c r="C21" s="35">
        <f>C7/C14*100</f>
        <v>12.06912028725314</v>
      </c>
      <c r="D21" s="27">
        <f t="shared" si="14"/>
        <v>7.0853481532076028</v>
      </c>
      <c r="E21" s="35">
        <f t="shared" si="15"/>
        <v>1.491497555276708</v>
      </c>
      <c r="F21" s="27">
        <f t="shared" si="16"/>
        <v>-0.87642035875208235</v>
      </c>
      <c r="G21" s="47">
        <f t="shared" si="17"/>
        <v>1.5040136903630095</v>
      </c>
      <c r="H21" s="48">
        <f t="shared" si="18"/>
        <v>8.3916564542938499E-3</v>
      </c>
      <c r="I21" s="35" t="e">
        <f t="shared" si="19"/>
        <v>#DIV/0!</v>
      </c>
      <c r="J21" s="27" t="e">
        <f t="shared" si="20"/>
        <v>#DIV/0!</v>
      </c>
      <c r="K21" s="35" t="e">
        <f t="shared" si="21"/>
        <v>#DIV/0!</v>
      </c>
      <c r="L21" s="27" t="e">
        <f t="shared" si="22"/>
        <v>#DIV/0!</v>
      </c>
      <c r="M21" s="35" t="e">
        <f t="shared" si="23"/>
        <v>#DIV/0!</v>
      </c>
      <c r="N21" s="27" t="e">
        <f t="shared" si="24"/>
        <v>#DIV/0!</v>
      </c>
      <c r="O21" s="35" t="e">
        <f t="shared" si="25"/>
        <v>#DIV/0!</v>
      </c>
      <c r="P21" s="27" t="e">
        <f t="shared" si="26"/>
        <v>#DIV/0!</v>
      </c>
      <c r="Q21" s="35" t="e">
        <f t="shared" si="27"/>
        <v>#DIV/0!</v>
      </c>
      <c r="R21" s="27" t="e">
        <f t="shared" si="28"/>
        <v>#DIV/0!</v>
      </c>
      <c r="S21" s="35" t="e">
        <f t="shared" si="29"/>
        <v>#DIV/0!</v>
      </c>
      <c r="T21" s="27" t="e">
        <f t="shared" si="30"/>
        <v>#DIV/0!</v>
      </c>
      <c r="U21" s="53" t="e">
        <f t="shared" si="31"/>
        <v>#DIV/0!</v>
      </c>
      <c r="V21" s="54" t="e">
        <f t="shared" si="32"/>
        <v>#DIV/0!</v>
      </c>
      <c r="W21" s="35" t="e">
        <f t="shared" si="33"/>
        <v>#DIV/0!</v>
      </c>
      <c r="X21" s="27" t="e">
        <f t="shared" si="34"/>
        <v>#DIV/0!</v>
      </c>
      <c r="Y21" s="35" t="e">
        <f t="shared" si="35"/>
        <v>#DIV/0!</v>
      </c>
      <c r="Z21" s="27" t="e">
        <f t="shared" si="36"/>
        <v>#DIV/0!</v>
      </c>
      <c r="AA21" s="41">
        <f t="shared" si="37"/>
        <v>6.7803089212649237</v>
      </c>
      <c r="AB21" s="12"/>
    </row>
    <row r="22" spans="1:28" x14ac:dyDescent="0.35">
      <c r="A22" s="3" t="s">
        <v>8</v>
      </c>
      <c r="B22" s="28">
        <v>7.3427353448721293</v>
      </c>
      <c r="C22" s="39">
        <f>C8/C15*100</f>
        <v>7.6953965648062024</v>
      </c>
      <c r="D22" s="27">
        <f t="shared" si="14"/>
        <v>4.8028589261406074E-2</v>
      </c>
      <c r="E22" s="35">
        <f t="shared" si="15"/>
        <v>7.7509423864160878</v>
      </c>
      <c r="F22" s="27">
        <f t="shared" si="16"/>
        <v>7.2180583732248671E-3</v>
      </c>
      <c r="G22" s="47">
        <f t="shared" si="17"/>
        <v>8.6015070605447157</v>
      </c>
      <c r="H22" s="48">
        <f t="shared" si="18"/>
        <v>0.10973693671356455</v>
      </c>
      <c r="I22" s="35" t="e">
        <f t="shared" si="19"/>
        <v>#DIV/0!</v>
      </c>
      <c r="J22" s="27" t="e">
        <f t="shared" si="20"/>
        <v>#DIV/0!</v>
      </c>
      <c r="K22" s="35" t="e">
        <f t="shared" si="21"/>
        <v>#DIV/0!</v>
      </c>
      <c r="L22" s="27" t="e">
        <f t="shared" si="22"/>
        <v>#DIV/0!</v>
      </c>
      <c r="M22" s="35" t="e">
        <f t="shared" si="23"/>
        <v>#DIV/0!</v>
      </c>
      <c r="N22" s="27" t="e">
        <f t="shared" si="24"/>
        <v>#DIV/0!</v>
      </c>
      <c r="O22" s="35" t="e">
        <f t="shared" si="25"/>
        <v>#DIV/0!</v>
      </c>
      <c r="P22" s="27" t="e">
        <f t="shared" si="26"/>
        <v>#DIV/0!</v>
      </c>
      <c r="Q22" s="35" t="e">
        <f t="shared" si="27"/>
        <v>#DIV/0!</v>
      </c>
      <c r="R22" s="27" t="e">
        <f t="shared" si="28"/>
        <v>#DIV/0!</v>
      </c>
      <c r="S22" s="35" t="e">
        <f t="shared" si="29"/>
        <v>#DIV/0!</v>
      </c>
      <c r="T22" s="27" t="e">
        <f t="shared" si="30"/>
        <v>#DIV/0!</v>
      </c>
      <c r="U22" s="53" t="e">
        <f t="shared" si="31"/>
        <v>#DIV/0!</v>
      </c>
      <c r="V22" s="54" t="e">
        <f t="shared" si="32"/>
        <v>#DIV/0!</v>
      </c>
      <c r="W22" s="35" t="e">
        <f t="shared" si="33"/>
        <v>#DIV/0!</v>
      </c>
      <c r="X22" s="27" t="e">
        <f t="shared" si="34"/>
        <v>#DIV/0!</v>
      </c>
      <c r="Y22" s="35" t="e">
        <f t="shared" si="35"/>
        <v>#DIV/0!</v>
      </c>
      <c r="Z22" s="27" t="e">
        <f t="shared" si="36"/>
        <v>#DIV/0!</v>
      </c>
      <c r="AA22" s="41">
        <f t="shared" si="37"/>
        <v>7.7231694756111455</v>
      </c>
      <c r="AB22" s="12"/>
    </row>
    <row r="23" spans="1:28" x14ac:dyDescent="0.35">
      <c r="A23" s="2" t="s">
        <v>10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50"/>
      <c r="R23" s="50"/>
      <c r="S23" s="1"/>
      <c r="T23" s="1"/>
      <c r="U23" s="50"/>
      <c r="V23" s="51"/>
    </row>
    <row r="24" spans="1:28" ht="15.5" x14ac:dyDescent="0.35">
      <c r="A24" s="18" t="s">
        <v>85</v>
      </c>
      <c r="B24" s="18"/>
      <c r="C24" s="18"/>
      <c r="D24" s="18"/>
      <c r="E24" s="18"/>
      <c r="F24" s="18"/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"/>
    </row>
    <row r="25" spans="1:28" ht="15.5" x14ac:dyDescent="0.35">
      <c r="A25" s="56" t="s">
        <v>84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S25" s="32"/>
      <c r="U25" s="45"/>
      <c r="W25" s="45"/>
    </row>
    <row r="26" spans="1:28" ht="15.5" x14ac:dyDescent="0.35">
      <c r="A26" s="20" t="s">
        <v>86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37"/>
      <c r="T26" s="37"/>
    </row>
    <row r="27" spans="1:28" ht="15.5" x14ac:dyDescent="0.35">
      <c r="A27" s="18" t="s">
        <v>87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U27" s="31"/>
      <c r="AA27" s="31"/>
    </row>
    <row r="28" spans="1:28" ht="15.5" x14ac:dyDescent="0.35">
      <c r="A28" s="20" t="s">
        <v>88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18"/>
      <c r="R28" s="18"/>
      <c r="S28" s="45"/>
    </row>
    <row r="29" spans="1:28" ht="15.5" x14ac:dyDescent="0.35">
      <c r="A29" s="20" t="s">
        <v>89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37"/>
      <c r="T29" s="37"/>
      <c r="U29" s="37"/>
    </row>
  </sheetData>
  <mergeCells count="2">
    <mergeCell ref="A1:AB1"/>
    <mergeCell ref="A25:O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Hua Zhang / Inteplast World Pak</dc:creator>
  <cp:lastModifiedBy>Mei Hua Zhang / Inteplast AmTopp</cp:lastModifiedBy>
  <cp:lastPrinted>2020-02-03T20:25:49Z</cp:lastPrinted>
  <dcterms:created xsi:type="dcterms:W3CDTF">2018-11-19T16:49:54Z</dcterms:created>
  <dcterms:modified xsi:type="dcterms:W3CDTF">2026-04-01T19:24:31Z</dcterms:modified>
</cp:coreProperties>
</file>